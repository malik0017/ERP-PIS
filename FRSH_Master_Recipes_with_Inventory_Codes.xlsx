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ernationalspecializedfoo-my.sharepoint.com/personal/a_ahmed_isfc_com_sa/Documents/Desktop/"/>
    </mc:Choice>
  </mc:AlternateContent>
  <xr:revisionPtr revIDLastSave="1571" documentId="13_ncr:1_{0C7D98D4-FD23-4D6E-A80E-08132F06544B}" xr6:coauthVersionLast="47" xr6:coauthVersionMax="47" xr10:uidLastSave="{CDC88B62-5DA9-4768-BDCA-2F0015190BE7}"/>
  <bookViews>
    <workbookView xWindow="-96" yWindow="-96" windowWidth="23232" windowHeight="13872" tabRatio="596" activeTab="2" xr2:uid="{00000000-000D-0000-FFFF-FFFF00000000}"/>
  </bookViews>
  <sheets>
    <sheet name="Menu" sheetId="4" r:id="rId1"/>
    <sheet name="Master Recipes" sheetId="1" state="hidden" r:id="rId2"/>
    <sheet name="Recipe Ingredients" sheetId="2" r:id="rId3"/>
    <sheet name="Raw material list" sheetId="3" state="hidden" r:id="rId4"/>
  </sheets>
  <definedNames>
    <definedName name="_xlnm._FilterDatabase" localSheetId="1" hidden="1">'Master Recipes'!$A$3:$AA$50</definedName>
    <definedName name="_xlnm._FilterDatabase" localSheetId="0" hidden="1">Menu!$A$5:$D$122</definedName>
    <definedName name="_xlnm._FilterDatabase" localSheetId="3" hidden="1">'Raw material list'!$A$2:$H$695</definedName>
    <definedName name="_xlnm._FilterDatabase" localSheetId="2" hidden="1">'Recipe Ingredients'!$A$4:$Y$838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8" i="2" l="1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Q573" i="2"/>
  <c r="P573" i="2"/>
  <c r="Q572" i="2"/>
  <c r="P572" i="2"/>
  <c r="Q571" i="2"/>
  <c r="P571" i="2"/>
  <c r="Q570" i="2"/>
  <c r="P570" i="2"/>
  <c r="K570" i="2"/>
  <c r="K571" i="2"/>
  <c r="K572" i="2"/>
  <c r="K573" i="2"/>
  <c r="H570" i="2"/>
  <c r="H571" i="2"/>
  <c r="H572" i="2"/>
  <c r="H573" i="2"/>
  <c r="A4" i="1" a="1"/>
  <c r="A4" i="1" s="1"/>
  <c r="B4" i="1" s="1"/>
  <c r="Q713" i="2"/>
  <c r="P713" i="2"/>
  <c r="K713" i="2"/>
  <c r="H713" i="2"/>
  <c r="Q519" i="2"/>
  <c r="P519" i="2"/>
  <c r="K519" i="2"/>
  <c r="H519" i="2"/>
  <c r="Q315" i="2"/>
  <c r="P315" i="2"/>
  <c r="Q314" i="2"/>
  <c r="P314" i="2"/>
  <c r="Q313" i="2"/>
  <c r="P313" i="2"/>
  <c r="Q312" i="2"/>
  <c r="P312" i="2"/>
  <c r="K315" i="2"/>
  <c r="H315" i="2"/>
  <c r="K314" i="2"/>
  <c r="H314" i="2"/>
  <c r="K313" i="2"/>
  <c r="H313" i="2"/>
  <c r="K312" i="2"/>
  <c r="H312" i="2"/>
  <c r="Q101" i="2"/>
  <c r="P101" i="2"/>
  <c r="Q100" i="2"/>
  <c r="P100" i="2"/>
  <c r="Q99" i="2"/>
  <c r="P99" i="2"/>
  <c r="Q98" i="2"/>
  <c r="P98" i="2"/>
  <c r="K101" i="2"/>
  <c r="H101" i="2"/>
  <c r="K100" i="2"/>
  <c r="H100" i="2"/>
  <c r="K99" i="2"/>
  <c r="H99" i="2"/>
  <c r="K98" i="2"/>
  <c r="H98" i="2"/>
  <c r="Q29" i="2"/>
  <c r="P29" i="2"/>
  <c r="Q28" i="2"/>
  <c r="P28" i="2"/>
  <c r="Q27" i="2"/>
  <c r="P27" i="2"/>
  <c r="Q26" i="2"/>
  <c r="P26" i="2"/>
  <c r="Q25" i="2"/>
  <c r="P25" i="2"/>
  <c r="Q24" i="2"/>
  <c r="P24" i="2"/>
  <c r="K29" i="2"/>
  <c r="H29" i="2"/>
  <c r="K28" i="2"/>
  <c r="H28" i="2"/>
  <c r="K27" i="2"/>
  <c r="H27" i="2"/>
  <c r="K26" i="2"/>
  <c r="H26" i="2"/>
  <c r="K25" i="2"/>
  <c r="H25" i="2"/>
  <c r="K24" i="2"/>
  <c r="H24" i="2"/>
  <c r="K230" i="2"/>
  <c r="Q234" i="2"/>
  <c r="P234" i="2"/>
  <c r="Q233" i="2"/>
  <c r="P233" i="2"/>
  <c r="Q232" i="2"/>
  <c r="P232" i="2"/>
  <c r="Q231" i="2"/>
  <c r="P231" i="2"/>
  <c r="K234" i="2"/>
  <c r="H234" i="2"/>
  <c r="K233" i="2"/>
  <c r="H233" i="2"/>
  <c r="K232" i="2"/>
  <c r="H232" i="2"/>
  <c r="K231" i="2"/>
  <c r="H231" i="2"/>
  <c r="Q677" i="2"/>
  <c r="P677" i="2"/>
  <c r="Q676" i="2"/>
  <c r="P676" i="2"/>
  <c r="Q675" i="2"/>
  <c r="P675" i="2"/>
  <c r="Q674" i="2"/>
  <c r="P674" i="2"/>
  <c r="K677" i="2"/>
  <c r="H677" i="2"/>
  <c r="K676" i="2"/>
  <c r="H676" i="2"/>
  <c r="K675" i="2"/>
  <c r="H675" i="2"/>
  <c r="K674" i="2"/>
  <c r="H674" i="2"/>
  <c r="Q80" i="2"/>
  <c r="P80" i="2"/>
  <c r="Q79" i="2"/>
  <c r="P79" i="2"/>
  <c r="Q78" i="2"/>
  <c r="P78" i="2"/>
  <c r="Q77" i="2"/>
  <c r="P77" i="2"/>
  <c r="K80" i="2"/>
  <c r="H80" i="2"/>
  <c r="K79" i="2"/>
  <c r="H79" i="2"/>
  <c r="K78" i="2"/>
  <c r="H78" i="2"/>
  <c r="K77" i="2"/>
  <c r="H77" i="2"/>
  <c r="Q417" i="2"/>
  <c r="P417" i="2"/>
  <c r="Q416" i="2"/>
  <c r="P416" i="2"/>
  <c r="Q415" i="2"/>
  <c r="P415" i="2"/>
  <c r="Q414" i="2"/>
  <c r="P414" i="2"/>
  <c r="K417" i="2"/>
  <c r="H417" i="2"/>
  <c r="K416" i="2"/>
  <c r="H416" i="2"/>
  <c r="K415" i="2"/>
  <c r="H415" i="2"/>
  <c r="K414" i="2"/>
  <c r="H414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K480" i="2"/>
  <c r="H480" i="2"/>
  <c r="K479" i="2"/>
  <c r="H479" i="2"/>
  <c r="K478" i="2"/>
  <c r="H478" i="2"/>
  <c r="K477" i="2"/>
  <c r="H477" i="2"/>
  <c r="K476" i="2"/>
  <c r="H476" i="2"/>
  <c r="K475" i="2"/>
  <c r="H475" i="2"/>
  <c r="Q54" i="2"/>
  <c r="P54" i="2"/>
  <c r="Q53" i="2"/>
  <c r="P53" i="2"/>
  <c r="Q52" i="2"/>
  <c r="P52" i="2"/>
  <c r="Q51" i="2"/>
  <c r="P51" i="2"/>
  <c r="K54" i="2"/>
  <c r="H54" i="2"/>
  <c r="K53" i="2"/>
  <c r="H53" i="2"/>
  <c r="K52" i="2"/>
  <c r="H52" i="2"/>
  <c r="K51" i="2"/>
  <c r="H51" i="2"/>
  <c r="Q293" i="2"/>
  <c r="P293" i="2"/>
  <c r="Q292" i="2"/>
  <c r="P292" i="2"/>
  <c r="Q291" i="2"/>
  <c r="P291" i="2"/>
  <c r="Q290" i="2"/>
  <c r="P290" i="2"/>
  <c r="K293" i="2"/>
  <c r="H293" i="2"/>
  <c r="K292" i="2"/>
  <c r="H292" i="2"/>
  <c r="K291" i="2"/>
  <c r="H291" i="2"/>
  <c r="K290" i="2"/>
  <c r="H290" i="2"/>
  <c r="Q445" i="2"/>
  <c r="P445" i="2"/>
  <c r="Q444" i="2"/>
  <c r="P444" i="2"/>
  <c r="Q443" i="2"/>
  <c r="P443" i="2"/>
  <c r="Q442" i="2"/>
  <c r="P442" i="2"/>
  <c r="K445" i="2"/>
  <c r="H445" i="2"/>
  <c r="K444" i="2"/>
  <c r="H444" i="2"/>
  <c r="K443" i="2"/>
  <c r="H443" i="2"/>
  <c r="K442" i="2"/>
  <c r="H442" i="2"/>
  <c r="Q130" i="2"/>
  <c r="P130" i="2"/>
  <c r="Q129" i="2"/>
  <c r="P129" i="2"/>
  <c r="Q128" i="2"/>
  <c r="P128" i="2"/>
  <c r="Q127" i="2"/>
  <c r="P127" i="2"/>
  <c r="K130" i="2"/>
  <c r="H130" i="2"/>
  <c r="K129" i="2"/>
  <c r="H129" i="2"/>
  <c r="K128" i="2"/>
  <c r="H128" i="2"/>
  <c r="K127" i="2"/>
  <c r="H127" i="2"/>
  <c r="Q644" i="2"/>
  <c r="P644" i="2"/>
  <c r="Q643" i="2"/>
  <c r="P643" i="2"/>
  <c r="Q642" i="2"/>
  <c r="P642" i="2"/>
  <c r="Q641" i="2"/>
  <c r="P641" i="2"/>
  <c r="K644" i="2"/>
  <c r="H644" i="2"/>
  <c r="K643" i="2"/>
  <c r="H643" i="2"/>
  <c r="K642" i="2"/>
  <c r="H642" i="2"/>
  <c r="K641" i="2"/>
  <c r="H64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K620" i="2"/>
  <c r="H620" i="2"/>
  <c r="K619" i="2"/>
  <c r="H619" i="2"/>
  <c r="K618" i="2"/>
  <c r="H618" i="2"/>
  <c r="K617" i="2"/>
  <c r="H617" i="2"/>
  <c r="K616" i="2"/>
  <c r="H616" i="2"/>
  <c r="K615" i="2"/>
  <c r="H615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H522" i="2"/>
  <c r="H523" i="2"/>
  <c r="H524" i="2"/>
  <c r="H525" i="2"/>
  <c r="H526" i="2"/>
  <c r="H527" i="2"/>
  <c r="K527" i="2"/>
  <c r="K526" i="2"/>
  <c r="K525" i="2"/>
  <c r="K524" i="2"/>
  <c r="K523" i="2"/>
  <c r="K522" i="2"/>
  <c r="Q602" i="2"/>
  <c r="P602" i="2"/>
  <c r="Q601" i="2"/>
  <c r="P601" i="2"/>
  <c r="Q600" i="2"/>
  <c r="P600" i="2"/>
  <c r="Q599" i="2"/>
  <c r="P599" i="2"/>
  <c r="H602" i="2"/>
  <c r="H601" i="2"/>
  <c r="H600" i="2"/>
  <c r="H599" i="2"/>
  <c r="K601" i="2"/>
  <c r="K600" i="2"/>
  <c r="K59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K158" i="2"/>
  <c r="K157" i="2"/>
  <c r="K156" i="2"/>
  <c r="K155" i="2"/>
  <c r="K154" i="2"/>
  <c r="K153" i="2"/>
  <c r="H158" i="2"/>
  <c r="H157" i="2"/>
  <c r="H156" i="2"/>
  <c r="H155" i="2"/>
  <c r="H154" i="2"/>
  <c r="H153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1" i="2"/>
  <c r="P520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89" i="2"/>
  <c r="P288" i="2"/>
  <c r="P287" i="2"/>
  <c r="P286" i="2"/>
  <c r="P285" i="2"/>
  <c r="P284" i="2"/>
  <c r="P283" i="2"/>
  <c r="P282" i="2"/>
  <c r="P281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R570" i="2" l="1"/>
  <c r="S570" i="2" s="1"/>
  <c r="T570" i="2" s="1"/>
  <c r="R571" i="2"/>
  <c r="S571" i="2" s="1"/>
  <c r="R572" i="2"/>
  <c r="S572" i="2" s="1"/>
  <c r="T572" i="2" s="1"/>
  <c r="R573" i="2"/>
  <c r="S573" i="2" s="1"/>
  <c r="T573" i="2" s="1"/>
  <c r="B110" i="4"/>
  <c r="B109" i="4"/>
  <c r="B108" i="4"/>
  <c r="B107" i="4"/>
  <c r="B106" i="4"/>
  <c r="B105" i="4"/>
  <c r="B91" i="4"/>
  <c r="B90" i="4"/>
  <c r="B89" i="4"/>
  <c r="B88" i="4"/>
  <c r="B87" i="4"/>
  <c r="B86" i="4"/>
  <c r="B85" i="4"/>
  <c r="B72" i="4"/>
  <c r="B70" i="4"/>
  <c r="B69" i="4"/>
  <c r="B68" i="4"/>
  <c r="B67" i="4"/>
  <c r="B66" i="4"/>
  <c r="B65" i="4"/>
  <c r="B52" i="4"/>
  <c r="B51" i="4"/>
  <c r="B50" i="4"/>
  <c r="B49" i="4"/>
  <c r="B48" i="4"/>
  <c r="B47" i="4"/>
  <c r="B46" i="4"/>
  <c r="B33" i="4"/>
  <c r="B32" i="4"/>
  <c r="B31" i="4"/>
  <c r="B30" i="4"/>
  <c r="B29" i="4"/>
  <c r="B28" i="4"/>
  <c r="B27" i="4"/>
  <c r="B26" i="4"/>
  <c r="B25" i="4"/>
  <c r="B45" i="4" s="1"/>
  <c r="B64" i="4" s="1"/>
  <c r="B84" i="4" s="1"/>
  <c r="B103" i="4" s="1"/>
  <c r="B122" i="4" s="1"/>
  <c r="B22" i="4"/>
  <c r="B42" i="4" s="1"/>
  <c r="B61" i="4" s="1"/>
  <c r="B81" i="4" s="1"/>
  <c r="B100" i="4" s="1"/>
  <c r="B119" i="4" s="1"/>
  <c r="B23" i="4"/>
  <c r="B43" i="4" s="1"/>
  <c r="B62" i="4" s="1"/>
  <c r="B82" i="4" s="1"/>
  <c r="B101" i="4" s="1"/>
  <c r="B120" i="4" s="1"/>
  <c r="B24" i="4"/>
  <c r="B44" i="4" s="1"/>
  <c r="B63" i="4" s="1"/>
  <c r="B83" i="4" s="1"/>
  <c r="B102" i="4" s="1"/>
  <c r="B121" i="4" s="1"/>
  <c r="B21" i="4"/>
  <c r="B41" i="4" s="1"/>
  <c r="B60" i="4" s="1"/>
  <c r="B80" i="4" s="1"/>
  <c r="B99" i="4" s="1"/>
  <c r="B118" i="4" s="1"/>
  <c r="B20" i="4"/>
  <c r="B40" i="4" s="1"/>
  <c r="B59" i="4" s="1"/>
  <c r="B79" i="4" s="1"/>
  <c r="B98" i="4" s="1"/>
  <c r="B117" i="4" s="1"/>
  <c r="B19" i="4"/>
  <c r="B39" i="4" s="1"/>
  <c r="B58" i="4" s="1"/>
  <c r="B78" i="4" s="1"/>
  <c r="B97" i="4" s="1"/>
  <c r="B116" i="4" s="1"/>
  <c r="B18" i="4"/>
  <c r="B38" i="4" s="1"/>
  <c r="B57" i="4" s="1"/>
  <c r="B77" i="4" s="1"/>
  <c r="B96" i="4" s="1"/>
  <c r="B115" i="4" s="1"/>
  <c r="B16" i="4"/>
  <c r="B36" i="4" s="1"/>
  <c r="B55" i="4" s="1"/>
  <c r="B75" i="4" s="1"/>
  <c r="B94" i="4" s="1"/>
  <c r="B113" i="4" s="1"/>
  <c r="B15" i="4"/>
  <c r="B35" i="4" s="1"/>
  <c r="B54" i="4" s="1"/>
  <c r="B74" i="4" s="1"/>
  <c r="B93" i="4" s="1"/>
  <c r="B112" i="4" s="1"/>
  <c r="B17" i="4"/>
  <c r="B37" i="4" s="1"/>
  <c r="B56" i="4" s="1"/>
  <c r="B76" i="4" s="1"/>
  <c r="B95" i="4" s="1"/>
  <c r="B114" i="4" s="1"/>
  <c r="B14" i="4"/>
  <c r="B34" i="4" s="1"/>
  <c r="B53" i="4" s="1"/>
  <c r="B73" i="4" s="1"/>
  <c r="B92" i="4" s="1"/>
  <c r="B111" i="4" s="1"/>
  <c r="B13" i="4"/>
  <c r="B12" i="4"/>
  <c r="B11" i="4"/>
  <c r="B10" i="4"/>
  <c r="B104" i="4"/>
  <c r="B71" i="4"/>
  <c r="B9" i="4"/>
  <c r="B8" i="4"/>
  <c r="B7" i="4"/>
  <c r="B6" i="4"/>
  <c r="B50" i="1"/>
  <c r="B18" i="1"/>
  <c r="B19" i="1"/>
  <c r="B22" i="1"/>
  <c r="B23" i="1"/>
  <c r="B39" i="1"/>
  <c r="B40" i="1"/>
  <c r="B41" i="1"/>
  <c r="B43" i="1"/>
  <c r="B24" i="1"/>
  <c r="B44" i="1"/>
  <c r="B6" i="1"/>
  <c r="B25" i="1"/>
  <c r="B45" i="1"/>
  <c r="B7" i="1"/>
  <c r="B27" i="1"/>
  <c r="B46" i="1"/>
  <c r="B8" i="1"/>
  <c r="B28" i="1"/>
  <c r="B47" i="1"/>
  <c r="B9" i="1"/>
  <c r="B29" i="1"/>
  <c r="B48" i="1"/>
  <c r="B11" i="1"/>
  <c r="B30" i="1"/>
  <c r="B49" i="1"/>
  <c r="B12" i="1"/>
  <c r="B31" i="1"/>
  <c r="B13" i="1"/>
  <c r="B32" i="1"/>
  <c r="B14" i="1"/>
  <c r="B33" i="1"/>
  <c r="B15" i="1"/>
  <c r="B34" i="1"/>
  <c r="B16" i="1"/>
  <c r="B35" i="1"/>
  <c r="B17" i="1"/>
  <c r="B38" i="1"/>
  <c r="B20" i="1"/>
  <c r="B36" i="1"/>
  <c r="B5" i="1"/>
  <c r="B21" i="1"/>
  <c r="B37" i="1"/>
  <c r="B10" i="1"/>
  <c r="B26" i="1"/>
  <c r="B42" i="1"/>
  <c r="R713" i="2"/>
  <c r="R519" i="2"/>
  <c r="R313" i="2"/>
  <c r="R314" i="2"/>
  <c r="R315" i="2"/>
  <c r="R312" i="2"/>
  <c r="R98" i="2"/>
  <c r="R99" i="2"/>
  <c r="R100" i="2"/>
  <c r="R101" i="2"/>
  <c r="R24" i="2"/>
  <c r="R29" i="2"/>
  <c r="R28" i="2"/>
  <c r="R25" i="2"/>
  <c r="R26" i="2"/>
  <c r="R27" i="2"/>
  <c r="R231" i="2"/>
  <c r="R232" i="2"/>
  <c r="R233" i="2"/>
  <c r="R234" i="2"/>
  <c r="R675" i="2"/>
  <c r="R676" i="2"/>
  <c r="R677" i="2"/>
  <c r="R674" i="2"/>
  <c r="R79" i="2"/>
  <c r="R78" i="2"/>
  <c r="R80" i="2"/>
  <c r="R77" i="2"/>
  <c r="R417" i="2"/>
  <c r="R416" i="2"/>
  <c r="R414" i="2"/>
  <c r="R415" i="2"/>
  <c r="R475" i="2"/>
  <c r="R480" i="2"/>
  <c r="R476" i="2"/>
  <c r="R477" i="2"/>
  <c r="R478" i="2"/>
  <c r="R479" i="2"/>
  <c r="R51" i="2"/>
  <c r="R52" i="2"/>
  <c r="R53" i="2"/>
  <c r="R54" i="2"/>
  <c r="R290" i="2"/>
  <c r="R291" i="2"/>
  <c r="R292" i="2"/>
  <c r="R293" i="2"/>
  <c r="R445" i="2"/>
  <c r="R442" i="2"/>
  <c r="R444" i="2"/>
  <c r="R443" i="2"/>
  <c r="R127" i="2"/>
  <c r="R128" i="2"/>
  <c r="R129" i="2"/>
  <c r="R130" i="2"/>
  <c r="R644" i="2"/>
  <c r="R642" i="2"/>
  <c r="R643" i="2"/>
  <c r="R641" i="2"/>
  <c r="R615" i="2"/>
  <c r="R616" i="2"/>
  <c r="R617" i="2"/>
  <c r="R618" i="2"/>
  <c r="R619" i="2"/>
  <c r="R620" i="2"/>
  <c r="R522" i="2"/>
  <c r="R523" i="2"/>
  <c r="R527" i="2"/>
  <c r="R524" i="2"/>
  <c r="R526" i="2"/>
  <c r="R525" i="2"/>
  <c r="R599" i="2"/>
  <c r="R600" i="2"/>
  <c r="R601" i="2"/>
  <c r="R602" i="2"/>
  <c r="R153" i="2"/>
  <c r="R154" i="2"/>
  <c r="R155" i="2"/>
  <c r="R156" i="2"/>
  <c r="R157" i="2"/>
  <c r="R158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2" i="2"/>
  <c r="H711" i="2"/>
  <c r="H710" i="2"/>
  <c r="H709" i="2"/>
  <c r="H708" i="2"/>
  <c r="H707" i="2"/>
  <c r="H706" i="2"/>
  <c r="H705" i="2"/>
  <c r="H704" i="2"/>
  <c r="H703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R721" i="2" s="1"/>
  <c r="Q720" i="2"/>
  <c r="Q719" i="2"/>
  <c r="Q718" i="2"/>
  <c r="Q717" i="2"/>
  <c r="R717" i="2" s="1"/>
  <c r="Q716" i="2"/>
  <c r="Q715" i="2"/>
  <c r="R715" i="2" s="1"/>
  <c r="Q714" i="2"/>
  <c r="Q712" i="2"/>
  <c r="Q711" i="2"/>
  <c r="Q710" i="2"/>
  <c r="Q709" i="2"/>
  <c r="Q708" i="2"/>
  <c r="R708" i="2" s="1"/>
  <c r="Q707" i="2"/>
  <c r="Q706" i="2"/>
  <c r="R706" i="2" s="1"/>
  <c r="Q705" i="2"/>
  <c r="Q704" i="2"/>
  <c r="Q703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1" i="2"/>
  <c r="K520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W572" i="2" l="1"/>
  <c r="V572" i="2"/>
  <c r="U572" i="2"/>
  <c r="V573" i="2"/>
  <c r="W573" i="2"/>
  <c r="U573" i="2"/>
  <c r="W570" i="2"/>
  <c r="V570" i="2"/>
  <c r="U570" i="2"/>
  <c r="T571" i="2"/>
  <c r="S523" i="2"/>
  <c r="T523" i="2" s="1"/>
  <c r="S443" i="2"/>
  <c r="T443" i="2" s="1"/>
  <c r="S480" i="2"/>
  <c r="T480" i="2" s="1"/>
  <c r="S232" i="2"/>
  <c r="T232" i="2" s="1"/>
  <c r="S717" i="2"/>
  <c r="T717" i="2" s="1"/>
  <c r="S615" i="2"/>
  <c r="T615" i="2" s="1"/>
  <c r="S708" i="2"/>
  <c r="T708" i="2" s="1"/>
  <c r="S527" i="2"/>
  <c r="T527" i="2" s="1"/>
  <c r="S127" i="2"/>
  <c r="T127" i="2" s="1"/>
  <c r="S476" i="2"/>
  <c r="T476" i="2" s="1"/>
  <c r="S233" i="2"/>
  <c r="T233" i="2" s="1"/>
  <c r="S313" i="2"/>
  <c r="T313" i="2" s="1"/>
  <c r="S522" i="2"/>
  <c r="T522" i="2" s="1"/>
  <c r="S444" i="2"/>
  <c r="T444" i="2" s="1"/>
  <c r="S475" i="2"/>
  <c r="T475" i="2" s="1"/>
  <c r="S231" i="2"/>
  <c r="T231" i="2" s="1"/>
  <c r="S24" i="2"/>
  <c r="T24" i="2" s="1"/>
  <c r="S101" i="2"/>
  <c r="T101" i="2" s="1"/>
  <c r="S601" i="2"/>
  <c r="T601" i="2" s="1"/>
  <c r="S100" i="2"/>
  <c r="T100" i="2" s="1"/>
  <c r="S99" i="2"/>
  <c r="T99" i="2" s="1"/>
  <c r="S721" i="2"/>
  <c r="T721" i="2" s="1"/>
  <c r="S51" i="2"/>
  <c r="T51" i="2" s="1"/>
  <c r="S130" i="2"/>
  <c r="T130" i="2" s="1"/>
  <c r="S478" i="2"/>
  <c r="T478" i="2" s="1"/>
  <c r="S128" i="2"/>
  <c r="T128" i="2" s="1"/>
  <c r="S477" i="2"/>
  <c r="T477" i="2" s="1"/>
  <c r="S158" i="2"/>
  <c r="T158" i="2" s="1"/>
  <c r="S620" i="2"/>
  <c r="T620" i="2" s="1"/>
  <c r="S442" i="2"/>
  <c r="T442" i="2" s="1"/>
  <c r="S415" i="2"/>
  <c r="T415" i="2" s="1"/>
  <c r="S27" i="2"/>
  <c r="T27" i="2" s="1"/>
  <c r="S290" i="2"/>
  <c r="T290" i="2" s="1"/>
  <c r="S54" i="2"/>
  <c r="T54" i="2" s="1"/>
  <c r="S157" i="2"/>
  <c r="T157" i="2" s="1"/>
  <c r="S619" i="2"/>
  <c r="T619" i="2" s="1"/>
  <c r="S445" i="2"/>
  <c r="T445" i="2" s="1"/>
  <c r="S414" i="2"/>
  <c r="T414" i="2" s="1"/>
  <c r="S26" i="2"/>
  <c r="T26" i="2" s="1"/>
  <c r="S80" i="2"/>
  <c r="T80" i="2" s="1"/>
  <c r="S641" i="2"/>
  <c r="T641" i="2" s="1"/>
  <c r="S53" i="2"/>
  <c r="T53" i="2" s="1"/>
  <c r="S674" i="2"/>
  <c r="T674" i="2" s="1"/>
  <c r="S98" i="2"/>
  <c r="T98" i="2" s="1"/>
  <c r="S676" i="2"/>
  <c r="T676" i="2" s="1"/>
  <c r="S706" i="2"/>
  <c r="T706" i="2" s="1"/>
  <c r="S526" i="2"/>
  <c r="T526" i="2" s="1"/>
  <c r="S315" i="2"/>
  <c r="T315" i="2" s="1"/>
  <c r="S314" i="2"/>
  <c r="T314" i="2" s="1"/>
  <c r="S156" i="2"/>
  <c r="T156" i="2" s="1"/>
  <c r="S618" i="2"/>
  <c r="T618" i="2" s="1"/>
  <c r="S293" i="2"/>
  <c r="T293" i="2" s="1"/>
  <c r="S416" i="2"/>
  <c r="T416" i="2" s="1"/>
  <c r="S25" i="2"/>
  <c r="T25" i="2" s="1"/>
  <c r="S519" i="2"/>
  <c r="T519" i="2" s="1"/>
  <c r="S642" i="2"/>
  <c r="T642" i="2" s="1"/>
  <c r="S677" i="2"/>
  <c r="T677" i="2" s="1"/>
  <c r="S479" i="2"/>
  <c r="T479" i="2" s="1"/>
  <c r="S675" i="2"/>
  <c r="T675" i="2" s="1"/>
  <c r="S715" i="2"/>
  <c r="T715" i="2" s="1"/>
  <c r="S155" i="2"/>
  <c r="T155" i="2" s="1"/>
  <c r="S617" i="2"/>
  <c r="T617" i="2" s="1"/>
  <c r="S292" i="2"/>
  <c r="T292" i="2" s="1"/>
  <c r="S417" i="2"/>
  <c r="T417" i="2" s="1"/>
  <c r="S28" i="2"/>
  <c r="T28" i="2" s="1"/>
  <c r="S713" i="2"/>
  <c r="T713" i="2" s="1"/>
  <c r="S153" i="2"/>
  <c r="T153" i="2" s="1"/>
  <c r="S602" i="2"/>
  <c r="T602" i="2" s="1"/>
  <c r="S78" i="2"/>
  <c r="T78" i="2" s="1"/>
  <c r="S643" i="2"/>
  <c r="T643" i="2" s="1"/>
  <c r="S79" i="2"/>
  <c r="T79" i="2" s="1"/>
  <c r="S600" i="2"/>
  <c r="T600" i="2" s="1"/>
  <c r="S52" i="2"/>
  <c r="T52" i="2" s="1"/>
  <c r="S599" i="2"/>
  <c r="T599" i="2" s="1"/>
  <c r="S644" i="2"/>
  <c r="T644" i="2" s="1"/>
  <c r="S525" i="2"/>
  <c r="T525" i="2" s="1"/>
  <c r="S312" i="2"/>
  <c r="T312" i="2" s="1"/>
  <c r="S129" i="2"/>
  <c r="T129" i="2" s="1"/>
  <c r="S524" i="2"/>
  <c r="T524" i="2" s="1"/>
  <c r="S234" i="2"/>
  <c r="T234" i="2" s="1"/>
  <c r="S154" i="2"/>
  <c r="T154" i="2" s="1"/>
  <c r="S616" i="2"/>
  <c r="T616" i="2" s="1"/>
  <c r="S291" i="2"/>
  <c r="T291" i="2" s="1"/>
  <c r="S77" i="2"/>
  <c r="T77" i="2" s="1"/>
  <c r="S29" i="2"/>
  <c r="T29" i="2" s="1"/>
  <c r="R737" i="2"/>
  <c r="R722" i="2"/>
  <c r="R724" i="2"/>
  <c r="R730" i="2"/>
  <c r="R732" i="2"/>
  <c r="R738" i="2"/>
  <c r="R740" i="2"/>
  <c r="R777" i="2"/>
  <c r="R779" i="2"/>
  <c r="R781" i="2"/>
  <c r="R784" i="2"/>
  <c r="R786" i="2"/>
  <c r="R788" i="2"/>
  <c r="R790" i="2"/>
  <c r="R792" i="2"/>
  <c r="R794" i="2"/>
  <c r="R797" i="2"/>
  <c r="R799" i="2"/>
  <c r="R801" i="2"/>
  <c r="R803" i="2"/>
  <c r="R805" i="2"/>
  <c r="R806" i="2"/>
  <c r="R808" i="2"/>
  <c r="R810" i="2"/>
  <c r="R812" i="2"/>
  <c r="R814" i="2"/>
  <c r="R816" i="2"/>
  <c r="R818" i="2"/>
  <c r="R820" i="2"/>
  <c r="R822" i="2"/>
  <c r="R824" i="2"/>
  <c r="R832" i="2"/>
  <c r="R834" i="2"/>
  <c r="R836" i="2"/>
  <c r="R838" i="2"/>
  <c r="R746" i="2"/>
  <c r="R748" i="2"/>
  <c r="R749" i="2"/>
  <c r="R755" i="2"/>
  <c r="R757" i="2"/>
  <c r="R776" i="2"/>
  <c r="R778" i="2"/>
  <c r="R704" i="2"/>
  <c r="R831" i="2"/>
  <c r="R729" i="2"/>
  <c r="R745" i="2"/>
  <c r="R723" i="2"/>
  <c r="R725" i="2"/>
  <c r="R731" i="2"/>
  <c r="R733" i="2"/>
  <c r="R780" i="2"/>
  <c r="R782" i="2"/>
  <c r="R783" i="2"/>
  <c r="R785" i="2"/>
  <c r="R787" i="2"/>
  <c r="R789" i="2"/>
  <c r="R791" i="2"/>
  <c r="R793" i="2"/>
  <c r="R796" i="2"/>
  <c r="R798" i="2"/>
  <c r="R800" i="2"/>
  <c r="R802" i="2"/>
  <c r="R804" i="2"/>
  <c r="R807" i="2"/>
  <c r="R811" i="2"/>
  <c r="R815" i="2"/>
  <c r="R819" i="2"/>
  <c r="R821" i="2"/>
  <c r="R823" i="2"/>
  <c r="R833" i="2"/>
  <c r="R835" i="2"/>
  <c r="R837" i="2"/>
  <c r="R705" i="2"/>
  <c r="R707" i="2"/>
  <c r="R714" i="2"/>
  <c r="R716" i="2"/>
  <c r="R739" i="2"/>
  <c r="R741" i="2"/>
  <c r="R747" i="2"/>
  <c r="R754" i="2"/>
  <c r="R756" i="2"/>
  <c r="R712" i="2"/>
  <c r="R753" i="2"/>
  <c r="R761" i="2"/>
  <c r="R768" i="2"/>
  <c r="R825" i="2"/>
  <c r="R827" i="2"/>
  <c r="R829" i="2"/>
  <c r="R710" i="2"/>
  <c r="R718" i="2"/>
  <c r="R720" i="2"/>
  <c r="R727" i="2"/>
  <c r="R734" i="2"/>
  <c r="R736" i="2"/>
  <c r="R743" i="2"/>
  <c r="R751" i="2"/>
  <c r="R758" i="2"/>
  <c r="R760" i="2"/>
  <c r="R762" i="2"/>
  <c r="R763" i="2"/>
  <c r="R765" i="2"/>
  <c r="R767" i="2"/>
  <c r="R769" i="2"/>
  <c r="R771" i="2"/>
  <c r="R773" i="2"/>
  <c r="R775" i="2"/>
  <c r="R826" i="2"/>
  <c r="R828" i="2"/>
  <c r="R830" i="2"/>
  <c r="R703" i="2"/>
  <c r="R709" i="2"/>
  <c r="R711" i="2"/>
  <c r="R719" i="2"/>
  <c r="R726" i="2"/>
  <c r="R728" i="2"/>
  <c r="R735" i="2"/>
  <c r="R742" i="2"/>
  <c r="R744" i="2"/>
  <c r="R750" i="2"/>
  <c r="R752" i="2"/>
  <c r="R759" i="2"/>
  <c r="R764" i="2"/>
  <c r="R766" i="2"/>
  <c r="R770" i="2"/>
  <c r="R772" i="2"/>
  <c r="R774" i="2"/>
  <c r="R795" i="2"/>
  <c r="R809" i="2"/>
  <c r="R813" i="2"/>
  <c r="R817" i="2"/>
  <c r="L280" i="2"/>
  <c r="M280" i="2" s="1"/>
  <c r="U721" i="2" l="1"/>
  <c r="W721" i="2"/>
  <c r="V721" i="2"/>
  <c r="W29" i="2"/>
  <c r="V29" i="2"/>
  <c r="U29" i="2"/>
  <c r="U78" i="2"/>
  <c r="W78" i="2"/>
  <c r="V78" i="2"/>
  <c r="V99" i="2"/>
  <c r="U99" i="2"/>
  <c r="W99" i="2"/>
  <c r="W293" i="2"/>
  <c r="V293" i="2"/>
  <c r="U293" i="2"/>
  <c r="V100" i="2"/>
  <c r="X100" i="2" s="1"/>
  <c r="U100" i="2"/>
  <c r="W100" i="2"/>
  <c r="W153" i="2"/>
  <c r="V153" i="2"/>
  <c r="U153" i="2"/>
  <c r="W157" i="2"/>
  <c r="V157" i="2"/>
  <c r="U157" i="2"/>
  <c r="X157" i="2" s="1"/>
  <c r="W601" i="2"/>
  <c r="V601" i="2"/>
  <c r="U601" i="2"/>
  <c r="X601" i="2" s="1"/>
  <c r="W54" i="2"/>
  <c r="V54" i="2"/>
  <c r="U54" i="2"/>
  <c r="X54" i="2" s="1"/>
  <c r="W523" i="2"/>
  <c r="V523" i="2"/>
  <c r="U523" i="2"/>
  <c r="W234" i="2"/>
  <c r="V234" i="2"/>
  <c r="U234" i="2"/>
  <c r="W27" i="2"/>
  <c r="V27" i="2"/>
  <c r="U27" i="2"/>
  <c r="V415" i="2"/>
  <c r="W415" i="2"/>
  <c r="U415" i="2"/>
  <c r="W442" i="2"/>
  <c r="V442" i="2"/>
  <c r="U442" i="2"/>
  <c r="W312" i="2"/>
  <c r="V312" i="2"/>
  <c r="U312" i="2"/>
  <c r="W522" i="2"/>
  <c r="V522" i="2"/>
  <c r="U522" i="2"/>
  <c r="U158" i="2"/>
  <c r="W158" i="2"/>
  <c r="V158" i="2"/>
  <c r="W233" i="2"/>
  <c r="V233" i="2"/>
  <c r="U233" i="2"/>
  <c r="X233" i="2" s="1"/>
  <c r="W479" i="2"/>
  <c r="V479" i="2"/>
  <c r="U479" i="2"/>
  <c r="U476" i="2"/>
  <c r="W476" i="2"/>
  <c r="V476" i="2"/>
  <c r="W52" i="2"/>
  <c r="X52" i="2" s="1"/>
  <c r="V52" i="2"/>
  <c r="U52" i="2"/>
  <c r="W127" i="2"/>
  <c r="V127" i="2"/>
  <c r="U127" i="2"/>
  <c r="W600" i="2"/>
  <c r="V600" i="2"/>
  <c r="U600" i="2"/>
  <c r="U642" i="2"/>
  <c r="W642" i="2"/>
  <c r="V642" i="2"/>
  <c r="W80" i="2"/>
  <c r="V80" i="2"/>
  <c r="U80" i="2"/>
  <c r="W130" i="2"/>
  <c r="V130" i="2"/>
  <c r="U130" i="2"/>
  <c r="W527" i="2"/>
  <c r="V527" i="2"/>
  <c r="U527" i="2"/>
  <c r="W643" i="2"/>
  <c r="V643" i="2"/>
  <c r="U643" i="2"/>
  <c r="U25" i="2"/>
  <c r="W25" i="2"/>
  <c r="V25" i="2"/>
  <c r="V414" i="2"/>
  <c r="U414" i="2"/>
  <c r="W414" i="2"/>
  <c r="W615" i="2"/>
  <c r="V615" i="2"/>
  <c r="U615" i="2"/>
  <c r="W416" i="2"/>
  <c r="V416" i="2"/>
  <c r="U416" i="2"/>
  <c r="W445" i="2"/>
  <c r="V445" i="2"/>
  <c r="U445" i="2"/>
  <c r="U717" i="2"/>
  <c r="W717" i="2"/>
  <c r="V717" i="2"/>
  <c r="W77" i="2"/>
  <c r="V77" i="2"/>
  <c r="U77" i="2"/>
  <c r="X77" i="2" s="1"/>
  <c r="W602" i="2"/>
  <c r="V602" i="2"/>
  <c r="U602" i="2"/>
  <c r="W619" i="2"/>
  <c r="V619" i="2"/>
  <c r="U619" i="2"/>
  <c r="W232" i="2"/>
  <c r="V232" i="2"/>
  <c r="U232" i="2"/>
  <c r="V291" i="2"/>
  <c r="U291" i="2"/>
  <c r="W291" i="2"/>
  <c r="W618" i="2"/>
  <c r="V618" i="2"/>
  <c r="U618" i="2"/>
  <c r="U480" i="2"/>
  <c r="V480" i="2"/>
  <c r="W480" i="2"/>
  <c r="W616" i="2"/>
  <c r="V616" i="2"/>
  <c r="U616" i="2"/>
  <c r="V713" i="2"/>
  <c r="U713" i="2"/>
  <c r="W713" i="2"/>
  <c r="W156" i="2"/>
  <c r="V156" i="2"/>
  <c r="U156" i="2"/>
  <c r="W101" i="2"/>
  <c r="V101" i="2"/>
  <c r="U101" i="2"/>
  <c r="X101" i="2" s="1"/>
  <c r="W443" i="2"/>
  <c r="V443" i="2"/>
  <c r="U443" i="2"/>
  <c r="W154" i="2"/>
  <c r="V154" i="2"/>
  <c r="U154" i="2"/>
  <c r="W28" i="2"/>
  <c r="V28" i="2"/>
  <c r="U28" i="2"/>
  <c r="W314" i="2"/>
  <c r="V314" i="2"/>
  <c r="U314" i="2"/>
  <c r="W290" i="2"/>
  <c r="V290" i="2"/>
  <c r="U290" i="2"/>
  <c r="W24" i="2"/>
  <c r="V24" i="2"/>
  <c r="U24" i="2"/>
  <c r="U417" i="2"/>
  <c r="W417" i="2"/>
  <c r="V417" i="2"/>
  <c r="V315" i="2"/>
  <c r="U315" i="2"/>
  <c r="W315" i="2"/>
  <c r="W231" i="2"/>
  <c r="V231" i="2"/>
  <c r="U231" i="2"/>
  <c r="W571" i="2"/>
  <c r="U571" i="2"/>
  <c r="V571" i="2"/>
  <c r="W524" i="2"/>
  <c r="V524" i="2"/>
  <c r="U524" i="2"/>
  <c r="W292" i="2"/>
  <c r="V292" i="2"/>
  <c r="U292" i="2"/>
  <c r="V526" i="2"/>
  <c r="W526" i="2"/>
  <c r="U526" i="2"/>
  <c r="W475" i="2"/>
  <c r="V475" i="2"/>
  <c r="U475" i="2"/>
  <c r="V129" i="2"/>
  <c r="U129" i="2"/>
  <c r="W129" i="2"/>
  <c r="W617" i="2"/>
  <c r="V617" i="2"/>
  <c r="U617" i="2"/>
  <c r="X617" i="2" s="1"/>
  <c r="W706" i="2"/>
  <c r="V706" i="2"/>
  <c r="U706" i="2"/>
  <c r="U444" i="2"/>
  <c r="W444" i="2"/>
  <c r="V444" i="2"/>
  <c r="W155" i="2"/>
  <c r="V155" i="2"/>
  <c r="U155" i="2"/>
  <c r="W676" i="2"/>
  <c r="V676" i="2"/>
  <c r="U676" i="2"/>
  <c r="U620" i="2"/>
  <c r="V620" i="2"/>
  <c r="W620" i="2"/>
  <c r="W525" i="2"/>
  <c r="V525" i="2"/>
  <c r="U525" i="2"/>
  <c r="W715" i="2"/>
  <c r="V715" i="2"/>
  <c r="U715" i="2"/>
  <c r="W98" i="2"/>
  <c r="X98" i="2" s="1"/>
  <c r="V98" i="2"/>
  <c r="U98" i="2"/>
  <c r="U313" i="2"/>
  <c r="W313" i="2"/>
  <c r="V313" i="2"/>
  <c r="U644" i="2"/>
  <c r="W644" i="2"/>
  <c r="V644" i="2"/>
  <c r="V675" i="2"/>
  <c r="U675" i="2"/>
  <c r="W675" i="2"/>
  <c r="W674" i="2"/>
  <c r="V674" i="2"/>
  <c r="U674" i="2"/>
  <c r="X674" i="2" s="1"/>
  <c r="W477" i="2"/>
  <c r="V477" i="2"/>
  <c r="U477" i="2"/>
  <c r="W599" i="2"/>
  <c r="V599" i="2"/>
  <c r="U599" i="2"/>
  <c r="V53" i="2"/>
  <c r="U53" i="2"/>
  <c r="W53" i="2"/>
  <c r="W128" i="2"/>
  <c r="V128" i="2"/>
  <c r="U128" i="2"/>
  <c r="W677" i="2"/>
  <c r="V677" i="2"/>
  <c r="U677" i="2"/>
  <c r="U641" i="2"/>
  <c r="W641" i="2"/>
  <c r="V641" i="2"/>
  <c r="W478" i="2"/>
  <c r="V478" i="2"/>
  <c r="U478" i="2"/>
  <c r="W79" i="2"/>
  <c r="V79" i="2"/>
  <c r="U79" i="2"/>
  <c r="W519" i="2"/>
  <c r="V519" i="2"/>
  <c r="U519" i="2"/>
  <c r="W26" i="2"/>
  <c r="V26" i="2"/>
  <c r="U26" i="2"/>
  <c r="X26" i="2" s="1"/>
  <c r="V51" i="2"/>
  <c r="U51" i="2"/>
  <c r="W51" i="2"/>
  <c r="W708" i="2"/>
  <c r="V708" i="2"/>
  <c r="U708" i="2"/>
  <c r="P280" i="2"/>
  <c r="L839" i="2"/>
  <c r="S793" i="2"/>
  <c r="T793" i="2" s="1"/>
  <c r="S776" i="2"/>
  <c r="T776" i="2" s="1"/>
  <c r="S767" i="2"/>
  <c r="T767" i="2" s="1"/>
  <c r="S781" i="2"/>
  <c r="T781" i="2" s="1"/>
  <c r="S827" i="2"/>
  <c r="T827" i="2" s="1"/>
  <c r="S779" i="2"/>
  <c r="T779" i="2" s="1"/>
  <c r="S763" i="2"/>
  <c r="T763" i="2" s="1"/>
  <c r="S777" i="2"/>
  <c r="T777" i="2" s="1"/>
  <c r="S795" i="2"/>
  <c r="T795" i="2" s="1"/>
  <c r="S751" i="2"/>
  <c r="T751" i="2" s="1"/>
  <c r="S815" i="2"/>
  <c r="T815" i="2" s="1"/>
  <c r="S836" i="2"/>
  <c r="T836" i="2" s="1"/>
  <c r="S799" i="2"/>
  <c r="T799" i="2" s="1"/>
  <c r="S774" i="2"/>
  <c r="T774" i="2" s="1"/>
  <c r="S709" i="2"/>
  <c r="T709" i="2" s="1"/>
  <c r="S743" i="2"/>
  <c r="T743" i="2" s="1"/>
  <c r="S756" i="2"/>
  <c r="T756" i="2" s="1"/>
  <c r="S811" i="2"/>
  <c r="T811" i="2" s="1"/>
  <c r="S731" i="2"/>
  <c r="T731" i="2" s="1"/>
  <c r="S834" i="2"/>
  <c r="T834" i="2" s="1"/>
  <c r="S797" i="2"/>
  <c r="T797" i="2" s="1"/>
  <c r="S724" i="2"/>
  <c r="T724" i="2" s="1"/>
  <c r="S771" i="2"/>
  <c r="T771" i="2" s="1"/>
  <c r="S814" i="2"/>
  <c r="T814" i="2" s="1"/>
  <c r="S705" i="2"/>
  <c r="T705" i="2" s="1"/>
  <c r="S812" i="2"/>
  <c r="T812" i="2" s="1"/>
  <c r="S789" i="2"/>
  <c r="T789" i="2" s="1"/>
  <c r="S835" i="2"/>
  <c r="T835" i="2" s="1"/>
  <c r="S817" i="2"/>
  <c r="T817" i="2" s="1"/>
  <c r="S785" i="2"/>
  <c r="T785" i="2" s="1"/>
  <c r="S768" i="2"/>
  <c r="T768" i="2" s="1"/>
  <c r="S740" i="2"/>
  <c r="T740" i="2" s="1"/>
  <c r="S761" i="2"/>
  <c r="T761" i="2" s="1"/>
  <c r="S753" i="2"/>
  <c r="T753" i="2" s="1"/>
  <c r="S780" i="2"/>
  <c r="T780" i="2" s="1"/>
  <c r="S732" i="2"/>
  <c r="T732" i="2" s="1"/>
  <c r="S711" i="2"/>
  <c r="T711" i="2" s="1"/>
  <c r="S712" i="2"/>
  <c r="T712" i="2" s="1"/>
  <c r="S733" i="2"/>
  <c r="T733" i="2" s="1"/>
  <c r="S730" i="2"/>
  <c r="T730" i="2" s="1"/>
  <c r="S772" i="2"/>
  <c r="T772" i="2" s="1"/>
  <c r="S703" i="2"/>
  <c r="T703" i="2" s="1"/>
  <c r="S736" i="2"/>
  <c r="T736" i="2" s="1"/>
  <c r="S754" i="2"/>
  <c r="T754" i="2" s="1"/>
  <c r="S807" i="2"/>
  <c r="T807" i="2" s="1"/>
  <c r="S725" i="2"/>
  <c r="T725" i="2" s="1"/>
  <c r="S832" i="2"/>
  <c r="T832" i="2" s="1"/>
  <c r="S722" i="2"/>
  <c r="T722" i="2" s="1"/>
  <c r="S744" i="2"/>
  <c r="T744" i="2" s="1"/>
  <c r="S787" i="2"/>
  <c r="T787" i="2" s="1"/>
  <c r="S749" i="2"/>
  <c r="T749" i="2" s="1"/>
  <c r="S823" i="2"/>
  <c r="T823" i="2" s="1"/>
  <c r="S809" i="2"/>
  <c r="T809" i="2" s="1"/>
  <c r="S803" i="2"/>
  <c r="T803" i="2" s="1"/>
  <c r="S719" i="2"/>
  <c r="T719" i="2" s="1"/>
  <c r="S723" i="2"/>
  <c r="T723" i="2" s="1"/>
  <c r="S766" i="2"/>
  <c r="T766" i="2" s="1"/>
  <c r="S707" i="2"/>
  <c r="T707" i="2" s="1"/>
  <c r="S784" i="2"/>
  <c r="T784" i="2" s="1"/>
  <c r="S769" i="2"/>
  <c r="T769" i="2" s="1"/>
  <c r="S791" i="2"/>
  <c r="T791" i="2" s="1"/>
  <c r="S829" i="2"/>
  <c r="T829" i="2" s="1"/>
  <c r="S808" i="2"/>
  <c r="T808" i="2" s="1"/>
  <c r="S735" i="2"/>
  <c r="T735" i="2" s="1"/>
  <c r="S806" i="2"/>
  <c r="T806" i="2" s="1"/>
  <c r="S728" i="2"/>
  <c r="T728" i="2" s="1"/>
  <c r="S748" i="2"/>
  <c r="T748" i="2" s="1"/>
  <c r="S760" i="2"/>
  <c r="T760" i="2" s="1"/>
  <c r="S782" i="2"/>
  <c r="T782" i="2" s="1"/>
  <c r="S738" i="2"/>
  <c r="T738" i="2" s="1"/>
  <c r="S758" i="2"/>
  <c r="T758" i="2" s="1"/>
  <c r="S838" i="2"/>
  <c r="T838" i="2" s="1"/>
  <c r="S734" i="2"/>
  <c r="T734" i="2" s="1"/>
  <c r="S802" i="2"/>
  <c r="T802" i="2" s="1"/>
  <c r="S792" i="2"/>
  <c r="T792" i="2" s="1"/>
  <c r="S764" i="2"/>
  <c r="T764" i="2" s="1"/>
  <c r="S720" i="2"/>
  <c r="T720" i="2" s="1"/>
  <c r="S739" i="2"/>
  <c r="T739" i="2" s="1"/>
  <c r="S800" i="2"/>
  <c r="T800" i="2" s="1"/>
  <c r="S729" i="2"/>
  <c r="T729" i="2" s="1"/>
  <c r="S820" i="2"/>
  <c r="T820" i="2" s="1"/>
  <c r="S790" i="2"/>
  <c r="T790" i="2" s="1"/>
  <c r="S757" i="2"/>
  <c r="T757" i="2" s="1"/>
  <c r="S765" i="2"/>
  <c r="T765" i="2" s="1"/>
  <c r="S833" i="2"/>
  <c r="T833" i="2" s="1"/>
  <c r="S762" i="2"/>
  <c r="T762" i="2" s="1"/>
  <c r="S805" i="2"/>
  <c r="T805" i="2" s="1"/>
  <c r="S821" i="2"/>
  <c r="T821" i="2" s="1"/>
  <c r="S801" i="2"/>
  <c r="T801" i="2" s="1"/>
  <c r="S770" i="2"/>
  <c r="T770" i="2" s="1"/>
  <c r="S747" i="2"/>
  <c r="T747" i="2" s="1"/>
  <c r="S824" i="2"/>
  <c r="T824" i="2" s="1"/>
  <c r="S737" i="2"/>
  <c r="T737" i="2" s="1"/>
  <c r="S727" i="2"/>
  <c r="T727" i="2" s="1"/>
  <c r="S745" i="2"/>
  <c r="T745" i="2" s="1"/>
  <c r="S775" i="2"/>
  <c r="T775" i="2" s="1"/>
  <c r="S718" i="2"/>
  <c r="T718" i="2" s="1"/>
  <c r="S716" i="2"/>
  <c r="T716" i="2" s="1"/>
  <c r="S798" i="2"/>
  <c r="T798" i="2" s="1"/>
  <c r="S831" i="2"/>
  <c r="T831" i="2" s="1"/>
  <c r="S818" i="2"/>
  <c r="T818" i="2" s="1"/>
  <c r="S788" i="2"/>
  <c r="T788" i="2" s="1"/>
  <c r="S752" i="2"/>
  <c r="T752" i="2" s="1"/>
  <c r="S778" i="2"/>
  <c r="T778" i="2" s="1"/>
  <c r="S750" i="2"/>
  <c r="T750" i="2" s="1"/>
  <c r="S837" i="2"/>
  <c r="T837" i="2" s="1"/>
  <c r="S810" i="2"/>
  <c r="T810" i="2" s="1"/>
  <c r="S742" i="2"/>
  <c r="T742" i="2" s="1"/>
  <c r="S755" i="2"/>
  <c r="T755" i="2" s="1"/>
  <c r="S825" i="2"/>
  <c r="T825" i="2" s="1"/>
  <c r="S813" i="2"/>
  <c r="T813" i="2" s="1"/>
  <c r="S783" i="2"/>
  <c r="T783" i="2" s="1"/>
  <c r="S726" i="2"/>
  <c r="T726" i="2" s="1"/>
  <c r="S746" i="2"/>
  <c r="T746" i="2" s="1"/>
  <c r="S819" i="2"/>
  <c r="T819" i="2" s="1"/>
  <c r="S830" i="2"/>
  <c r="T830" i="2" s="1"/>
  <c r="S804" i="2"/>
  <c r="T804" i="2" s="1"/>
  <c r="S794" i="2"/>
  <c r="T794" i="2" s="1"/>
  <c r="S828" i="2"/>
  <c r="T828" i="2" s="1"/>
  <c r="S741" i="2"/>
  <c r="T741" i="2" s="1"/>
  <c r="S822" i="2"/>
  <c r="T822" i="2" s="1"/>
  <c r="S826" i="2"/>
  <c r="T826" i="2" s="1"/>
  <c r="S759" i="2"/>
  <c r="T759" i="2" s="1"/>
  <c r="S773" i="2"/>
  <c r="T773" i="2" s="1"/>
  <c r="S710" i="2"/>
  <c r="T710" i="2" s="1"/>
  <c r="S714" i="2"/>
  <c r="T714" i="2" s="1"/>
  <c r="S796" i="2"/>
  <c r="T796" i="2" s="1"/>
  <c r="S704" i="2"/>
  <c r="T704" i="2" s="1"/>
  <c r="S816" i="2"/>
  <c r="T816" i="2" s="1"/>
  <c r="S786" i="2"/>
  <c r="T786" i="2" s="1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1" i="2"/>
  <c r="Q520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R180" i="2" s="1"/>
  <c r="Q179" i="2"/>
  <c r="Q178" i="2"/>
  <c r="Q177" i="2"/>
  <c r="Q176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1" i="2"/>
  <c r="H520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X292" i="2" l="1"/>
  <c r="X715" i="2"/>
  <c r="X602" i="2"/>
  <c r="X416" i="2"/>
  <c r="X522" i="2"/>
  <c r="X523" i="2"/>
  <c r="X129" i="2"/>
  <c r="X158" i="2"/>
  <c r="X29" i="2"/>
  <c r="X620" i="2"/>
  <c r="X480" i="2"/>
  <c r="X25" i="2"/>
  <c r="U735" i="2"/>
  <c r="W735" i="2"/>
  <c r="V735" i="2"/>
  <c r="U729" i="2"/>
  <c r="W729" i="2"/>
  <c r="V729" i="2"/>
  <c r="W740" i="2"/>
  <c r="V740" i="2"/>
  <c r="U740" i="2"/>
  <c r="W722" i="2"/>
  <c r="V722" i="2"/>
  <c r="U722" i="2"/>
  <c r="V743" i="2"/>
  <c r="W743" i="2"/>
  <c r="U743" i="2"/>
  <c r="U830" i="2"/>
  <c r="W830" i="2"/>
  <c r="V830" i="2"/>
  <c r="U823" i="2"/>
  <c r="V823" i="2"/>
  <c r="W823" i="2"/>
  <c r="W781" i="2"/>
  <c r="V781" i="2"/>
  <c r="U781" i="2"/>
  <c r="W798" i="2"/>
  <c r="V798" i="2"/>
  <c r="U798" i="2"/>
  <c r="W749" i="2"/>
  <c r="V749" i="2"/>
  <c r="U749" i="2"/>
  <c r="U767" i="2"/>
  <c r="W767" i="2"/>
  <c r="V767" i="2"/>
  <c r="U820" i="2"/>
  <c r="W820" i="2"/>
  <c r="V820" i="2"/>
  <c r="W756" i="2"/>
  <c r="V756" i="2"/>
  <c r="U756" i="2"/>
  <c r="W813" i="2"/>
  <c r="V813" i="2"/>
  <c r="U813" i="2"/>
  <c r="W745" i="2"/>
  <c r="V745" i="2"/>
  <c r="U745" i="2"/>
  <c r="X745" i="2" s="1"/>
  <c r="U808" i="2"/>
  <c r="V808" i="2"/>
  <c r="W808" i="2"/>
  <c r="W832" i="2"/>
  <c r="U832" i="2"/>
  <c r="V832" i="2"/>
  <c r="W709" i="2"/>
  <c r="V709" i="2"/>
  <c r="U709" i="2"/>
  <c r="W714" i="2"/>
  <c r="V714" i="2"/>
  <c r="U714" i="2"/>
  <c r="W739" i="2"/>
  <c r="V739" i="2"/>
  <c r="U739" i="2"/>
  <c r="U785" i="2"/>
  <c r="W785" i="2"/>
  <c r="V785" i="2"/>
  <c r="W791" i="2"/>
  <c r="V791" i="2"/>
  <c r="U791" i="2"/>
  <c r="V742" i="2"/>
  <c r="W742" i="2"/>
  <c r="U742" i="2"/>
  <c r="U769" i="2"/>
  <c r="W769" i="2"/>
  <c r="V769" i="2"/>
  <c r="W836" i="2"/>
  <c r="V836" i="2"/>
  <c r="U836" i="2"/>
  <c r="U810" i="2"/>
  <c r="W810" i="2"/>
  <c r="V810" i="2"/>
  <c r="W792" i="2"/>
  <c r="V792" i="2"/>
  <c r="U792" i="2"/>
  <c r="W784" i="2"/>
  <c r="V784" i="2"/>
  <c r="U784" i="2"/>
  <c r="W789" i="2"/>
  <c r="V789" i="2"/>
  <c r="U789" i="2"/>
  <c r="W815" i="2"/>
  <c r="V815" i="2"/>
  <c r="U815" i="2"/>
  <c r="U703" i="2"/>
  <c r="V703" i="2"/>
  <c r="W703" i="2"/>
  <c r="V822" i="2"/>
  <c r="W822" i="2"/>
  <c r="U822" i="2"/>
  <c r="U750" i="2"/>
  <c r="W750" i="2"/>
  <c r="V750" i="2"/>
  <c r="W734" i="2"/>
  <c r="V734" i="2"/>
  <c r="U734" i="2"/>
  <c r="W772" i="2"/>
  <c r="V772" i="2"/>
  <c r="U772" i="2"/>
  <c r="V821" i="2"/>
  <c r="W821" i="2"/>
  <c r="U821" i="2"/>
  <c r="U814" i="2"/>
  <c r="W814" i="2"/>
  <c r="V814" i="2"/>
  <c r="W828" i="2"/>
  <c r="V828" i="2"/>
  <c r="U828" i="2"/>
  <c r="V758" i="2"/>
  <c r="W758" i="2"/>
  <c r="U758" i="2"/>
  <c r="U733" i="2"/>
  <c r="V733" i="2"/>
  <c r="W733" i="2"/>
  <c r="W771" i="2"/>
  <c r="V771" i="2"/>
  <c r="U771" i="2"/>
  <c r="W763" i="2"/>
  <c r="U763" i="2"/>
  <c r="V763" i="2"/>
  <c r="W794" i="2"/>
  <c r="V794" i="2"/>
  <c r="U794" i="2"/>
  <c r="U788" i="2"/>
  <c r="W788" i="2"/>
  <c r="V788" i="2"/>
  <c r="W762" i="2"/>
  <c r="V762" i="2"/>
  <c r="U762" i="2"/>
  <c r="W738" i="2"/>
  <c r="V738" i="2"/>
  <c r="U738" i="2"/>
  <c r="U803" i="2"/>
  <c r="W803" i="2"/>
  <c r="V803" i="2"/>
  <c r="U712" i="2"/>
  <c r="W712" i="2"/>
  <c r="V712" i="2"/>
  <c r="W724" i="2"/>
  <c r="V724" i="2"/>
  <c r="U724" i="2"/>
  <c r="W779" i="2"/>
  <c r="V779" i="2"/>
  <c r="U779" i="2"/>
  <c r="W831" i="2"/>
  <c r="V831" i="2"/>
  <c r="U831" i="2"/>
  <c r="W765" i="2"/>
  <c r="V765" i="2"/>
  <c r="U765" i="2"/>
  <c r="X765" i="2" s="1"/>
  <c r="W760" i="2"/>
  <c r="V760" i="2"/>
  <c r="U760" i="2"/>
  <c r="W732" i="2"/>
  <c r="V732" i="2"/>
  <c r="U732" i="2"/>
  <c r="W834" i="2"/>
  <c r="V834" i="2"/>
  <c r="U834" i="2"/>
  <c r="W819" i="2"/>
  <c r="V819" i="2"/>
  <c r="U819" i="2"/>
  <c r="U757" i="2"/>
  <c r="W757" i="2"/>
  <c r="V757" i="2"/>
  <c r="W748" i="2"/>
  <c r="V748" i="2"/>
  <c r="U748" i="2"/>
  <c r="W780" i="2"/>
  <c r="V780" i="2"/>
  <c r="U780" i="2"/>
  <c r="W731" i="2"/>
  <c r="V731" i="2"/>
  <c r="U731" i="2"/>
  <c r="W786" i="2"/>
  <c r="V786" i="2"/>
  <c r="U786" i="2"/>
  <c r="W746" i="2"/>
  <c r="V746" i="2"/>
  <c r="U746" i="2"/>
  <c r="W716" i="2"/>
  <c r="V716" i="2"/>
  <c r="U716" i="2"/>
  <c r="V790" i="2"/>
  <c r="W790" i="2"/>
  <c r="U790" i="2"/>
  <c r="W728" i="2"/>
  <c r="V728" i="2"/>
  <c r="U728" i="2"/>
  <c r="V787" i="2"/>
  <c r="U787" i="2"/>
  <c r="W787" i="2"/>
  <c r="U753" i="2"/>
  <c r="V753" i="2"/>
  <c r="W753" i="2"/>
  <c r="W811" i="2"/>
  <c r="V811" i="2"/>
  <c r="U811" i="2"/>
  <c r="U776" i="2"/>
  <c r="W776" i="2"/>
  <c r="V776" i="2"/>
  <c r="W816" i="2"/>
  <c r="V816" i="2"/>
  <c r="U816" i="2"/>
  <c r="V726" i="2"/>
  <c r="W726" i="2"/>
  <c r="U726" i="2"/>
  <c r="V718" i="2"/>
  <c r="U718" i="2"/>
  <c r="W718" i="2"/>
  <c r="V806" i="2"/>
  <c r="W806" i="2"/>
  <c r="U806" i="2"/>
  <c r="W744" i="2"/>
  <c r="V744" i="2"/>
  <c r="U744" i="2"/>
  <c r="W761" i="2"/>
  <c r="V761" i="2"/>
  <c r="U761" i="2"/>
  <c r="U793" i="2"/>
  <c r="V793" i="2"/>
  <c r="W793" i="2"/>
  <c r="W704" i="2"/>
  <c r="V704" i="2"/>
  <c r="U704" i="2"/>
  <c r="X704" i="2" s="1"/>
  <c r="W783" i="2"/>
  <c r="V783" i="2"/>
  <c r="U783" i="2"/>
  <c r="W775" i="2"/>
  <c r="V775" i="2"/>
  <c r="U775" i="2"/>
  <c r="X775" i="2" s="1"/>
  <c r="U796" i="2"/>
  <c r="W796" i="2"/>
  <c r="V796" i="2"/>
  <c r="U800" i="2"/>
  <c r="W800" i="2"/>
  <c r="V800" i="2"/>
  <c r="W768" i="2"/>
  <c r="V768" i="2"/>
  <c r="U768" i="2"/>
  <c r="W825" i="2"/>
  <c r="V825" i="2"/>
  <c r="U825" i="2"/>
  <c r="V727" i="2"/>
  <c r="U727" i="2"/>
  <c r="W727" i="2"/>
  <c r="W829" i="2"/>
  <c r="V829" i="2"/>
  <c r="U829" i="2"/>
  <c r="W725" i="2"/>
  <c r="V725" i="2"/>
  <c r="U725" i="2"/>
  <c r="V774" i="2"/>
  <c r="W774" i="2"/>
  <c r="U774" i="2"/>
  <c r="V710" i="2"/>
  <c r="W710" i="2"/>
  <c r="U710" i="2"/>
  <c r="W755" i="2"/>
  <c r="V755" i="2"/>
  <c r="U755" i="2"/>
  <c r="U737" i="2"/>
  <c r="V737" i="2"/>
  <c r="W737" i="2"/>
  <c r="W720" i="2"/>
  <c r="V720" i="2"/>
  <c r="U720" i="2"/>
  <c r="W807" i="2"/>
  <c r="V807" i="2"/>
  <c r="U807" i="2"/>
  <c r="U817" i="2"/>
  <c r="V817" i="2"/>
  <c r="W817" i="2"/>
  <c r="W799" i="2"/>
  <c r="V799" i="2"/>
  <c r="U799" i="2"/>
  <c r="U773" i="2"/>
  <c r="W773" i="2"/>
  <c r="V773" i="2"/>
  <c r="W824" i="2"/>
  <c r="V824" i="2"/>
  <c r="U824" i="2"/>
  <c r="W764" i="2"/>
  <c r="V764" i="2"/>
  <c r="U764" i="2"/>
  <c r="W754" i="2"/>
  <c r="V754" i="2"/>
  <c r="U754" i="2"/>
  <c r="W835" i="2"/>
  <c r="V835" i="2"/>
  <c r="U835" i="2"/>
  <c r="U759" i="2"/>
  <c r="W759" i="2"/>
  <c r="V759" i="2"/>
  <c r="W747" i="2"/>
  <c r="V747" i="2"/>
  <c r="U747" i="2"/>
  <c r="U736" i="2"/>
  <c r="W736" i="2"/>
  <c r="V736" i="2"/>
  <c r="U826" i="2"/>
  <c r="W826" i="2"/>
  <c r="V826" i="2"/>
  <c r="W837" i="2"/>
  <c r="V837" i="2"/>
  <c r="U837" i="2"/>
  <c r="V770" i="2"/>
  <c r="U770" i="2"/>
  <c r="W770" i="2"/>
  <c r="U802" i="2"/>
  <c r="W802" i="2"/>
  <c r="V802" i="2"/>
  <c r="W707" i="2"/>
  <c r="U707" i="2"/>
  <c r="V707" i="2"/>
  <c r="U812" i="2"/>
  <c r="W812" i="2"/>
  <c r="V812" i="2"/>
  <c r="W751" i="2"/>
  <c r="V751" i="2"/>
  <c r="U751" i="2"/>
  <c r="U801" i="2"/>
  <c r="W801" i="2"/>
  <c r="V801" i="2"/>
  <c r="W766" i="2"/>
  <c r="V766" i="2"/>
  <c r="U766" i="2"/>
  <c r="U705" i="2"/>
  <c r="W705" i="2"/>
  <c r="V705" i="2"/>
  <c r="W795" i="2"/>
  <c r="V795" i="2"/>
  <c r="U795" i="2"/>
  <c r="W741" i="2"/>
  <c r="U741" i="2"/>
  <c r="V741" i="2"/>
  <c r="V778" i="2"/>
  <c r="U778" i="2"/>
  <c r="W778" i="2"/>
  <c r="V838" i="2"/>
  <c r="W838" i="2"/>
  <c r="U838" i="2"/>
  <c r="X838" i="2" s="1"/>
  <c r="U723" i="2"/>
  <c r="W723" i="2"/>
  <c r="V723" i="2"/>
  <c r="V730" i="2"/>
  <c r="W730" i="2"/>
  <c r="U730" i="2"/>
  <c r="W777" i="2"/>
  <c r="V777" i="2"/>
  <c r="U777" i="2"/>
  <c r="W752" i="2"/>
  <c r="V752" i="2"/>
  <c r="U752" i="2"/>
  <c r="W805" i="2"/>
  <c r="V805" i="2"/>
  <c r="U805" i="2"/>
  <c r="U719" i="2"/>
  <c r="W719" i="2"/>
  <c r="V719" i="2"/>
  <c r="V804" i="2"/>
  <c r="W804" i="2"/>
  <c r="U804" i="2"/>
  <c r="W818" i="2"/>
  <c r="V818" i="2"/>
  <c r="U818" i="2"/>
  <c r="U833" i="2"/>
  <c r="W833" i="2"/>
  <c r="V833" i="2"/>
  <c r="U782" i="2"/>
  <c r="W782" i="2"/>
  <c r="V782" i="2"/>
  <c r="W809" i="2"/>
  <c r="V809" i="2"/>
  <c r="U809" i="2"/>
  <c r="U711" i="2"/>
  <c r="V711" i="2"/>
  <c r="W711" i="2"/>
  <c r="U797" i="2"/>
  <c r="W797" i="2"/>
  <c r="V797" i="2"/>
  <c r="W827" i="2"/>
  <c r="U827" i="2"/>
  <c r="V827" i="2"/>
  <c r="X477" i="2"/>
  <c r="X643" i="2"/>
  <c r="X479" i="2"/>
  <c r="X78" i="2"/>
  <c r="X717" i="2"/>
  <c r="X313" i="2"/>
  <c r="X706" i="2"/>
  <c r="X153" i="2"/>
  <c r="X677" i="2"/>
  <c r="X642" i="2"/>
  <c r="X519" i="2"/>
  <c r="X293" i="2"/>
  <c r="X616" i="2"/>
  <c r="X444" i="2"/>
  <c r="X475" i="2"/>
  <c r="X99" i="2"/>
  <c r="X526" i="2"/>
  <c r="X51" i="2"/>
  <c r="X314" i="2"/>
  <c r="X618" i="2"/>
  <c r="X415" i="2"/>
  <c r="X619" i="2"/>
  <c r="X128" i="2"/>
  <c r="X53" i="2"/>
  <c r="X443" i="2"/>
  <c r="X27" i="2"/>
  <c r="X644" i="2"/>
  <c r="X676" i="2"/>
  <c r="X315" i="2"/>
  <c r="X615" i="2"/>
  <c r="X232" i="2"/>
  <c r="X155" i="2"/>
  <c r="X445" i="2"/>
  <c r="X312" i="2"/>
  <c r="X524" i="2"/>
  <c r="X156" i="2"/>
  <c r="X290" i="2"/>
  <c r="X713" i="2"/>
  <c r="X600" i="2"/>
  <c r="X675" i="2"/>
  <c r="X414" i="2"/>
  <c r="X599" i="2"/>
  <c r="X234" i="2"/>
  <c r="X231" i="2"/>
  <c r="X442" i="2"/>
  <c r="X79" i="2"/>
  <c r="X527" i="2"/>
  <c r="X127" i="2"/>
  <c r="X417" i="2"/>
  <c r="X721" i="2"/>
  <c r="X478" i="2"/>
  <c r="X476" i="2"/>
  <c r="X708" i="2"/>
  <c r="X130" i="2"/>
  <c r="X24" i="2"/>
  <c r="X291" i="2"/>
  <c r="X154" i="2"/>
  <c r="X80" i="2"/>
  <c r="X641" i="2"/>
  <c r="X525" i="2"/>
  <c r="X28" i="2"/>
  <c r="S180" i="2"/>
  <c r="T180" i="2" s="1"/>
  <c r="R181" i="2"/>
  <c r="R207" i="2"/>
  <c r="R197" i="2"/>
  <c r="R199" i="2"/>
  <c r="R205" i="2"/>
  <c r="R389" i="2"/>
  <c r="R391" i="2"/>
  <c r="R393" i="2"/>
  <c r="R397" i="2"/>
  <c r="R368" i="2"/>
  <c r="R392" i="2"/>
  <c r="R384" i="2"/>
  <c r="R388" i="2"/>
  <c r="R399" i="2"/>
  <c r="R422" i="2"/>
  <c r="R434" i="2"/>
  <c r="R446" i="2"/>
  <c r="R450" i="2"/>
  <c r="R425" i="2"/>
  <c r="R431" i="2"/>
  <c r="R433" i="2"/>
  <c r="R441" i="2"/>
  <c r="R423" i="2"/>
  <c r="R439" i="2"/>
  <c r="R657" i="2"/>
  <c r="R659" i="2"/>
  <c r="R667" i="2"/>
  <c r="R671" i="2"/>
  <c r="R692" i="2"/>
  <c r="R694" i="2"/>
  <c r="R656" i="2"/>
  <c r="R658" i="2"/>
  <c r="R664" i="2"/>
  <c r="R666" i="2"/>
  <c r="R691" i="2"/>
  <c r="R693" i="2"/>
  <c r="R699" i="2"/>
  <c r="R701" i="2"/>
  <c r="R474" i="2"/>
  <c r="R483" i="2"/>
  <c r="R489" i="2"/>
  <c r="R511" i="2"/>
  <c r="R513" i="2"/>
  <c r="R520" i="2"/>
  <c r="R246" i="2"/>
  <c r="R248" i="2"/>
  <c r="R258" i="2"/>
  <c r="R264" i="2"/>
  <c r="R322" i="2"/>
  <c r="R332" i="2"/>
  <c r="R334" i="2"/>
  <c r="R338" i="2"/>
  <c r="R493" i="2"/>
  <c r="R497" i="2"/>
  <c r="R501" i="2"/>
  <c r="R505" i="2"/>
  <c r="R531" i="2"/>
  <c r="R535" i="2"/>
  <c r="R543" i="2"/>
  <c r="R547" i="2"/>
  <c r="R605" i="2"/>
  <c r="R607" i="2"/>
  <c r="R613" i="2"/>
  <c r="R647" i="2"/>
  <c r="R653" i="2"/>
  <c r="R655" i="2"/>
  <c r="R182" i="2"/>
  <c r="R184" i="2"/>
  <c r="R198" i="2"/>
  <c r="R200" i="2"/>
  <c r="R208" i="2"/>
  <c r="R212" i="2"/>
  <c r="R228" i="2"/>
  <c r="R268" i="2"/>
  <c r="R275" i="2"/>
  <c r="R279" i="2"/>
  <c r="R287" i="2"/>
  <c r="R295" i="2"/>
  <c r="R299" i="2"/>
  <c r="R303" i="2"/>
  <c r="R342" i="2"/>
  <c r="R346" i="2"/>
  <c r="R348" i="2"/>
  <c r="R358" i="2"/>
  <c r="R362" i="2"/>
  <c r="R364" i="2"/>
  <c r="R498" i="2"/>
  <c r="R500" i="2"/>
  <c r="R528" i="2"/>
  <c r="R530" i="2"/>
  <c r="R540" i="2"/>
  <c r="R272" i="2"/>
  <c r="R274" i="2"/>
  <c r="R276" i="2"/>
  <c r="R278" i="2"/>
  <c r="R288" i="2"/>
  <c r="R294" i="2"/>
  <c r="R296" i="2"/>
  <c r="R298" i="2"/>
  <c r="R591" i="2"/>
  <c r="R595" i="2"/>
  <c r="R623" i="2"/>
  <c r="R631" i="2"/>
  <c r="R635" i="2"/>
  <c r="R682" i="2"/>
  <c r="R690" i="2"/>
  <c r="R230" i="2"/>
  <c r="R236" i="2"/>
  <c r="R252" i="2"/>
  <c r="R283" i="2"/>
  <c r="R308" i="2"/>
  <c r="R310" i="2"/>
  <c r="R311" i="2"/>
  <c r="R317" i="2"/>
  <c r="R327" i="2"/>
  <c r="R329" i="2"/>
  <c r="R331" i="2"/>
  <c r="R333" i="2"/>
  <c r="R352" i="2"/>
  <c r="R374" i="2"/>
  <c r="R378" i="2"/>
  <c r="R380" i="2"/>
  <c r="R411" i="2"/>
  <c r="R419" i="2"/>
  <c r="R456" i="2"/>
  <c r="R458" i="2"/>
  <c r="R542" i="2"/>
  <c r="R553" i="2"/>
  <c r="R576" i="2"/>
  <c r="R578" i="2"/>
  <c r="R580" i="2"/>
  <c r="R582" i="2"/>
  <c r="R584" i="2"/>
  <c r="R586" i="2"/>
  <c r="R588" i="2"/>
  <c r="R590" i="2"/>
  <c r="R622" i="2"/>
  <c r="R628" i="2"/>
  <c r="R630" i="2"/>
  <c r="R176" i="2"/>
  <c r="R188" i="2"/>
  <c r="R196" i="2"/>
  <c r="R229" i="2"/>
  <c r="R307" i="2"/>
  <c r="R318" i="2"/>
  <c r="R326" i="2"/>
  <c r="R468" i="2"/>
  <c r="R470" i="2"/>
  <c r="R183" i="2"/>
  <c r="R189" i="2"/>
  <c r="R191" i="2"/>
  <c r="R190" i="2"/>
  <c r="R192" i="2"/>
  <c r="R202" i="2"/>
  <c r="R204" i="2"/>
  <c r="R210" i="2"/>
  <c r="R213" i="2"/>
  <c r="R215" i="2"/>
  <c r="R221" i="2"/>
  <c r="R223" i="2"/>
  <c r="R225" i="2"/>
  <c r="R227" i="2"/>
  <c r="R238" i="2"/>
  <c r="R240" i="2"/>
  <c r="R242" i="2"/>
  <c r="R244" i="2"/>
  <c r="R257" i="2"/>
  <c r="R259" i="2"/>
  <c r="R261" i="2"/>
  <c r="R289" i="2"/>
  <c r="R297" i="2"/>
  <c r="R328" i="2"/>
  <c r="R330" i="2"/>
  <c r="R340" i="2"/>
  <c r="R344" i="2"/>
  <c r="R357" i="2"/>
  <c r="R359" i="2"/>
  <c r="R361" i="2"/>
  <c r="R363" i="2"/>
  <c r="R372" i="2"/>
  <c r="R376" i="2"/>
  <c r="R394" i="2"/>
  <c r="R396" i="2"/>
  <c r="R404" i="2"/>
  <c r="R406" i="2"/>
  <c r="R408" i="2"/>
  <c r="R410" i="2"/>
  <c r="R412" i="2"/>
  <c r="R454" i="2"/>
  <c r="R459" i="2"/>
  <c r="R461" i="2"/>
  <c r="R463" i="2"/>
  <c r="R471" i="2"/>
  <c r="R473" i="2"/>
  <c r="R481" i="2"/>
  <c r="R485" i="2"/>
  <c r="R495" i="2"/>
  <c r="R499" i="2"/>
  <c r="R503" i="2"/>
  <c r="R506" i="2"/>
  <c r="R508" i="2"/>
  <c r="R514" i="2"/>
  <c r="R516" i="2"/>
  <c r="R521" i="2"/>
  <c r="R533" i="2"/>
  <c r="R536" i="2"/>
  <c r="R538" i="2"/>
  <c r="R551" i="2"/>
  <c r="R554" i="2"/>
  <c r="R556" i="2"/>
  <c r="R558" i="2"/>
  <c r="R560" i="2"/>
  <c r="R562" i="2"/>
  <c r="R564" i="2"/>
  <c r="R566" i="2"/>
  <c r="R569" i="2"/>
  <c r="R575" i="2"/>
  <c r="R593" i="2"/>
  <c r="R596" i="2"/>
  <c r="R598" i="2"/>
  <c r="R608" i="2"/>
  <c r="R610" i="2"/>
  <c r="R639" i="2"/>
  <c r="R651" i="2"/>
  <c r="R663" i="2"/>
  <c r="R672" i="2"/>
  <c r="R673" i="2"/>
  <c r="R683" i="2"/>
  <c r="R685" i="2"/>
  <c r="R216" i="2"/>
  <c r="R220" i="2"/>
  <c r="R222" i="2"/>
  <c r="R224" i="2"/>
  <c r="R241" i="2"/>
  <c r="R243" i="2"/>
  <c r="R245" i="2"/>
  <c r="R254" i="2"/>
  <c r="R256" i="2"/>
  <c r="R260" i="2"/>
  <c r="R273" i="2"/>
  <c r="R277" i="2"/>
  <c r="R309" i="2"/>
  <c r="R316" i="2"/>
  <c r="R341" i="2"/>
  <c r="R343" i="2"/>
  <c r="R345" i="2"/>
  <c r="R347" i="2"/>
  <c r="R356" i="2"/>
  <c r="R360" i="2"/>
  <c r="R373" i="2"/>
  <c r="R375" i="2"/>
  <c r="R377" i="2"/>
  <c r="R379" i="2"/>
  <c r="R403" i="2"/>
  <c r="R407" i="2"/>
  <c r="R413" i="2"/>
  <c r="R428" i="2"/>
  <c r="R430" i="2"/>
  <c r="R436" i="2"/>
  <c r="R438" i="2"/>
  <c r="R448" i="2"/>
  <c r="R451" i="2"/>
  <c r="R453" i="2"/>
  <c r="R460" i="2"/>
  <c r="R462" i="2"/>
  <c r="R464" i="2"/>
  <c r="R482" i="2"/>
  <c r="R484" i="2"/>
  <c r="R509" i="2"/>
  <c r="R517" i="2"/>
  <c r="R539" i="2"/>
  <c r="R545" i="2"/>
  <c r="R548" i="2"/>
  <c r="R550" i="2"/>
  <c r="R603" i="2"/>
  <c r="R611" i="2"/>
  <c r="R625" i="2"/>
  <c r="R627" i="2"/>
  <c r="R633" i="2"/>
  <c r="R636" i="2"/>
  <c r="R638" i="2"/>
  <c r="R648" i="2"/>
  <c r="R650" i="2"/>
  <c r="R678" i="2"/>
  <c r="R684" i="2"/>
  <c r="R686" i="2"/>
  <c r="R696" i="2"/>
  <c r="R698" i="2"/>
  <c r="R218" i="2"/>
  <c r="R270" i="2"/>
  <c r="R285" i="2"/>
  <c r="R305" i="2"/>
  <c r="R324" i="2"/>
  <c r="R354" i="2"/>
  <c r="R370" i="2"/>
  <c r="R386" i="2"/>
  <c r="R401" i="2"/>
  <c r="R420" i="2"/>
  <c r="R177" i="2"/>
  <c r="R179" i="2"/>
  <c r="R186" i="2"/>
  <c r="R193" i="2"/>
  <c r="R195" i="2"/>
  <c r="R206" i="2"/>
  <c r="R209" i="2"/>
  <c r="R211" i="2"/>
  <c r="R247" i="2"/>
  <c r="R263" i="2"/>
  <c r="R390" i="2"/>
  <c r="R395" i="2"/>
  <c r="R405" i="2"/>
  <c r="R424" i="2"/>
  <c r="R235" i="2"/>
  <c r="R249" i="2"/>
  <c r="R251" i="2"/>
  <c r="R265" i="2"/>
  <c r="R267" i="2"/>
  <c r="R280" i="2"/>
  <c r="R282" i="2"/>
  <c r="R300" i="2"/>
  <c r="R302" i="2"/>
  <c r="R319" i="2"/>
  <c r="R321" i="2"/>
  <c r="R335" i="2"/>
  <c r="R337" i="2"/>
  <c r="R349" i="2"/>
  <c r="R351" i="2"/>
  <c r="R365" i="2"/>
  <c r="R367" i="2"/>
  <c r="R381" i="2"/>
  <c r="R383" i="2"/>
  <c r="R398" i="2"/>
  <c r="R418" i="2"/>
  <c r="R426" i="2"/>
  <c r="R178" i="2"/>
  <c r="R185" i="2"/>
  <c r="R187" i="2"/>
  <c r="R194" i="2"/>
  <c r="R201" i="2"/>
  <c r="R203" i="2"/>
  <c r="R214" i="2"/>
  <c r="R217" i="2"/>
  <c r="R219" i="2"/>
  <c r="R226" i="2"/>
  <c r="R237" i="2"/>
  <c r="R239" i="2"/>
  <c r="R250" i="2"/>
  <c r="R253" i="2"/>
  <c r="R255" i="2"/>
  <c r="R262" i="2"/>
  <c r="R266" i="2"/>
  <c r="R269" i="2"/>
  <c r="R271" i="2"/>
  <c r="R281" i="2"/>
  <c r="R284" i="2"/>
  <c r="R286" i="2"/>
  <c r="R301" i="2"/>
  <c r="R304" i="2"/>
  <c r="R306" i="2"/>
  <c r="R320" i="2"/>
  <c r="R323" i="2"/>
  <c r="R325" i="2"/>
  <c r="R336" i="2"/>
  <c r="R339" i="2"/>
  <c r="R350" i="2"/>
  <c r="R353" i="2"/>
  <c r="R355" i="2"/>
  <c r="R366" i="2"/>
  <c r="R369" i="2"/>
  <c r="R371" i="2"/>
  <c r="R382" i="2"/>
  <c r="R385" i="2"/>
  <c r="R387" i="2"/>
  <c r="R400" i="2"/>
  <c r="R402" i="2"/>
  <c r="R409" i="2"/>
  <c r="R427" i="2"/>
  <c r="R429" i="2"/>
  <c r="R440" i="2"/>
  <c r="R447" i="2"/>
  <c r="R449" i="2"/>
  <c r="R466" i="2"/>
  <c r="R472" i="2"/>
  <c r="R486" i="2"/>
  <c r="R488" i="2"/>
  <c r="R502" i="2"/>
  <c r="R504" i="2"/>
  <c r="R515" i="2"/>
  <c r="R518" i="2"/>
  <c r="R529" i="2"/>
  <c r="R532" i="2"/>
  <c r="R534" i="2"/>
  <c r="R541" i="2"/>
  <c r="R544" i="2"/>
  <c r="R546" i="2"/>
  <c r="R577" i="2"/>
  <c r="R579" i="2"/>
  <c r="R581" i="2"/>
  <c r="R583" i="2"/>
  <c r="R585" i="2"/>
  <c r="R587" i="2"/>
  <c r="R589" i="2"/>
  <c r="R592" i="2"/>
  <c r="R594" i="2"/>
  <c r="R609" i="2"/>
  <c r="R612" i="2"/>
  <c r="R614" i="2"/>
  <c r="R629" i="2"/>
  <c r="R632" i="2"/>
  <c r="R634" i="2"/>
  <c r="R645" i="2"/>
  <c r="R649" i="2"/>
  <c r="R652" i="2"/>
  <c r="R654" i="2"/>
  <c r="R661" i="2"/>
  <c r="R665" i="2"/>
  <c r="R668" i="2"/>
  <c r="R670" i="2"/>
  <c r="R680" i="2"/>
  <c r="R687" i="2"/>
  <c r="R689" i="2"/>
  <c r="R700" i="2"/>
  <c r="R702" i="2"/>
  <c r="R487" i="2"/>
  <c r="R490" i="2"/>
  <c r="R492" i="2"/>
  <c r="R421" i="2"/>
  <c r="R432" i="2"/>
  <c r="R435" i="2"/>
  <c r="R437" i="2"/>
  <c r="R452" i="2"/>
  <c r="R455" i="2"/>
  <c r="R457" i="2"/>
  <c r="R465" i="2"/>
  <c r="R467" i="2"/>
  <c r="R491" i="2"/>
  <c r="R494" i="2"/>
  <c r="R496" i="2"/>
  <c r="R507" i="2"/>
  <c r="R510" i="2"/>
  <c r="R512" i="2"/>
  <c r="R537" i="2"/>
  <c r="R549" i="2"/>
  <c r="R552" i="2"/>
  <c r="R555" i="2"/>
  <c r="R557" i="2"/>
  <c r="R559" i="2"/>
  <c r="R561" i="2"/>
  <c r="R563" i="2"/>
  <c r="R565" i="2"/>
  <c r="R567" i="2"/>
  <c r="R568" i="2"/>
  <c r="R574" i="2"/>
  <c r="R597" i="2"/>
  <c r="R604" i="2"/>
  <c r="R606" i="2"/>
  <c r="R621" i="2"/>
  <c r="R624" i="2"/>
  <c r="R626" i="2"/>
  <c r="R637" i="2"/>
  <c r="R640" i="2"/>
  <c r="R646" i="2"/>
  <c r="R660" i="2"/>
  <c r="R662" i="2"/>
  <c r="R669" i="2"/>
  <c r="R679" i="2"/>
  <c r="R681" i="2"/>
  <c r="R688" i="2"/>
  <c r="R695" i="2"/>
  <c r="R697" i="2"/>
  <c r="R469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1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1" i="2"/>
  <c r="X709" i="2" l="1"/>
  <c r="X742" i="2"/>
  <c r="X819" i="2"/>
  <c r="X832" i="2"/>
  <c r="X820" i="2"/>
  <c r="X794" i="2"/>
  <c r="X755" i="2"/>
  <c r="X771" i="2"/>
  <c r="X738" i="2"/>
  <c r="X770" i="2"/>
  <c r="X823" i="2"/>
  <c r="X723" i="2"/>
  <c r="X703" i="2"/>
  <c r="X802" i="2"/>
  <c r="X814" i="2"/>
  <c r="W180" i="2"/>
  <c r="V180" i="2"/>
  <c r="U180" i="2"/>
  <c r="X818" i="2"/>
  <c r="X719" i="2"/>
  <c r="X778" i="2"/>
  <c r="X813" i="2"/>
  <c r="X827" i="2"/>
  <c r="X795" i="2"/>
  <c r="X710" i="2"/>
  <c r="X712" i="2"/>
  <c r="X751" i="2"/>
  <c r="X836" i="2"/>
  <c r="X824" i="2"/>
  <c r="X811" i="2"/>
  <c r="X734" i="2"/>
  <c r="X784" i="2"/>
  <c r="X808" i="2"/>
  <c r="X728" i="2"/>
  <c r="X725" i="2"/>
  <c r="X730" i="2"/>
  <c r="X788" i="2"/>
  <c r="X720" i="2"/>
  <c r="X835" i="2"/>
  <c r="X759" i="2"/>
  <c r="X722" i="2"/>
  <c r="X764" i="2"/>
  <c r="X726" i="2"/>
  <c r="X809" i="2"/>
  <c r="X766" i="2"/>
  <c r="X763" i="2"/>
  <c r="X768" i="2"/>
  <c r="X807" i="2"/>
  <c r="X746" i="2"/>
  <c r="X779" i="2"/>
  <c r="X822" i="2"/>
  <c r="X810" i="2"/>
  <c r="X740" i="2"/>
  <c r="X749" i="2"/>
  <c r="X754" i="2"/>
  <c r="X806" i="2"/>
  <c r="X762" i="2"/>
  <c r="X714" i="2"/>
  <c r="X790" i="2"/>
  <c r="X804" i="2"/>
  <c r="X758" i="2"/>
  <c r="X747" i="2"/>
  <c r="X731" i="2"/>
  <c r="X785" i="2"/>
  <c r="X769" i="2"/>
  <c r="X741" i="2"/>
  <c r="X782" i="2"/>
  <c r="X739" i="2"/>
  <c r="X816" i="2"/>
  <c r="X787" i="2"/>
  <c r="X748" i="2"/>
  <c r="X801" i="2"/>
  <c r="X825" i="2"/>
  <c r="X812" i="2"/>
  <c r="X792" i="2"/>
  <c r="X729" i="2"/>
  <c r="X773" i="2"/>
  <c r="X826" i="2"/>
  <c r="X796" i="2"/>
  <c r="X716" i="2"/>
  <c r="X829" i="2"/>
  <c r="X834" i="2"/>
  <c r="X718" i="2"/>
  <c r="X831" i="2"/>
  <c r="X750" i="2"/>
  <c r="X743" i="2"/>
  <c r="X799" i="2"/>
  <c r="X705" i="2"/>
  <c r="X761" i="2"/>
  <c r="X781" i="2"/>
  <c r="X797" i="2"/>
  <c r="X793" i="2"/>
  <c r="X815" i="2"/>
  <c r="X817" i="2"/>
  <c r="X783" i="2"/>
  <c r="X727" i="2"/>
  <c r="X805" i="2"/>
  <c r="X707" i="2"/>
  <c r="X772" i="2"/>
  <c r="X776" i="2"/>
  <c r="X711" i="2"/>
  <c r="X789" i="2"/>
  <c r="X791" i="2"/>
  <c r="X757" i="2"/>
  <c r="X767" i="2"/>
  <c r="X724" i="2"/>
  <c r="X828" i="2"/>
  <c r="X736" i="2"/>
  <c r="X753" i="2"/>
  <c r="X756" i="2"/>
  <c r="X737" i="2"/>
  <c r="X786" i="2"/>
  <c r="X821" i="2"/>
  <c r="X800" i="2"/>
  <c r="X780" i="2"/>
  <c r="X833" i="2"/>
  <c r="X752" i="2"/>
  <c r="X798" i="2"/>
  <c r="X733" i="2"/>
  <c r="X837" i="2"/>
  <c r="X774" i="2"/>
  <c r="X735" i="2"/>
  <c r="X744" i="2"/>
  <c r="X732" i="2"/>
  <c r="X777" i="2"/>
  <c r="X830" i="2"/>
  <c r="X803" i="2"/>
  <c r="X760" i="2"/>
  <c r="S687" i="2"/>
  <c r="T687" i="2" s="1"/>
  <c r="S304" i="2"/>
  <c r="T304" i="2" s="1"/>
  <c r="S235" i="2"/>
  <c r="T235" i="2" s="1"/>
  <c r="S598" i="2"/>
  <c r="T598" i="2" s="1"/>
  <c r="S196" i="2"/>
  <c r="T196" i="2" s="1"/>
  <c r="S342" i="2"/>
  <c r="T342" i="2" s="1"/>
  <c r="S511" i="2"/>
  <c r="T511" i="2" s="1"/>
  <c r="S452" i="2"/>
  <c r="T452" i="2" s="1"/>
  <c r="S596" i="2"/>
  <c r="T596" i="2" s="1"/>
  <c r="S213" i="2"/>
  <c r="T213" i="2" s="1"/>
  <c r="S530" i="2"/>
  <c r="T530" i="2" s="1"/>
  <c r="S368" i="2"/>
  <c r="T368" i="2" s="1"/>
  <c r="S626" i="2"/>
  <c r="T626" i="2" s="1"/>
  <c r="S370" i="2"/>
  <c r="T370" i="2" s="1"/>
  <c r="S376" i="2"/>
  <c r="T376" i="2" s="1"/>
  <c r="S441" i="2"/>
  <c r="T441" i="2" s="1"/>
  <c r="S624" i="2"/>
  <c r="T624" i="2" s="1"/>
  <c r="S435" i="2"/>
  <c r="T435" i="2" s="1"/>
  <c r="S587" i="2"/>
  <c r="T587" i="2" s="1"/>
  <c r="S466" i="2"/>
  <c r="T466" i="2" s="1"/>
  <c r="S627" i="2"/>
  <c r="T627" i="2" s="1"/>
  <c r="S448" i="2"/>
  <c r="T448" i="2" s="1"/>
  <c r="S575" i="2"/>
  <c r="T575" i="2" s="1"/>
  <c r="S372" i="2"/>
  <c r="T372" i="2" s="1"/>
  <c r="S204" i="2"/>
  <c r="T204" i="2" s="1"/>
  <c r="S329" i="2"/>
  <c r="T329" i="2" s="1"/>
  <c r="S295" i="2"/>
  <c r="T295" i="2" s="1"/>
  <c r="S449" i="2"/>
  <c r="T449" i="2" s="1"/>
  <c r="S324" i="2"/>
  <c r="T324" i="2" s="1"/>
  <c r="S628" i="2"/>
  <c r="T628" i="2" s="1"/>
  <c r="S264" i="2"/>
  <c r="T264" i="2" s="1"/>
  <c r="S583" i="2"/>
  <c r="T583" i="2" s="1"/>
  <c r="S339" i="2"/>
  <c r="T339" i="2" s="1"/>
  <c r="S263" i="2"/>
  <c r="T263" i="2" s="1"/>
  <c r="S509" i="2"/>
  <c r="T509" i="2" s="1"/>
  <c r="S566" i="2"/>
  <c r="T566" i="2" s="1"/>
  <c r="S261" i="2"/>
  <c r="T261" i="2" s="1"/>
  <c r="S494" i="2"/>
  <c r="T494" i="2" s="1"/>
  <c r="S440" i="2"/>
  <c r="T440" i="2" s="1"/>
  <c r="S247" i="2"/>
  <c r="T247" i="2" s="1"/>
  <c r="S216" i="2"/>
  <c r="T216" i="2" s="1"/>
  <c r="S259" i="2"/>
  <c r="T259" i="2" s="1"/>
  <c r="S450" i="2"/>
  <c r="T450" i="2" s="1"/>
  <c r="S549" i="2"/>
  <c r="T549" i="2" s="1"/>
  <c r="S178" i="2"/>
  <c r="T178" i="2" s="1"/>
  <c r="S357" i="2"/>
  <c r="T357" i="2" s="1"/>
  <c r="S310" i="2"/>
  <c r="T310" i="2" s="1"/>
  <c r="S446" i="2"/>
  <c r="T446" i="2" s="1"/>
  <c r="S487" i="2"/>
  <c r="T487" i="2" s="1"/>
  <c r="S262" i="2"/>
  <c r="T262" i="2" s="1"/>
  <c r="S344" i="2"/>
  <c r="T344" i="2" s="1"/>
  <c r="S543" i="2"/>
  <c r="T543" i="2" s="1"/>
  <c r="S409" i="2"/>
  <c r="T409" i="2" s="1"/>
  <c r="S550" i="2"/>
  <c r="T550" i="2" s="1"/>
  <c r="S514" i="2"/>
  <c r="T514" i="2" s="1"/>
  <c r="S183" i="2"/>
  <c r="T183" i="2" s="1"/>
  <c r="S296" i="2"/>
  <c r="T296" i="2" s="1"/>
  <c r="S228" i="2"/>
  <c r="T228" i="2" s="1"/>
  <c r="S205" i="2"/>
  <c r="T205" i="2" s="1"/>
  <c r="S681" i="2"/>
  <c r="T681" i="2" s="1"/>
  <c r="S567" i="2"/>
  <c r="T567" i="2" s="1"/>
  <c r="S634" i="2"/>
  <c r="T634" i="2" s="1"/>
  <c r="S504" i="2"/>
  <c r="T504" i="2" s="1"/>
  <c r="S402" i="2"/>
  <c r="T402" i="2" s="1"/>
  <c r="S253" i="2"/>
  <c r="T253" i="2" s="1"/>
  <c r="S398" i="2"/>
  <c r="T398" i="2" s="1"/>
  <c r="S282" i="2"/>
  <c r="T282" i="2" s="1"/>
  <c r="S195" i="2"/>
  <c r="T195" i="2" s="1"/>
  <c r="S696" i="2"/>
  <c r="T696" i="2" s="1"/>
  <c r="S548" i="2"/>
  <c r="T548" i="2" s="1"/>
  <c r="S403" i="2"/>
  <c r="T403" i="2" s="1"/>
  <c r="S309" i="2"/>
  <c r="T309" i="2" s="1"/>
  <c r="S672" i="2"/>
  <c r="T672" i="2" s="1"/>
  <c r="S556" i="2"/>
  <c r="T556" i="2" s="1"/>
  <c r="S508" i="2"/>
  <c r="T508" i="2" s="1"/>
  <c r="S454" i="2"/>
  <c r="T454" i="2" s="1"/>
  <c r="S240" i="2"/>
  <c r="T240" i="2" s="1"/>
  <c r="S470" i="2"/>
  <c r="T470" i="2" s="1"/>
  <c r="S584" i="2"/>
  <c r="T584" i="2" s="1"/>
  <c r="S419" i="2"/>
  <c r="T419" i="2" s="1"/>
  <c r="S252" i="2"/>
  <c r="T252" i="2" s="1"/>
  <c r="S294" i="2"/>
  <c r="T294" i="2" s="1"/>
  <c r="S498" i="2"/>
  <c r="T498" i="2" s="1"/>
  <c r="S212" i="2"/>
  <c r="T212" i="2" s="1"/>
  <c r="S531" i="2"/>
  <c r="T531" i="2" s="1"/>
  <c r="S692" i="2"/>
  <c r="T692" i="2" s="1"/>
  <c r="S199" i="2"/>
  <c r="T199" i="2" s="1"/>
  <c r="S455" i="2"/>
  <c r="T455" i="2" s="1"/>
  <c r="S401" i="2"/>
  <c r="T401" i="2" s="1"/>
  <c r="S481" i="2"/>
  <c r="T481" i="2" s="1"/>
  <c r="S655" i="2"/>
  <c r="T655" i="2" s="1"/>
  <c r="S680" i="2"/>
  <c r="T680" i="2" s="1"/>
  <c r="S424" i="2"/>
  <c r="T424" i="2" s="1"/>
  <c r="S243" i="2"/>
  <c r="T243" i="2" s="1"/>
  <c r="S188" i="2"/>
  <c r="T188" i="2" s="1"/>
  <c r="S623" i="2"/>
  <c r="T623" i="2" s="1"/>
  <c r="S489" i="2"/>
  <c r="T489" i="2" s="1"/>
  <c r="S589" i="2"/>
  <c r="T589" i="2" s="1"/>
  <c r="S210" i="2"/>
  <c r="T210" i="2" s="1"/>
  <c r="S332" i="2"/>
  <c r="T332" i="2" s="1"/>
  <c r="S353" i="2"/>
  <c r="T353" i="2" s="1"/>
  <c r="S224" i="2"/>
  <c r="T224" i="2" s="1"/>
  <c r="S474" i="2"/>
  <c r="T474" i="2" s="1"/>
  <c r="S585" i="2"/>
  <c r="T585" i="2" s="1"/>
  <c r="S625" i="2"/>
  <c r="T625" i="2" s="1"/>
  <c r="S289" i="2"/>
  <c r="T289" i="2" s="1"/>
  <c r="S661" i="2"/>
  <c r="T661" i="2" s="1"/>
  <c r="S187" i="2"/>
  <c r="T187" i="2" s="1"/>
  <c r="S436" i="2"/>
  <c r="T436" i="2" s="1"/>
  <c r="S473" i="2"/>
  <c r="T473" i="2" s="1"/>
  <c r="S317" i="2"/>
  <c r="T317" i="2" s="1"/>
  <c r="S258" i="2"/>
  <c r="T258" i="2" s="1"/>
  <c r="S469" i="2"/>
  <c r="T469" i="2" s="1"/>
  <c r="S605" i="2"/>
  <c r="T605" i="2" s="1"/>
  <c r="S490" i="2"/>
  <c r="T490" i="2" s="1"/>
  <c r="S482" i="2"/>
  <c r="T482" i="2" s="1"/>
  <c r="S547" i="2"/>
  <c r="T547" i="2" s="1"/>
  <c r="S209" i="2"/>
  <c r="T209" i="2" s="1"/>
  <c r="S461" i="2"/>
  <c r="T461" i="2" s="1"/>
  <c r="S298" i="2"/>
  <c r="T298" i="2" s="1"/>
  <c r="S434" i="2"/>
  <c r="T434" i="2" s="1"/>
  <c r="S535" i="2"/>
  <c r="T535" i="2" s="1"/>
  <c r="S679" i="2"/>
  <c r="T679" i="2" s="1"/>
  <c r="S565" i="2"/>
  <c r="T565" i="2" s="1"/>
  <c r="S632" i="2"/>
  <c r="T632" i="2" s="1"/>
  <c r="S502" i="2"/>
  <c r="T502" i="2" s="1"/>
  <c r="S400" i="2"/>
  <c r="T400" i="2" s="1"/>
  <c r="S336" i="2"/>
  <c r="T336" i="2" s="1"/>
  <c r="S250" i="2"/>
  <c r="T250" i="2" s="1"/>
  <c r="S383" i="2"/>
  <c r="T383" i="2" s="1"/>
  <c r="S280" i="2"/>
  <c r="T280" i="2" s="1"/>
  <c r="S193" i="2"/>
  <c r="T193" i="2" s="1"/>
  <c r="S686" i="2"/>
  <c r="T686" i="2" s="1"/>
  <c r="S545" i="2"/>
  <c r="T545" i="2" s="1"/>
  <c r="S379" i="2"/>
  <c r="T379" i="2" s="1"/>
  <c r="S277" i="2"/>
  <c r="T277" i="2" s="1"/>
  <c r="S663" i="2"/>
  <c r="T663" i="2" s="1"/>
  <c r="S554" i="2"/>
  <c r="T554" i="2" s="1"/>
  <c r="S506" i="2"/>
  <c r="T506" i="2" s="1"/>
  <c r="S412" i="2"/>
  <c r="T412" i="2" s="1"/>
  <c r="S238" i="2"/>
  <c r="T238" i="2" s="1"/>
  <c r="S468" i="2"/>
  <c r="T468" i="2" s="1"/>
  <c r="S582" i="2"/>
  <c r="T582" i="2" s="1"/>
  <c r="S411" i="2"/>
  <c r="T411" i="2" s="1"/>
  <c r="S236" i="2"/>
  <c r="T236" i="2" s="1"/>
  <c r="S288" i="2"/>
  <c r="T288" i="2" s="1"/>
  <c r="S364" i="2"/>
  <c r="T364" i="2" s="1"/>
  <c r="S208" i="2"/>
  <c r="T208" i="2" s="1"/>
  <c r="S701" i="2"/>
  <c r="T701" i="2" s="1"/>
  <c r="S671" i="2"/>
  <c r="T671" i="2" s="1"/>
  <c r="S422" i="2"/>
  <c r="T422" i="2" s="1"/>
  <c r="S197" i="2"/>
  <c r="T197" i="2" s="1"/>
  <c r="S217" i="2"/>
  <c r="T217" i="2" s="1"/>
  <c r="S245" i="2"/>
  <c r="T245" i="2" s="1"/>
  <c r="S553" i="2"/>
  <c r="T553" i="2" s="1"/>
  <c r="S392" i="2"/>
  <c r="T392" i="2" s="1"/>
  <c r="S592" i="2"/>
  <c r="T592" i="2" s="1"/>
  <c r="S214" i="2"/>
  <c r="T214" i="2" s="1"/>
  <c r="S453" i="2"/>
  <c r="T453" i="2" s="1"/>
  <c r="S538" i="2"/>
  <c r="T538" i="2" s="1"/>
  <c r="S303" i="2"/>
  <c r="T303" i="2" s="1"/>
  <c r="S658" i="2"/>
  <c r="T658" i="2" s="1"/>
  <c r="S670" i="2"/>
  <c r="T670" i="2" s="1"/>
  <c r="S203" i="2"/>
  <c r="T203" i="2" s="1"/>
  <c r="S633" i="2"/>
  <c r="T633" i="2" s="1"/>
  <c r="S536" i="2"/>
  <c r="T536" i="2" s="1"/>
  <c r="S483" i="2"/>
  <c r="T483" i="2" s="1"/>
  <c r="S201" i="2"/>
  <c r="T201" i="2" s="1"/>
  <c r="S322" i="2"/>
  <c r="T322" i="2" s="1"/>
  <c r="S621" i="2"/>
  <c r="T621" i="2" s="1"/>
  <c r="S665" i="2"/>
  <c r="T665" i="2" s="1"/>
  <c r="S350" i="2"/>
  <c r="T350" i="2" s="1"/>
  <c r="S390" i="2"/>
  <c r="T390" i="2" s="1"/>
  <c r="S438" i="2"/>
  <c r="T438" i="2" s="1"/>
  <c r="S305" i="2"/>
  <c r="T305" i="2" s="1"/>
  <c r="S521" i="2"/>
  <c r="T521" i="2" s="1"/>
  <c r="S279" i="2"/>
  <c r="T279" i="2" s="1"/>
  <c r="S607" i="2"/>
  <c r="T607" i="2" s="1"/>
  <c r="S654" i="2"/>
  <c r="T654" i="2" s="1"/>
  <c r="S269" i="2"/>
  <c r="T269" i="2" s="1"/>
  <c r="S603" i="2"/>
  <c r="T603" i="2" s="1"/>
  <c r="S564" i="2"/>
  <c r="T564" i="2" s="1"/>
  <c r="S190" i="2"/>
  <c r="T190" i="2" s="1"/>
  <c r="S257" i="2"/>
  <c r="T257" i="2" s="1"/>
  <c r="S537" i="2"/>
  <c r="T537" i="2" s="1"/>
  <c r="S577" i="2"/>
  <c r="T577" i="2" s="1"/>
  <c r="S218" i="2"/>
  <c r="T218" i="2" s="1"/>
  <c r="S413" i="2"/>
  <c r="T413" i="2" s="1"/>
  <c r="S516" i="2"/>
  <c r="T516" i="2" s="1"/>
  <c r="S244" i="2"/>
  <c r="T244" i="2" s="1"/>
  <c r="S308" i="2"/>
  <c r="T308" i="2" s="1"/>
  <c r="S268" i="2"/>
  <c r="T268" i="2" s="1"/>
  <c r="S568" i="2"/>
  <c r="T568" i="2" s="1"/>
  <c r="S418" i="2"/>
  <c r="T418" i="2" s="1"/>
  <c r="S459" i="2"/>
  <c r="T459" i="2" s="1"/>
  <c r="S456" i="2"/>
  <c r="T456" i="2" s="1"/>
  <c r="S669" i="2"/>
  <c r="T669" i="2" s="1"/>
  <c r="S563" i="2"/>
  <c r="T563" i="2" s="1"/>
  <c r="S629" i="2"/>
  <c r="T629" i="2" s="1"/>
  <c r="S546" i="2"/>
  <c r="T546" i="2" s="1"/>
  <c r="S488" i="2"/>
  <c r="T488" i="2" s="1"/>
  <c r="S387" i="2"/>
  <c r="T387" i="2" s="1"/>
  <c r="S325" i="2"/>
  <c r="T325" i="2" s="1"/>
  <c r="S239" i="2"/>
  <c r="T239" i="2" s="1"/>
  <c r="S381" i="2"/>
  <c r="T381" i="2" s="1"/>
  <c r="S267" i="2"/>
  <c r="T267" i="2" s="1"/>
  <c r="S186" i="2"/>
  <c r="T186" i="2" s="1"/>
  <c r="S684" i="2"/>
  <c r="T684" i="2" s="1"/>
  <c r="S539" i="2"/>
  <c r="T539" i="2" s="1"/>
  <c r="S377" i="2"/>
  <c r="T377" i="2" s="1"/>
  <c r="S273" i="2"/>
  <c r="T273" i="2" s="1"/>
  <c r="S651" i="2"/>
  <c r="T651" i="2" s="1"/>
  <c r="S503" i="2"/>
  <c r="T503" i="2" s="1"/>
  <c r="S410" i="2"/>
  <c r="T410" i="2" s="1"/>
  <c r="S227" i="2"/>
  <c r="T227" i="2" s="1"/>
  <c r="S326" i="2"/>
  <c r="T326" i="2" s="1"/>
  <c r="S580" i="2"/>
  <c r="T580" i="2" s="1"/>
  <c r="S380" i="2"/>
  <c r="T380" i="2" s="1"/>
  <c r="S230" i="2"/>
  <c r="T230" i="2" s="1"/>
  <c r="S278" i="2"/>
  <c r="T278" i="2" s="1"/>
  <c r="S362" i="2"/>
  <c r="T362" i="2" s="1"/>
  <c r="S200" i="2"/>
  <c r="T200" i="2" s="1"/>
  <c r="S505" i="2"/>
  <c r="T505" i="2" s="1"/>
  <c r="S699" i="2"/>
  <c r="T699" i="2" s="1"/>
  <c r="S667" i="2"/>
  <c r="T667" i="2" s="1"/>
  <c r="S399" i="2"/>
  <c r="T399" i="2" s="1"/>
  <c r="S207" i="2"/>
  <c r="T207" i="2" s="1"/>
  <c r="S594" i="2"/>
  <c r="T594" i="2" s="1"/>
  <c r="S349" i="2"/>
  <c r="T349" i="2" s="1"/>
  <c r="S356" i="2"/>
  <c r="T356" i="2" s="1"/>
  <c r="S215" i="2"/>
  <c r="T215" i="2" s="1"/>
  <c r="S540" i="2"/>
  <c r="T540" i="2" s="1"/>
  <c r="S338" i="2"/>
  <c r="T338" i="2" s="1"/>
  <c r="S301" i="2"/>
  <c r="T301" i="2" s="1"/>
  <c r="S347" i="2"/>
  <c r="T347" i="2" s="1"/>
  <c r="S653" i="2"/>
  <c r="T653" i="2" s="1"/>
  <c r="S512" i="2"/>
  <c r="T512" i="2" s="1"/>
  <c r="S355" i="2"/>
  <c r="T355" i="2" s="1"/>
  <c r="S345" i="2"/>
  <c r="T345" i="2" s="1"/>
  <c r="S595" i="2"/>
  <c r="T595" i="2" s="1"/>
  <c r="S668" i="2"/>
  <c r="T668" i="2" s="1"/>
  <c r="S284" i="2"/>
  <c r="T284" i="2" s="1"/>
  <c r="S533" i="2"/>
  <c r="T533" i="2" s="1"/>
  <c r="S630" i="2"/>
  <c r="T630" i="2" s="1"/>
  <c r="S433" i="2"/>
  <c r="T433" i="2" s="1"/>
  <c r="S281" i="2"/>
  <c r="T281" i="2" s="1"/>
  <c r="S341" i="2"/>
  <c r="T341" i="2" s="1"/>
  <c r="S202" i="2"/>
  <c r="T202" i="2" s="1"/>
  <c r="S421" i="2"/>
  <c r="T421" i="2" s="1"/>
  <c r="S335" i="2"/>
  <c r="T335" i="2" s="1"/>
  <c r="S220" i="2"/>
  <c r="T220" i="2" s="1"/>
  <c r="S622" i="2"/>
  <c r="T622" i="2" s="1"/>
  <c r="S425" i="2"/>
  <c r="T425" i="2" s="1"/>
  <c r="S492" i="2"/>
  <c r="T492" i="2" s="1"/>
  <c r="S185" i="2"/>
  <c r="T185" i="2" s="1"/>
  <c r="S484" i="2"/>
  <c r="T484" i="2" s="1"/>
  <c r="S359" i="2"/>
  <c r="T359" i="2" s="1"/>
  <c r="S275" i="2"/>
  <c r="T275" i="2" s="1"/>
  <c r="S248" i="2"/>
  <c r="T248" i="2" s="1"/>
  <c r="S491" i="2"/>
  <c r="T491" i="2" s="1"/>
  <c r="S429" i="2"/>
  <c r="T429" i="2" s="1"/>
  <c r="S211" i="2"/>
  <c r="T211" i="2" s="1"/>
  <c r="S428" i="2"/>
  <c r="T428" i="2" s="1"/>
  <c r="S463" i="2"/>
  <c r="T463" i="2" s="1"/>
  <c r="S590" i="2"/>
  <c r="T590" i="2" s="1"/>
  <c r="S574" i="2"/>
  <c r="T574" i="2" s="1"/>
  <c r="S427" i="2"/>
  <c r="T427" i="2" s="1"/>
  <c r="S560" i="2"/>
  <c r="T560" i="2" s="1"/>
  <c r="S588" i="2"/>
  <c r="T588" i="2" s="1"/>
  <c r="S206" i="2"/>
  <c r="T206" i="2" s="1"/>
  <c r="S407" i="2"/>
  <c r="T407" i="2" s="1"/>
  <c r="S558" i="2"/>
  <c r="T558" i="2" s="1"/>
  <c r="S242" i="2"/>
  <c r="T242" i="2" s="1"/>
  <c r="S500" i="2"/>
  <c r="T500" i="2" s="1"/>
  <c r="S662" i="2"/>
  <c r="T662" i="2" s="1"/>
  <c r="S561" i="2"/>
  <c r="T561" i="2" s="1"/>
  <c r="S467" i="2"/>
  <c r="T467" i="2" s="1"/>
  <c r="S702" i="2"/>
  <c r="T702" i="2" s="1"/>
  <c r="S614" i="2"/>
  <c r="T614" i="2" s="1"/>
  <c r="S544" i="2"/>
  <c r="T544" i="2" s="1"/>
  <c r="S486" i="2"/>
  <c r="T486" i="2" s="1"/>
  <c r="S385" i="2"/>
  <c r="T385" i="2" s="1"/>
  <c r="S323" i="2"/>
  <c r="T323" i="2" s="1"/>
  <c r="S237" i="2"/>
  <c r="T237" i="2" s="1"/>
  <c r="S367" i="2"/>
  <c r="T367" i="2" s="1"/>
  <c r="S265" i="2"/>
  <c r="T265" i="2" s="1"/>
  <c r="S179" i="2"/>
  <c r="T179" i="2" s="1"/>
  <c r="S678" i="2"/>
  <c r="T678" i="2" s="1"/>
  <c r="S464" i="2"/>
  <c r="T464" i="2" s="1"/>
  <c r="S375" i="2"/>
  <c r="T375" i="2" s="1"/>
  <c r="S260" i="2"/>
  <c r="T260" i="2" s="1"/>
  <c r="S639" i="2"/>
  <c r="T639" i="2" s="1"/>
  <c r="S499" i="2"/>
  <c r="T499" i="2" s="1"/>
  <c r="S408" i="2"/>
  <c r="T408" i="2" s="1"/>
  <c r="S225" i="2"/>
  <c r="T225" i="2" s="1"/>
  <c r="S318" i="2"/>
  <c r="T318" i="2" s="1"/>
  <c r="S578" i="2"/>
  <c r="T578" i="2" s="1"/>
  <c r="S378" i="2"/>
  <c r="T378" i="2" s="1"/>
  <c r="S690" i="2"/>
  <c r="T690" i="2" s="1"/>
  <c r="S276" i="2"/>
  <c r="T276" i="2" s="1"/>
  <c r="S358" i="2"/>
  <c r="T358" i="2" s="1"/>
  <c r="S198" i="2"/>
  <c r="T198" i="2" s="1"/>
  <c r="S501" i="2"/>
  <c r="T501" i="2" s="1"/>
  <c r="S693" i="2"/>
  <c r="T693" i="2" s="1"/>
  <c r="S659" i="2"/>
  <c r="T659" i="2" s="1"/>
  <c r="S388" i="2"/>
  <c r="T388" i="2" s="1"/>
  <c r="S181" i="2"/>
  <c r="T181" i="2" s="1"/>
  <c r="S640" i="2"/>
  <c r="T640" i="2" s="1"/>
  <c r="S369" i="2"/>
  <c r="T369" i="2" s="1"/>
  <c r="S396" i="2"/>
  <c r="T396" i="2" s="1"/>
  <c r="S631" i="2"/>
  <c r="T631" i="2" s="1"/>
  <c r="S423" i="2"/>
  <c r="T423" i="2" s="1"/>
  <c r="S366" i="2"/>
  <c r="T366" i="2" s="1"/>
  <c r="S386" i="2"/>
  <c r="T386" i="2" s="1"/>
  <c r="S333" i="2"/>
  <c r="T333" i="2" s="1"/>
  <c r="S472" i="2"/>
  <c r="T472" i="2" s="1"/>
  <c r="S405" i="2"/>
  <c r="T405" i="2" s="1"/>
  <c r="S241" i="2"/>
  <c r="T241" i="2" s="1"/>
  <c r="S176" i="2"/>
  <c r="T176" i="2" s="1"/>
  <c r="S656" i="2"/>
  <c r="T656" i="2" s="1"/>
  <c r="S510" i="2"/>
  <c r="T510" i="2" s="1"/>
  <c r="S395" i="2"/>
  <c r="T395" i="2" s="1"/>
  <c r="S507" i="2"/>
  <c r="T507" i="2" s="1"/>
  <c r="S194" i="2"/>
  <c r="T194" i="2" s="1"/>
  <c r="S517" i="2"/>
  <c r="T517" i="2" s="1"/>
  <c r="S569" i="2"/>
  <c r="T569" i="2" s="1"/>
  <c r="S363" i="2"/>
  <c r="T363" i="2" s="1"/>
  <c r="S327" i="2"/>
  <c r="T327" i="2" s="1"/>
  <c r="S287" i="2"/>
  <c r="T287" i="2" s="1"/>
  <c r="S613" i="2"/>
  <c r="T613" i="2" s="1"/>
  <c r="S606" i="2"/>
  <c r="T606" i="2" s="1"/>
  <c r="S447" i="2"/>
  <c r="T447" i="2" s="1"/>
  <c r="S611" i="2"/>
  <c r="T611" i="2" s="1"/>
  <c r="S361" i="2"/>
  <c r="T361" i="2" s="1"/>
  <c r="S604" i="2"/>
  <c r="T604" i="2" s="1"/>
  <c r="S581" i="2"/>
  <c r="T581" i="2" s="1"/>
  <c r="S321" i="2"/>
  <c r="T321" i="2" s="1"/>
  <c r="S430" i="2"/>
  <c r="T430" i="2" s="1"/>
  <c r="S471" i="2"/>
  <c r="T471" i="2" s="1"/>
  <c r="S311" i="2"/>
  <c r="T311" i="2" s="1"/>
  <c r="S697" i="2"/>
  <c r="T697" i="2" s="1"/>
  <c r="S579" i="2"/>
  <c r="T579" i="2" s="1"/>
  <c r="S319" i="2"/>
  <c r="T319" i="2" s="1"/>
  <c r="S685" i="2"/>
  <c r="T685" i="2" s="1"/>
  <c r="S391" i="2"/>
  <c r="T391" i="2" s="1"/>
  <c r="S695" i="2"/>
  <c r="T695" i="2" s="1"/>
  <c r="S649" i="2"/>
  <c r="T649" i="2" s="1"/>
  <c r="S426" i="2"/>
  <c r="T426" i="2" s="1"/>
  <c r="S458" i="2"/>
  <c r="T458" i="2" s="1"/>
  <c r="S389" i="2"/>
  <c r="T389" i="2" s="1"/>
  <c r="S688" i="2"/>
  <c r="T688" i="2" s="1"/>
  <c r="S645" i="2"/>
  <c r="T645" i="2" s="1"/>
  <c r="S255" i="2"/>
  <c r="T255" i="2" s="1"/>
  <c r="S698" i="2"/>
  <c r="T698" i="2" s="1"/>
  <c r="S673" i="2"/>
  <c r="T673" i="2" s="1"/>
  <c r="S586" i="2"/>
  <c r="T586" i="2" s="1"/>
  <c r="S694" i="2"/>
  <c r="T694" i="2" s="1"/>
  <c r="S660" i="2"/>
  <c r="T660" i="2" s="1"/>
  <c r="S559" i="2"/>
  <c r="T559" i="2" s="1"/>
  <c r="S465" i="2"/>
  <c r="T465" i="2" s="1"/>
  <c r="S700" i="2"/>
  <c r="T700" i="2" s="1"/>
  <c r="S612" i="2"/>
  <c r="T612" i="2" s="1"/>
  <c r="S541" i="2"/>
  <c r="T541" i="2" s="1"/>
  <c r="S382" i="2"/>
  <c r="T382" i="2" s="1"/>
  <c r="S320" i="2"/>
  <c r="T320" i="2" s="1"/>
  <c r="S226" i="2"/>
  <c r="T226" i="2" s="1"/>
  <c r="S365" i="2"/>
  <c r="T365" i="2" s="1"/>
  <c r="S251" i="2"/>
  <c r="T251" i="2" s="1"/>
  <c r="S177" i="2"/>
  <c r="T177" i="2" s="1"/>
  <c r="S650" i="2"/>
  <c r="T650" i="2" s="1"/>
  <c r="S462" i="2"/>
  <c r="T462" i="2" s="1"/>
  <c r="S373" i="2"/>
  <c r="T373" i="2" s="1"/>
  <c r="S256" i="2"/>
  <c r="T256" i="2" s="1"/>
  <c r="S610" i="2"/>
  <c r="T610" i="2" s="1"/>
  <c r="S495" i="2"/>
  <c r="T495" i="2" s="1"/>
  <c r="S406" i="2"/>
  <c r="T406" i="2" s="1"/>
  <c r="S223" i="2"/>
  <c r="T223" i="2" s="1"/>
  <c r="S307" i="2"/>
  <c r="T307" i="2" s="1"/>
  <c r="S576" i="2"/>
  <c r="T576" i="2" s="1"/>
  <c r="S374" i="2"/>
  <c r="T374" i="2" s="1"/>
  <c r="S682" i="2"/>
  <c r="T682" i="2" s="1"/>
  <c r="S274" i="2"/>
  <c r="T274" i="2" s="1"/>
  <c r="S348" i="2"/>
  <c r="T348" i="2" s="1"/>
  <c r="S184" i="2"/>
  <c r="T184" i="2" s="1"/>
  <c r="S497" i="2"/>
  <c r="T497" i="2" s="1"/>
  <c r="S520" i="2"/>
  <c r="T520" i="2" s="1"/>
  <c r="S691" i="2"/>
  <c r="T691" i="2" s="1"/>
  <c r="S657" i="2"/>
  <c r="T657" i="2" s="1"/>
  <c r="S384" i="2"/>
  <c r="T384" i="2" s="1"/>
  <c r="S555" i="2"/>
  <c r="T555" i="2" s="1"/>
  <c r="S532" i="2"/>
  <c r="T532" i="2" s="1"/>
  <c r="S638" i="2"/>
  <c r="T638" i="2" s="1"/>
  <c r="S551" i="2"/>
  <c r="T551" i="2" s="1"/>
  <c r="S664" i="2"/>
  <c r="T664" i="2" s="1"/>
  <c r="S637" i="2"/>
  <c r="T637" i="2" s="1"/>
  <c r="S529" i="2"/>
  <c r="T529" i="2" s="1"/>
  <c r="S636" i="2"/>
  <c r="T636" i="2" s="1"/>
  <c r="S394" i="2"/>
  <c r="T394" i="2" s="1"/>
  <c r="S334" i="2"/>
  <c r="T334" i="2" s="1"/>
  <c r="S437" i="2"/>
  <c r="T437" i="2" s="1"/>
  <c r="S286" i="2"/>
  <c r="T286" i="2" s="1"/>
  <c r="S451" i="2"/>
  <c r="T451" i="2" s="1"/>
  <c r="S593" i="2"/>
  <c r="T593" i="2" s="1"/>
  <c r="S328" i="2"/>
  <c r="T328" i="2" s="1"/>
  <c r="S331" i="2"/>
  <c r="T331" i="2" s="1"/>
  <c r="S528" i="2"/>
  <c r="T528" i="2" s="1"/>
  <c r="S299" i="2"/>
  <c r="T299" i="2" s="1"/>
  <c r="S647" i="2"/>
  <c r="T647" i="2" s="1"/>
  <c r="S354" i="2"/>
  <c r="T354" i="2" s="1"/>
  <c r="S343" i="2"/>
  <c r="T343" i="2" s="1"/>
  <c r="S297" i="2"/>
  <c r="T297" i="2" s="1"/>
  <c r="S591" i="2"/>
  <c r="T591" i="2" s="1"/>
  <c r="S432" i="2"/>
  <c r="T432" i="2" s="1"/>
  <c r="S337" i="2"/>
  <c r="T337" i="2" s="1"/>
  <c r="S222" i="2"/>
  <c r="T222" i="2" s="1"/>
  <c r="S542" i="2"/>
  <c r="T542" i="2" s="1"/>
  <c r="S431" i="2"/>
  <c r="T431" i="2" s="1"/>
  <c r="S496" i="2"/>
  <c r="T496" i="2" s="1"/>
  <c r="S271" i="2"/>
  <c r="T271" i="2" s="1"/>
  <c r="S192" i="2"/>
  <c r="T192" i="2" s="1"/>
  <c r="S397" i="2"/>
  <c r="T397" i="2" s="1"/>
  <c r="S552" i="2"/>
  <c r="T552" i="2" s="1"/>
  <c r="S285" i="2"/>
  <c r="T285" i="2" s="1"/>
  <c r="S393" i="2"/>
  <c r="T393" i="2" s="1"/>
  <c r="S597" i="2"/>
  <c r="T597" i="2" s="1"/>
  <c r="S652" i="2"/>
  <c r="T652" i="2" s="1"/>
  <c r="S266" i="2"/>
  <c r="T266" i="2" s="1"/>
  <c r="S270" i="2"/>
  <c r="T270" i="2" s="1"/>
  <c r="S562" i="2"/>
  <c r="T562" i="2" s="1"/>
  <c r="S191" i="2"/>
  <c r="T191" i="2" s="1"/>
  <c r="S246" i="2"/>
  <c r="T246" i="2" s="1"/>
  <c r="S518" i="2"/>
  <c r="T518" i="2" s="1"/>
  <c r="S302" i="2"/>
  <c r="T302" i="2" s="1"/>
  <c r="S683" i="2"/>
  <c r="T683" i="2" s="1"/>
  <c r="S189" i="2"/>
  <c r="T189" i="2" s="1"/>
  <c r="S515" i="2"/>
  <c r="T515" i="2" s="1"/>
  <c r="S300" i="2"/>
  <c r="T300" i="2" s="1"/>
  <c r="S316" i="2"/>
  <c r="T316" i="2" s="1"/>
  <c r="S340" i="2"/>
  <c r="T340" i="2" s="1"/>
  <c r="S283" i="2"/>
  <c r="T283" i="2" s="1"/>
  <c r="S646" i="2"/>
  <c r="T646" i="2" s="1"/>
  <c r="S557" i="2"/>
  <c r="T557" i="2" s="1"/>
  <c r="S457" i="2"/>
  <c r="T457" i="2" s="1"/>
  <c r="S689" i="2"/>
  <c r="T689" i="2" s="1"/>
  <c r="S609" i="2"/>
  <c r="T609" i="2" s="1"/>
  <c r="S534" i="2"/>
  <c r="T534" i="2" s="1"/>
  <c r="S371" i="2"/>
  <c r="T371" i="2" s="1"/>
  <c r="S306" i="2"/>
  <c r="T306" i="2" s="1"/>
  <c r="S219" i="2"/>
  <c r="T219" i="2" s="1"/>
  <c r="S351" i="2"/>
  <c r="T351" i="2" s="1"/>
  <c r="S249" i="2"/>
  <c r="T249" i="2" s="1"/>
  <c r="S420" i="2"/>
  <c r="T420" i="2" s="1"/>
  <c r="S648" i="2"/>
  <c r="T648" i="2" s="1"/>
  <c r="S460" i="2"/>
  <c r="T460" i="2" s="1"/>
  <c r="S360" i="2"/>
  <c r="T360" i="2" s="1"/>
  <c r="S254" i="2"/>
  <c r="T254" i="2" s="1"/>
  <c r="S608" i="2"/>
  <c r="T608" i="2" s="1"/>
  <c r="S485" i="2"/>
  <c r="T485" i="2" s="1"/>
  <c r="S404" i="2"/>
  <c r="T404" i="2" s="1"/>
  <c r="S330" i="2"/>
  <c r="T330" i="2" s="1"/>
  <c r="S221" i="2"/>
  <c r="T221" i="2" s="1"/>
  <c r="S229" i="2"/>
  <c r="T229" i="2" s="1"/>
  <c r="S352" i="2"/>
  <c r="T352" i="2" s="1"/>
  <c r="S635" i="2"/>
  <c r="T635" i="2" s="1"/>
  <c r="S272" i="2"/>
  <c r="T272" i="2" s="1"/>
  <c r="S346" i="2"/>
  <c r="T346" i="2" s="1"/>
  <c r="S182" i="2"/>
  <c r="T182" i="2" s="1"/>
  <c r="S493" i="2"/>
  <c r="T493" i="2" s="1"/>
  <c r="S513" i="2"/>
  <c r="T513" i="2" s="1"/>
  <c r="S666" i="2"/>
  <c r="T666" i="2" s="1"/>
  <c r="S439" i="2"/>
  <c r="T439" i="2" s="1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26" i="2"/>
  <c r="W608" i="2" l="1"/>
  <c r="V608" i="2"/>
  <c r="U608" i="2"/>
  <c r="V646" i="2"/>
  <c r="W646" i="2"/>
  <c r="U646" i="2"/>
  <c r="U352" i="2"/>
  <c r="W352" i="2"/>
  <c r="V352" i="2"/>
  <c r="U334" i="2"/>
  <c r="W334" i="2"/>
  <c r="V334" i="2"/>
  <c r="W688" i="2"/>
  <c r="V688" i="2"/>
  <c r="U688" i="2"/>
  <c r="V501" i="2"/>
  <c r="X501" i="2" s="1"/>
  <c r="U501" i="2"/>
  <c r="W501" i="2"/>
  <c r="W185" i="2"/>
  <c r="V185" i="2"/>
  <c r="U185" i="2"/>
  <c r="W186" i="2"/>
  <c r="U186" i="2"/>
  <c r="V186" i="2"/>
  <c r="U453" i="2"/>
  <c r="V453" i="2"/>
  <c r="W453" i="2"/>
  <c r="V400" i="2"/>
  <c r="W400" i="2"/>
  <c r="U400" i="2"/>
  <c r="W584" i="2"/>
  <c r="V584" i="2"/>
  <c r="U584" i="2"/>
  <c r="W264" i="2"/>
  <c r="V264" i="2"/>
  <c r="U264" i="2"/>
  <c r="V534" i="2"/>
  <c r="W534" i="2"/>
  <c r="U534" i="2"/>
  <c r="W394" i="2"/>
  <c r="V394" i="2"/>
  <c r="U394" i="2"/>
  <c r="X394" i="2" s="1"/>
  <c r="U389" i="2"/>
  <c r="V389" i="2"/>
  <c r="W389" i="2"/>
  <c r="W198" i="2"/>
  <c r="V198" i="2"/>
  <c r="U198" i="2"/>
  <c r="U206" i="2"/>
  <c r="W206" i="2"/>
  <c r="V206" i="2"/>
  <c r="V355" i="2"/>
  <c r="U355" i="2"/>
  <c r="W355" i="2"/>
  <c r="U244" i="2"/>
  <c r="W244" i="2"/>
  <c r="V244" i="2"/>
  <c r="W468" i="2"/>
  <c r="U468" i="2"/>
  <c r="V468" i="2"/>
  <c r="V243" i="2"/>
  <c r="U243" i="2"/>
  <c r="W243" i="2"/>
  <c r="U628" i="2"/>
  <c r="W628" i="2"/>
  <c r="V628" i="2"/>
  <c r="W562" i="2"/>
  <c r="V562" i="2"/>
  <c r="U562" i="2"/>
  <c r="W320" i="2"/>
  <c r="V320" i="2"/>
  <c r="U320" i="2"/>
  <c r="X320" i="2" s="1"/>
  <c r="U358" i="2"/>
  <c r="V358" i="2"/>
  <c r="W358" i="2"/>
  <c r="W516" i="2"/>
  <c r="V516" i="2"/>
  <c r="U516" i="2"/>
  <c r="U529" i="2"/>
  <c r="W529" i="2"/>
  <c r="V529" i="2"/>
  <c r="W472" i="2"/>
  <c r="V472" i="2"/>
  <c r="U472" i="2"/>
  <c r="X472" i="2" s="1"/>
  <c r="V622" i="2"/>
  <c r="W622" i="2"/>
  <c r="U622" i="2"/>
  <c r="W239" i="2"/>
  <c r="V239" i="2"/>
  <c r="U239" i="2"/>
  <c r="U350" i="2"/>
  <c r="W350" i="2"/>
  <c r="V350" i="2"/>
  <c r="V392" i="2"/>
  <c r="U392" i="2"/>
  <c r="W392" i="2"/>
  <c r="V565" i="2"/>
  <c r="U565" i="2"/>
  <c r="W565" i="2"/>
  <c r="V187" i="2"/>
  <c r="U187" i="2"/>
  <c r="W187" i="2"/>
  <c r="W680" i="2"/>
  <c r="V680" i="2"/>
  <c r="U680" i="2"/>
  <c r="V454" i="2"/>
  <c r="W454" i="2"/>
  <c r="U454" i="2"/>
  <c r="W681" i="2"/>
  <c r="V681" i="2"/>
  <c r="U681" i="2"/>
  <c r="W549" i="2"/>
  <c r="X549" i="2" s="1"/>
  <c r="V549" i="2"/>
  <c r="U549" i="2"/>
  <c r="U449" i="2"/>
  <c r="W449" i="2"/>
  <c r="V449" i="2"/>
  <c r="W368" i="2"/>
  <c r="V368" i="2"/>
  <c r="U368" i="2"/>
  <c r="X368" i="2" s="1"/>
  <c r="W266" i="2"/>
  <c r="V266" i="2"/>
  <c r="U266" i="2"/>
  <c r="X266" i="2" s="1"/>
  <c r="W606" i="2"/>
  <c r="V606" i="2"/>
  <c r="U606" i="2"/>
  <c r="U230" i="2"/>
  <c r="W230" i="2"/>
  <c r="V230" i="2"/>
  <c r="W661" i="2"/>
  <c r="V661" i="2"/>
  <c r="U661" i="2"/>
  <c r="W343" i="2"/>
  <c r="V343" i="2"/>
  <c r="U343" i="2"/>
  <c r="W301" i="2"/>
  <c r="V301" i="2"/>
  <c r="U301" i="2"/>
  <c r="W597" i="2"/>
  <c r="V597" i="2"/>
  <c r="U597" i="2"/>
  <c r="W223" i="2"/>
  <c r="V223" i="2"/>
  <c r="U223" i="2"/>
  <c r="W287" i="2"/>
  <c r="V287" i="2"/>
  <c r="U287" i="2"/>
  <c r="X287" i="2" s="1"/>
  <c r="V578" i="2"/>
  <c r="U578" i="2"/>
  <c r="W578" i="2"/>
  <c r="W421" i="2"/>
  <c r="V421" i="2"/>
  <c r="U421" i="2"/>
  <c r="U488" i="2"/>
  <c r="W488" i="2"/>
  <c r="V488" i="2"/>
  <c r="W322" i="2"/>
  <c r="V322" i="2"/>
  <c r="U322" i="2"/>
  <c r="W434" i="2"/>
  <c r="V434" i="2"/>
  <c r="U434" i="2"/>
  <c r="W216" i="2"/>
  <c r="V216" i="2"/>
  <c r="U216" i="2"/>
  <c r="U638" i="2"/>
  <c r="W638" i="2"/>
  <c r="V638" i="2"/>
  <c r="V423" i="2"/>
  <c r="W423" i="2"/>
  <c r="U423" i="2"/>
  <c r="X423" i="2" s="1"/>
  <c r="W540" i="2"/>
  <c r="V540" i="2"/>
  <c r="U540" i="2"/>
  <c r="W201" i="2"/>
  <c r="V201" i="2"/>
  <c r="X201" i="2" s="1"/>
  <c r="U201" i="2"/>
  <c r="U585" i="2"/>
  <c r="W585" i="2"/>
  <c r="V585" i="2"/>
  <c r="W183" i="2"/>
  <c r="V183" i="2"/>
  <c r="U183" i="2"/>
  <c r="U372" i="2"/>
  <c r="W372" i="2"/>
  <c r="V372" i="2"/>
  <c r="U340" i="2"/>
  <c r="W340" i="2"/>
  <c r="V340" i="2"/>
  <c r="W495" i="2"/>
  <c r="V495" i="2"/>
  <c r="U495" i="2"/>
  <c r="W363" i="2"/>
  <c r="V363" i="2"/>
  <c r="U363" i="2"/>
  <c r="W428" i="2"/>
  <c r="V428" i="2"/>
  <c r="U428" i="2"/>
  <c r="W629" i="2"/>
  <c r="V629" i="2"/>
  <c r="U629" i="2"/>
  <c r="W379" i="2"/>
  <c r="V379" i="2"/>
  <c r="U379" i="2"/>
  <c r="V199" i="2"/>
  <c r="U199" i="2"/>
  <c r="W199" i="2"/>
  <c r="V514" i="2"/>
  <c r="X514" i="2" s="1"/>
  <c r="W514" i="2"/>
  <c r="U514" i="2"/>
  <c r="V440" i="2"/>
  <c r="W440" i="2"/>
  <c r="U440" i="2"/>
  <c r="W511" i="2"/>
  <c r="V511" i="2"/>
  <c r="U511" i="2"/>
  <c r="U460" i="2"/>
  <c r="W460" i="2"/>
  <c r="V460" i="2"/>
  <c r="W610" i="2"/>
  <c r="V610" i="2"/>
  <c r="U610" i="2"/>
  <c r="X610" i="2" s="1"/>
  <c r="W408" i="2"/>
  <c r="V408" i="2"/>
  <c r="U408" i="2"/>
  <c r="U281" i="2"/>
  <c r="W281" i="2"/>
  <c r="V281" i="2"/>
  <c r="W563" i="2"/>
  <c r="V563" i="2"/>
  <c r="U563" i="2"/>
  <c r="V536" i="2"/>
  <c r="U536" i="2"/>
  <c r="W536" i="2"/>
  <c r="U545" i="2"/>
  <c r="V545" i="2"/>
  <c r="W545" i="2"/>
  <c r="W209" i="2"/>
  <c r="V209" i="2"/>
  <c r="U209" i="2"/>
  <c r="W692" i="2"/>
  <c r="V692" i="2"/>
  <c r="U692" i="2"/>
  <c r="X692" i="2" s="1"/>
  <c r="V548" i="2"/>
  <c r="W548" i="2"/>
  <c r="U548" i="2"/>
  <c r="V550" i="2"/>
  <c r="U550" i="2"/>
  <c r="W550" i="2"/>
  <c r="W494" i="2"/>
  <c r="V494" i="2"/>
  <c r="U494" i="2"/>
  <c r="W448" i="2"/>
  <c r="V448" i="2"/>
  <c r="U448" i="2"/>
  <c r="W342" i="2"/>
  <c r="V342" i="2"/>
  <c r="U342" i="2"/>
  <c r="W648" i="2"/>
  <c r="V648" i="2"/>
  <c r="U648" i="2"/>
  <c r="V384" i="2"/>
  <c r="U384" i="2"/>
  <c r="W384" i="2"/>
  <c r="V697" i="2"/>
  <c r="U697" i="2"/>
  <c r="W697" i="2"/>
  <c r="W467" i="2"/>
  <c r="V467" i="2"/>
  <c r="U467" i="2"/>
  <c r="U503" i="2"/>
  <c r="V503" i="2"/>
  <c r="W503" i="2"/>
  <c r="W633" i="2"/>
  <c r="V633" i="2"/>
  <c r="U633" i="2"/>
  <c r="X633" i="2" s="1"/>
  <c r="U547" i="2"/>
  <c r="W547" i="2"/>
  <c r="V547" i="2"/>
  <c r="V696" i="2"/>
  <c r="W696" i="2"/>
  <c r="U696" i="2"/>
  <c r="W261" i="2"/>
  <c r="V261" i="2"/>
  <c r="U261" i="2"/>
  <c r="W196" i="2"/>
  <c r="V196" i="2"/>
  <c r="U196" i="2"/>
  <c r="X196" i="2" s="1"/>
  <c r="W493" i="2"/>
  <c r="V493" i="2"/>
  <c r="U493" i="2"/>
  <c r="W192" i="2"/>
  <c r="V192" i="2"/>
  <c r="U192" i="2"/>
  <c r="U373" i="2"/>
  <c r="W373" i="2"/>
  <c r="V373" i="2"/>
  <c r="U194" i="2"/>
  <c r="W194" i="2"/>
  <c r="V194" i="2"/>
  <c r="X194" i="2" s="1"/>
  <c r="U561" i="2"/>
  <c r="W561" i="2"/>
  <c r="V561" i="2"/>
  <c r="U594" i="2"/>
  <c r="X594" i="2" s="1"/>
  <c r="W594" i="2"/>
  <c r="V594" i="2"/>
  <c r="W203" i="2"/>
  <c r="V203" i="2"/>
  <c r="U203" i="2"/>
  <c r="V195" i="2"/>
  <c r="U195" i="2"/>
  <c r="W195" i="2"/>
  <c r="W189" i="2"/>
  <c r="V189" i="2"/>
  <c r="U189" i="2"/>
  <c r="X189" i="2" s="1"/>
  <c r="W691" i="2"/>
  <c r="V691" i="2"/>
  <c r="U691" i="2"/>
  <c r="X691" i="2" s="1"/>
  <c r="W507" i="2"/>
  <c r="V507" i="2"/>
  <c r="X507" i="2" s="1"/>
  <c r="U507" i="2"/>
  <c r="V662" i="2"/>
  <c r="U662" i="2"/>
  <c r="W662" i="2"/>
  <c r="X662" i="2" s="1"/>
  <c r="W207" i="2"/>
  <c r="V207" i="2"/>
  <c r="U207" i="2"/>
  <c r="W459" i="2"/>
  <c r="V459" i="2"/>
  <c r="U459" i="2"/>
  <c r="X459" i="2" s="1"/>
  <c r="U670" i="2"/>
  <c r="W670" i="2"/>
  <c r="V670" i="2"/>
  <c r="W280" i="2"/>
  <c r="V280" i="2"/>
  <c r="U280" i="2"/>
  <c r="W210" i="2"/>
  <c r="V210" i="2"/>
  <c r="U210" i="2"/>
  <c r="W498" i="2"/>
  <c r="V498" i="2"/>
  <c r="U498" i="2"/>
  <c r="W344" i="2"/>
  <c r="V344" i="2"/>
  <c r="U344" i="2"/>
  <c r="U509" i="2"/>
  <c r="W509" i="2"/>
  <c r="V509" i="2"/>
  <c r="W587" i="2"/>
  <c r="V587" i="2"/>
  <c r="U587" i="2"/>
  <c r="X587" i="2" s="1"/>
  <c r="W235" i="2"/>
  <c r="V235" i="2"/>
  <c r="U235" i="2"/>
  <c r="W351" i="2"/>
  <c r="V351" i="2"/>
  <c r="U351" i="2"/>
  <c r="U520" i="2"/>
  <c r="W520" i="2"/>
  <c r="V520" i="2"/>
  <c r="W375" i="2"/>
  <c r="V375" i="2"/>
  <c r="U375" i="2"/>
  <c r="W607" i="2"/>
  <c r="V607" i="2"/>
  <c r="U607" i="2"/>
  <c r="X607" i="2" s="1"/>
  <c r="W272" i="2"/>
  <c r="V272" i="2"/>
  <c r="U272" i="2"/>
  <c r="W219" i="2"/>
  <c r="V219" i="2"/>
  <c r="U219" i="2"/>
  <c r="X219" i="2" s="1"/>
  <c r="U302" i="2"/>
  <c r="W302" i="2"/>
  <c r="V302" i="2"/>
  <c r="W431" i="2"/>
  <c r="V431" i="2"/>
  <c r="U431" i="2"/>
  <c r="U286" i="2"/>
  <c r="W286" i="2"/>
  <c r="V286" i="2"/>
  <c r="U497" i="2"/>
  <c r="V497" i="2"/>
  <c r="W497" i="2"/>
  <c r="W177" i="2"/>
  <c r="V177" i="2"/>
  <c r="U177" i="2"/>
  <c r="W255" i="2"/>
  <c r="V255" i="2"/>
  <c r="U255" i="2"/>
  <c r="V321" i="2"/>
  <c r="U321" i="2"/>
  <c r="W321" i="2"/>
  <c r="W510" i="2"/>
  <c r="V510" i="2"/>
  <c r="U510" i="2"/>
  <c r="W659" i="2"/>
  <c r="V659" i="2"/>
  <c r="U659" i="2"/>
  <c r="W464" i="2"/>
  <c r="V464" i="2"/>
  <c r="U464" i="2"/>
  <c r="U242" i="2"/>
  <c r="W242" i="2"/>
  <c r="V242" i="2"/>
  <c r="X242" i="2" s="1"/>
  <c r="W359" i="2"/>
  <c r="V359" i="2"/>
  <c r="U359" i="2"/>
  <c r="U668" i="2"/>
  <c r="W668" i="2"/>
  <c r="V668" i="2"/>
  <c r="W667" i="2"/>
  <c r="V667" i="2"/>
  <c r="U667" i="2"/>
  <c r="W539" i="2"/>
  <c r="V539" i="2"/>
  <c r="X539" i="2" s="1"/>
  <c r="U539" i="2"/>
  <c r="W568" i="2"/>
  <c r="V568" i="2"/>
  <c r="U568" i="2"/>
  <c r="W279" i="2"/>
  <c r="V279" i="2"/>
  <c r="U279" i="2"/>
  <c r="V303" i="2"/>
  <c r="U303" i="2"/>
  <c r="W303" i="2"/>
  <c r="U236" i="2"/>
  <c r="W236" i="2"/>
  <c r="V236" i="2"/>
  <c r="W250" i="2"/>
  <c r="V250" i="2"/>
  <c r="U250" i="2"/>
  <c r="W469" i="2"/>
  <c r="V469" i="2"/>
  <c r="U469" i="2"/>
  <c r="W489" i="2"/>
  <c r="V489" i="2"/>
  <c r="U489" i="2"/>
  <c r="W252" i="2"/>
  <c r="V252" i="2"/>
  <c r="U252" i="2"/>
  <c r="W253" i="2"/>
  <c r="V253" i="2"/>
  <c r="U253" i="2"/>
  <c r="W487" i="2"/>
  <c r="V487" i="2"/>
  <c r="U487" i="2"/>
  <c r="V339" i="2"/>
  <c r="X339" i="2" s="1"/>
  <c r="U339" i="2"/>
  <c r="W339" i="2"/>
  <c r="W624" i="2"/>
  <c r="V624" i="2"/>
  <c r="U624" i="2"/>
  <c r="W687" i="2"/>
  <c r="V687" i="2"/>
  <c r="U687" i="2"/>
  <c r="W371" i="2"/>
  <c r="U371" i="2"/>
  <c r="V371" i="2"/>
  <c r="W246" i="2"/>
  <c r="V246" i="2"/>
  <c r="U246" i="2"/>
  <c r="U222" i="2"/>
  <c r="W222" i="2"/>
  <c r="V222" i="2"/>
  <c r="W348" i="2"/>
  <c r="V348" i="2"/>
  <c r="U348" i="2"/>
  <c r="W365" i="2"/>
  <c r="V365" i="2"/>
  <c r="U365" i="2"/>
  <c r="W604" i="2"/>
  <c r="V604" i="2"/>
  <c r="U604" i="2"/>
  <c r="W176" i="2"/>
  <c r="V176" i="2"/>
  <c r="U176" i="2"/>
  <c r="V179" i="2"/>
  <c r="U179" i="2"/>
  <c r="W179" i="2"/>
  <c r="W407" i="2"/>
  <c r="V407" i="2"/>
  <c r="U407" i="2"/>
  <c r="W345" i="2"/>
  <c r="V345" i="2"/>
  <c r="U345" i="2"/>
  <c r="W505" i="2"/>
  <c r="V505" i="2"/>
  <c r="U505" i="2"/>
  <c r="W308" i="2"/>
  <c r="V308" i="2"/>
  <c r="U308" i="2"/>
  <c r="X308" i="2" s="1"/>
  <c r="U305" i="2"/>
  <c r="W305" i="2"/>
  <c r="V305" i="2"/>
  <c r="V582" i="2"/>
  <c r="W582" i="2"/>
  <c r="U582" i="2"/>
  <c r="W317" i="2"/>
  <c r="V317" i="2"/>
  <c r="U317" i="2"/>
  <c r="W188" i="2"/>
  <c r="V188" i="2"/>
  <c r="U188" i="2"/>
  <c r="W504" i="2"/>
  <c r="V504" i="2"/>
  <c r="U504" i="2"/>
  <c r="W310" i="2"/>
  <c r="V310" i="2"/>
  <c r="U310" i="2"/>
  <c r="W376" i="2"/>
  <c r="V376" i="2"/>
  <c r="U376" i="2"/>
  <c r="W229" i="2"/>
  <c r="V229" i="2"/>
  <c r="U229" i="2"/>
  <c r="W191" i="2"/>
  <c r="V191" i="2"/>
  <c r="U191" i="2"/>
  <c r="U337" i="2"/>
  <c r="W337" i="2"/>
  <c r="V337" i="2"/>
  <c r="W274" i="2"/>
  <c r="V274" i="2"/>
  <c r="U274" i="2"/>
  <c r="W226" i="2"/>
  <c r="V226" i="2"/>
  <c r="U226" i="2"/>
  <c r="W361" i="2"/>
  <c r="V361" i="2"/>
  <c r="U361" i="2"/>
  <c r="X361" i="2" s="1"/>
  <c r="W241" i="2"/>
  <c r="V241" i="2"/>
  <c r="U241" i="2"/>
  <c r="W265" i="2"/>
  <c r="V265" i="2"/>
  <c r="U265" i="2"/>
  <c r="X265" i="2" s="1"/>
  <c r="W492" i="2"/>
  <c r="V492" i="2"/>
  <c r="U492" i="2"/>
  <c r="W200" i="2"/>
  <c r="V200" i="2"/>
  <c r="U200" i="2"/>
  <c r="W267" i="2"/>
  <c r="X267" i="2" s="1"/>
  <c r="V267" i="2"/>
  <c r="U267" i="2"/>
  <c r="V438" i="2"/>
  <c r="W438" i="2"/>
  <c r="U438" i="2"/>
  <c r="W214" i="2"/>
  <c r="V214" i="2"/>
  <c r="U214" i="2"/>
  <c r="V502" i="2"/>
  <c r="W502" i="2"/>
  <c r="U502" i="2"/>
  <c r="W473" i="2"/>
  <c r="V473" i="2"/>
  <c r="U473" i="2"/>
  <c r="V470" i="2"/>
  <c r="W470" i="2"/>
  <c r="U470" i="2"/>
  <c r="W634" i="2"/>
  <c r="V634" i="2"/>
  <c r="U634" i="2"/>
  <c r="W357" i="2"/>
  <c r="V357" i="2"/>
  <c r="U357" i="2"/>
  <c r="W370" i="2"/>
  <c r="V370" i="2"/>
  <c r="U370" i="2"/>
  <c r="W221" i="2"/>
  <c r="V221" i="2"/>
  <c r="U221" i="2"/>
  <c r="U609" i="2"/>
  <c r="W609" i="2"/>
  <c r="V609" i="2"/>
  <c r="V432" i="2"/>
  <c r="U432" i="2"/>
  <c r="W432" i="2"/>
  <c r="W636" i="2"/>
  <c r="V636" i="2"/>
  <c r="U636" i="2"/>
  <c r="U682" i="2"/>
  <c r="W682" i="2"/>
  <c r="V682" i="2"/>
  <c r="W458" i="2"/>
  <c r="V458" i="2"/>
  <c r="U458" i="2"/>
  <c r="U611" i="2"/>
  <c r="W611" i="2"/>
  <c r="V611" i="2"/>
  <c r="W405" i="2"/>
  <c r="V405" i="2"/>
  <c r="U405" i="2"/>
  <c r="W367" i="2"/>
  <c r="V367" i="2"/>
  <c r="U367" i="2"/>
  <c r="V588" i="2"/>
  <c r="W588" i="2"/>
  <c r="U588" i="2"/>
  <c r="W425" i="2"/>
  <c r="V425" i="2"/>
  <c r="U425" i="2"/>
  <c r="U512" i="2"/>
  <c r="W512" i="2"/>
  <c r="V512" i="2"/>
  <c r="V362" i="2"/>
  <c r="W362" i="2"/>
  <c r="U362" i="2"/>
  <c r="W381" i="2"/>
  <c r="V381" i="2"/>
  <c r="U381" i="2"/>
  <c r="V390" i="2"/>
  <c r="W390" i="2"/>
  <c r="U390" i="2"/>
  <c r="U592" i="2"/>
  <c r="W592" i="2"/>
  <c r="V592" i="2"/>
  <c r="U238" i="2"/>
  <c r="W238" i="2"/>
  <c r="V238" i="2"/>
  <c r="U632" i="2"/>
  <c r="W632" i="2"/>
  <c r="V632" i="2"/>
  <c r="W436" i="2"/>
  <c r="V436" i="2"/>
  <c r="U436" i="2"/>
  <c r="X436" i="2" s="1"/>
  <c r="W424" i="2"/>
  <c r="V424" i="2"/>
  <c r="U424" i="2"/>
  <c r="W240" i="2"/>
  <c r="V240" i="2"/>
  <c r="U240" i="2"/>
  <c r="W567" i="2"/>
  <c r="V567" i="2"/>
  <c r="U567" i="2"/>
  <c r="V178" i="2"/>
  <c r="W178" i="2"/>
  <c r="U178" i="2"/>
  <c r="W324" i="2"/>
  <c r="V324" i="2"/>
  <c r="U324" i="2"/>
  <c r="U626" i="2"/>
  <c r="W626" i="2"/>
  <c r="V626" i="2"/>
  <c r="W330" i="2"/>
  <c r="V330" i="2"/>
  <c r="U330" i="2"/>
  <c r="U689" i="2"/>
  <c r="W689" i="2"/>
  <c r="V689" i="2"/>
  <c r="U270" i="2"/>
  <c r="W270" i="2"/>
  <c r="V270" i="2"/>
  <c r="W591" i="2"/>
  <c r="V591" i="2"/>
  <c r="U591" i="2"/>
  <c r="V374" i="2"/>
  <c r="U374" i="2"/>
  <c r="W374" i="2"/>
  <c r="W382" i="2"/>
  <c r="V382" i="2"/>
  <c r="U382" i="2"/>
  <c r="U426" i="2"/>
  <c r="W426" i="2"/>
  <c r="V426" i="2"/>
  <c r="W447" i="2"/>
  <c r="V447" i="2"/>
  <c r="U447" i="2"/>
  <c r="U276" i="2"/>
  <c r="W276" i="2"/>
  <c r="V276" i="2"/>
  <c r="W237" i="2"/>
  <c r="V237" i="2"/>
  <c r="U237" i="2"/>
  <c r="W560" i="2"/>
  <c r="V560" i="2"/>
  <c r="U560" i="2"/>
  <c r="W653" i="2"/>
  <c r="V653" i="2"/>
  <c r="U653" i="2"/>
  <c r="X653" i="2" s="1"/>
  <c r="W278" i="2"/>
  <c r="V278" i="2"/>
  <c r="U278" i="2"/>
  <c r="W413" i="2"/>
  <c r="V413" i="2"/>
  <c r="U413" i="2"/>
  <c r="U412" i="2"/>
  <c r="W412" i="2"/>
  <c r="V412" i="2"/>
  <c r="V404" i="2"/>
  <c r="U404" i="2"/>
  <c r="W404" i="2"/>
  <c r="V457" i="2"/>
  <c r="W457" i="2"/>
  <c r="U457" i="2"/>
  <c r="X457" i="2" s="1"/>
  <c r="V297" i="2"/>
  <c r="U297" i="2"/>
  <c r="W297" i="2"/>
  <c r="W637" i="2"/>
  <c r="U637" i="2"/>
  <c r="V637" i="2"/>
  <c r="W576" i="2"/>
  <c r="V576" i="2"/>
  <c r="U576" i="2"/>
  <c r="U541" i="2"/>
  <c r="W541" i="2"/>
  <c r="V541" i="2"/>
  <c r="X541" i="2" s="1"/>
  <c r="W649" i="2"/>
  <c r="V649" i="2"/>
  <c r="U649" i="2"/>
  <c r="W333" i="2"/>
  <c r="V333" i="2"/>
  <c r="U333" i="2"/>
  <c r="W690" i="2"/>
  <c r="V690" i="2"/>
  <c r="U690" i="2"/>
  <c r="V323" i="2"/>
  <c r="U323" i="2"/>
  <c r="W323" i="2"/>
  <c r="W427" i="2"/>
  <c r="V427" i="2"/>
  <c r="U427" i="2"/>
  <c r="W220" i="2"/>
  <c r="V220" i="2"/>
  <c r="U220" i="2"/>
  <c r="W347" i="2"/>
  <c r="V347" i="2"/>
  <c r="U347" i="2"/>
  <c r="W325" i="2"/>
  <c r="V325" i="2"/>
  <c r="U325" i="2"/>
  <c r="X325" i="2" s="1"/>
  <c r="U218" i="2"/>
  <c r="W218" i="2"/>
  <c r="V218" i="2"/>
  <c r="U665" i="2"/>
  <c r="W665" i="2"/>
  <c r="V665" i="2"/>
  <c r="U553" i="2"/>
  <c r="W553" i="2"/>
  <c r="V553" i="2"/>
  <c r="X553" i="2" s="1"/>
  <c r="W506" i="2"/>
  <c r="V506" i="2"/>
  <c r="U506" i="2"/>
  <c r="V679" i="2"/>
  <c r="W679" i="2"/>
  <c r="U679" i="2"/>
  <c r="W655" i="2"/>
  <c r="V655" i="2"/>
  <c r="U655" i="2"/>
  <c r="W508" i="2"/>
  <c r="V508" i="2"/>
  <c r="X508" i="2" s="1"/>
  <c r="U508" i="2"/>
  <c r="W205" i="2"/>
  <c r="V205" i="2"/>
  <c r="U205" i="2"/>
  <c r="U450" i="2"/>
  <c r="W450" i="2"/>
  <c r="V450" i="2"/>
  <c r="W295" i="2"/>
  <c r="V295" i="2"/>
  <c r="U295" i="2"/>
  <c r="W530" i="2"/>
  <c r="V530" i="2"/>
  <c r="U530" i="2"/>
  <c r="W485" i="2"/>
  <c r="V485" i="2"/>
  <c r="U485" i="2"/>
  <c r="U557" i="2"/>
  <c r="W557" i="2"/>
  <c r="V557" i="2"/>
  <c r="W652" i="2"/>
  <c r="V652" i="2"/>
  <c r="U652" i="2"/>
  <c r="W664" i="2"/>
  <c r="V664" i="2"/>
  <c r="U664" i="2"/>
  <c r="X664" i="2" s="1"/>
  <c r="V307" i="2"/>
  <c r="U307" i="2"/>
  <c r="W307" i="2"/>
  <c r="V612" i="2"/>
  <c r="U612" i="2"/>
  <c r="W612" i="2"/>
  <c r="W695" i="2"/>
  <c r="V695" i="2"/>
  <c r="U695" i="2"/>
  <c r="W613" i="2"/>
  <c r="V613" i="2"/>
  <c r="U613" i="2"/>
  <c r="W386" i="2"/>
  <c r="V386" i="2"/>
  <c r="U386" i="2"/>
  <c r="X386" i="2" s="1"/>
  <c r="V378" i="2"/>
  <c r="W378" i="2"/>
  <c r="U378" i="2"/>
  <c r="W385" i="2"/>
  <c r="V385" i="2"/>
  <c r="U385" i="2"/>
  <c r="X385" i="2" s="1"/>
  <c r="W574" i="2"/>
  <c r="V574" i="2"/>
  <c r="X574" i="2" s="1"/>
  <c r="U574" i="2"/>
  <c r="W335" i="2"/>
  <c r="V335" i="2"/>
  <c r="U335" i="2"/>
  <c r="W380" i="2"/>
  <c r="V380" i="2"/>
  <c r="U380" i="2"/>
  <c r="V387" i="2"/>
  <c r="W387" i="2"/>
  <c r="U387" i="2"/>
  <c r="U577" i="2"/>
  <c r="W577" i="2"/>
  <c r="V577" i="2"/>
  <c r="W621" i="2"/>
  <c r="V621" i="2"/>
  <c r="U621" i="2"/>
  <c r="W245" i="2"/>
  <c r="V245" i="2"/>
  <c r="U245" i="2"/>
  <c r="U554" i="2"/>
  <c r="V554" i="2"/>
  <c r="W554" i="2"/>
  <c r="U535" i="2"/>
  <c r="W535" i="2"/>
  <c r="V535" i="2"/>
  <c r="W289" i="2"/>
  <c r="V289" i="2"/>
  <c r="U289" i="2"/>
  <c r="U481" i="2"/>
  <c r="V481" i="2"/>
  <c r="W481" i="2"/>
  <c r="W556" i="2"/>
  <c r="V556" i="2"/>
  <c r="U556" i="2"/>
  <c r="W228" i="2"/>
  <c r="V228" i="2"/>
  <c r="U228" i="2"/>
  <c r="V259" i="2"/>
  <c r="U259" i="2"/>
  <c r="W259" i="2"/>
  <c r="W329" i="2"/>
  <c r="V329" i="2"/>
  <c r="U329" i="2"/>
  <c r="V213" i="2"/>
  <c r="U213" i="2"/>
  <c r="W213" i="2"/>
  <c r="W354" i="2"/>
  <c r="V354" i="2"/>
  <c r="U354" i="2"/>
  <c r="W551" i="2"/>
  <c r="V551" i="2"/>
  <c r="U551" i="2"/>
  <c r="W700" i="2"/>
  <c r="V700" i="2"/>
  <c r="U700" i="2"/>
  <c r="U391" i="2"/>
  <c r="W391" i="2"/>
  <c r="V391" i="2"/>
  <c r="X391" i="2" s="1"/>
  <c r="V366" i="2"/>
  <c r="U366" i="2"/>
  <c r="W366" i="2"/>
  <c r="V486" i="2"/>
  <c r="W486" i="2"/>
  <c r="U486" i="2"/>
  <c r="W590" i="2"/>
  <c r="V590" i="2"/>
  <c r="U590" i="2"/>
  <c r="W338" i="2"/>
  <c r="V338" i="2"/>
  <c r="U338" i="2"/>
  <c r="U580" i="2"/>
  <c r="W580" i="2"/>
  <c r="V580" i="2"/>
  <c r="U537" i="2"/>
  <c r="W537" i="2"/>
  <c r="V537" i="2"/>
  <c r="W217" i="2"/>
  <c r="V217" i="2"/>
  <c r="U217" i="2"/>
  <c r="W663" i="2"/>
  <c r="X663" i="2" s="1"/>
  <c r="V663" i="2"/>
  <c r="U663" i="2"/>
  <c r="U625" i="2"/>
  <c r="W625" i="2"/>
  <c r="V625" i="2"/>
  <c r="U401" i="2"/>
  <c r="W401" i="2"/>
  <c r="V401" i="2"/>
  <c r="W672" i="2"/>
  <c r="V672" i="2"/>
  <c r="U672" i="2"/>
  <c r="W296" i="2"/>
  <c r="V296" i="2"/>
  <c r="U296" i="2"/>
  <c r="W204" i="2"/>
  <c r="U204" i="2"/>
  <c r="X204" i="2" s="1"/>
  <c r="V204" i="2"/>
  <c r="W596" i="2"/>
  <c r="V596" i="2"/>
  <c r="U596" i="2"/>
  <c r="U254" i="2"/>
  <c r="W254" i="2"/>
  <c r="V254" i="2"/>
  <c r="W283" i="2"/>
  <c r="V283" i="2"/>
  <c r="U283" i="2"/>
  <c r="W393" i="2"/>
  <c r="V393" i="2"/>
  <c r="U393" i="2"/>
  <c r="V647" i="2"/>
  <c r="U647" i="2"/>
  <c r="W647" i="2"/>
  <c r="V406" i="2"/>
  <c r="U406" i="2"/>
  <c r="W406" i="2"/>
  <c r="U465" i="2"/>
  <c r="W465" i="2"/>
  <c r="V465" i="2"/>
  <c r="U685" i="2"/>
  <c r="W685" i="2"/>
  <c r="V685" i="2"/>
  <c r="V327" i="2"/>
  <c r="U327" i="2"/>
  <c r="W327" i="2"/>
  <c r="U318" i="2"/>
  <c r="W318" i="2"/>
  <c r="V318" i="2"/>
  <c r="V544" i="2"/>
  <c r="U544" i="2"/>
  <c r="W544" i="2"/>
  <c r="U463" i="2"/>
  <c r="W463" i="2"/>
  <c r="V463" i="2"/>
  <c r="W202" i="2"/>
  <c r="V202" i="2"/>
  <c r="U202" i="2"/>
  <c r="W326" i="2"/>
  <c r="V326" i="2"/>
  <c r="U326" i="2"/>
  <c r="W546" i="2"/>
  <c r="V546" i="2"/>
  <c r="U546" i="2"/>
  <c r="W257" i="2"/>
  <c r="V257" i="2"/>
  <c r="U257" i="2"/>
  <c r="U197" i="2"/>
  <c r="W197" i="2"/>
  <c r="V197" i="2"/>
  <c r="W277" i="2"/>
  <c r="V277" i="2"/>
  <c r="U277" i="2"/>
  <c r="W298" i="2"/>
  <c r="V298" i="2"/>
  <c r="U298" i="2"/>
  <c r="X298" i="2" s="1"/>
  <c r="W455" i="2"/>
  <c r="V455" i="2"/>
  <c r="U455" i="2"/>
  <c r="V309" i="2"/>
  <c r="U309" i="2"/>
  <c r="W309" i="2"/>
  <c r="W247" i="2"/>
  <c r="V247" i="2"/>
  <c r="U247" i="2"/>
  <c r="W452" i="2"/>
  <c r="V452" i="2"/>
  <c r="U452" i="2"/>
  <c r="V439" i="2"/>
  <c r="U439" i="2"/>
  <c r="W439" i="2"/>
  <c r="W360" i="2"/>
  <c r="V360" i="2"/>
  <c r="U360" i="2"/>
  <c r="W285" i="2"/>
  <c r="V285" i="2"/>
  <c r="U285" i="2"/>
  <c r="W299" i="2"/>
  <c r="V299" i="2"/>
  <c r="U299" i="2"/>
  <c r="W532" i="2"/>
  <c r="V532" i="2"/>
  <c r="U532" i="2"/>
  <c r="W559" i="2"/>
  <c r="U559" i="2"/>
  <c r="V559" i="2"/>
  <c r="W319" i="2"/>
  <c r="V319" i="2"/>
  <c r="U319" i="2"/>
  <c r="W631" i="2"/>
  <c r="V631" i="2"/>
  <c r="U631" i="2"/>
  <c r="X631" i="2" s="1"/>
  <c r="W225" i="2"/>
  <c r="V225" i="2"/>
  <c r="U225" i="2"/>
  <c r="V614" i="2"/>
  <c r="W614" i="2"/>
  <c r="U614" i="2"/>
  <c r="V341" i="2"/>
  <c r="U341" i="2"/>
  <c r="W341" i="2"/>
  <c r="W215" i="2"/>
  <c r="V215" i="2"/>
  <c r="U215" i="2"/>
  <c r="X215" i="2" s="1"/>
  <c r="V227" i="2"/>
  <c r="U227" i="2"/>
  <c r="W227" i="2"/>
  <c r="U190" i="2"/>
  <c r="W190" i="2"/>
  <c r="V190" i="2"/>
  <c r="W483" i="2"/>
  <c r="V483" i="2"/>
  <c r="U483" i="2"/>
  <c r="V422" i="2"/>
  <c r="W422" i="2"/>
  <c r="U422" i="2"/>
  <c r="W461" i="2"/>
  <c r="V461" i="2"/>
  <c r="U461" i="2"/>
  <c r="V474" i="2"/>
  <c r="U474" i="2"/>
  <c r="W474" i="2"/>
  <c r="W403" i="2"/>
  <c r="V403" i="2"/>
  <c r="U403" i="2"/>
  <c r="W575" i="2"/>
  <c r="V575" i="2"/>
  <c r="U575" i="2"/>
  <c r="W666" i="2"/>
  <c r="V666" i="2"/>
  <c r="U666" i="2"/>
  <c r="W316" i="2"/>
  <c r="V316" i="2"/>
  <c r="U316" i="2"/>
  <c r="W552" i="2"/>
  <c r="V552" i="2"/>
  <c r="U552" i="2"/>
  <c r="W528" i="2"/>
  <c r="V528" i="2"/>
  <c r="U528" i="2"/>
  <c r="W555" i="2"/>
  <c r="V555" i="2"/>
  <c r="U555" i="2"/>
  <c r="W660" i="2"/>
  <c r="V660" i="2"/>
  <c r="U660" i="2"/>
  <c r="W579" i="2"/>
  <c r="V579" i="2"/>
  <c r="U579" i="2"/>
  <c r="W569" i="2"/>
  <c r="V569" i="2"/>
  <c r="U569" i="2"/>
  <c r="W396" i="2"/>
  <c r="V396" i="2"/>
  <c r="U396" i="2"/>
  <c r="U702" i="2"/>
  <c r="W702" i="2"/>
  <c r="V702" i="2"/>
  <c r="V211" i="2"/>
  <c r="U211" i="2"/>
  <c r="W211" i="2"/>
  <c r="W356" i="2"/>
  <c r="V356" i="2"/>
  <c r="U356" i="2"/>
  <c r="W410" i="2"/>
  <c r="V410" i="2"/>
  <c r="U410" i="2"/>
  <c r="W564" i="2"/>
  <c r="U564" i="2"/>
  <c r="V564" i="2"/>
  <c r="W671" i="2"/>
  <c r="V671" i="2"/>
  <c r="U671" i="2"/>
  <c r="U224" i="2"/>
  <c r="V224" i="2"/>
  <c r="W224" i="2"/>
  <c r="U513" i="2"/>
  <c r="W513" i="2"/>
  <c r="V513" i="2"/>
  <c r="U300" i="2"/>
  <c r="W300" i="2"/>
  <c r="V300" i="2"/>
  <c r="W397" i="2"/>
  <c r="V397" i="2"/>
  <c r="U397" i="2"/>
  <c r="W331" i="2"/>
  <c r="V331" i="2"/>
  <c r="U331" i="2"/>
  <c r="V256" i="2"/>
  <c r="W256" i="2"/>
  <c r="U256" i="2"/>
  <c r="V694" i="2"/>
  <c r="W694" i="2"/>
  <c r="U694" i="2"/>
  <c r="W517" i="2"/>
  <c r="V517" i="2"/>
  <c r="U517" i="2"/>
  <c r="W369" i="2"/>
  <c r="V369" i="2"/>
  <c r="U369" i="2"/>
  <c r="U499" i="2"/>
  <c r="W499" i="2"/>
  <c r="V499" i="2"/>
  <c r="U429" i="2"/>
  <c r="W429" i="2"/>
  <c r="V429" i="2"/>
  <c r="U433" i="2"/>
  <c r="W433" i="2"/>
  <c r="V433" i="2"/>
  <c r="W349" i="2"/>
  <c r="V349" i="2"/>
  <c r="U349" i="2"/>
  <c r="W669" i="2"/>
  <c r="V669" i="2"/>
  <c r="U669" i="2"/>
  <c r="W603" i="2"/>
  <c r="V603" i="2"/>
  <c r="U603" i="2"/>
  <c r="X603" i="2" s="1"/>
  <c r="W701" i="2"/>
  <c r="V701" i="2"/>
  <c r="U701" i="2"/>
  <c r="X701" i="2" s="1"/>
  <c r="W686" i="2"/>
  <c r="V686" i="2"/>
  <c r="U686" i="2"/>
  <c r="W353" i="2"/>
  <c r="V353" i="2"/>
  <c r="U353" i="2"/>
  <c r="V531" i="2"/>
  <c r="U531" i="2"/>
  <c r="W531" i="2"/>
  <c r="W409" i="2"/>
  <c r="V409" i="2"/>
  <c r="U409" i="2"/>
  <c r="X409" i="2" s="1"/>
  <c r="W627" i="2"/>
  <c r="V627" i="2"/>
  <c r="U627" i="2"/>
  <c r="V420" i="2"/>
  <c r="U420" i="2"/>
  <c r="X420" i="2" s="1"/>
  <c r="W420" i="2"/>
  <c r="V515" i="2"/>
  <c r="U515" i="2"/>
  <c r="W515" i="2"/>
  <c r="W328" i="2"/>
  <c r="V328" i="2"/>
  <c r="U328" i="2"/>
  <c r="U657" i="2"/>
  <c r="W657" i="2"/>
  <c r="V657" i="2"/>
  <c r="V586" i="2"/>
  <c r="U586" i="2"/>
  <c r="W586" i="2"/>
  <c r="W311" i="2"/>
  <c r="V311" i="2"/>
  <c r="U311" i="2"/>
  <c r="V640" i="2"/>
  <c r="U640" i="2"/>
  <c r="W640" i="2"/>
  <c r="V639" i="2"/>
  <c r="W639" i="2"/>
  <c r="U639" i="2"/>
  <c r="W491" i="2"/>
  <c r="V491" i="2"/>
  <c r="U491" i="2"/>
  <c r="X491" i="2" s="1"/>
  <c r="V630" i="2"/>
  <c r="W630" i="2"/>
  <c r="U630" i="2"/>
  <c r="X630" i="2" s="1"/>
  <c r="W651" i="2"/>
  <c r="U651" i="2"/>
  <c r="V651" i="2"/>
  <c r="U456" i="2"/>
  <c r="W456" i="2"/>
  <c r="V456" i="2"/>
  <c r="W269" i="2"/>
  <c r="V269" i="2"/>
  <c r="U269" i="2"/>
  <c r="W208" i="2"/>
  <c r="V208" i="2"/>
  <c r="U208" i="2"/>
  <c r="X208" i="2" s="1"/>
  <c r="V193" i="2"/>
  <c r="U193" i="2"/>
  <c r="W193" i="2"/>
  <c r="W482" i="2"/>
  <c r="V482" i="2"/>
  <c r="U482" i="2"/>
  <c r="W332" i="2"/>
  <c r="V332" i="2"/>
  <c r="X332" i="2" s="1"/>
  <c r="U332" i="2"/>
  <c r="U212" i="2"/>
  <c r="W212" i="2"/>
  <c r="V212" i="2"/>
  <c r="V543" i="2"/>
  <c r="U543" i="2"/>
  <c r="W543" i="2"/>
  <c r="V566" i="2"/>
  <c r="W566" i="2"/>
  <c r="U566" i="2"/>
  <c r="X566" i="2" s="1"/>
  <c r="W466" i="2"/>
  <c r="V466" i="2"/>
  <c r="U466" i="2"/>
  <c r="V598" i="2"/>
  <c r="W598" i="2"/>
  <c r="U598" i="2"/>
  <c r="V182" i="2"/>
  <c r="U182" i="2"/>
  <c r="W182" i="2"/>
  <c r="U249" i="2"/>
  <c r="W249" i="2"/>
  <c r="V249" i="2"/>
  <c r="W271" i="2"/>
  <c r="V271" i="2"/>
  <c r="U271" i="2"/>
  <c r="U593" i="2"/>
  <c r="W593" i="2"/>
  <c r="V593" i="2"/>
  <c r="U462" i="2"/>
  <c r="V462" i="2"/>
  <c r="W462" i="2"/>
  <c r="U673" i="2"/>
  <c r="W673" i="2"/>
  <c r="V673" i="2"/>
  <c r="U471" i="2"/>
  <c r="W471" i="2"/>
  <c r="V471" i="2"/>
  <c r="V181" i="2"/>
  <c r="U181" i="2"/>
  <c r="W181" i="2"/>
  <c r="W260" i="2"/>
  <c r="V260" i="2"/>
  <c r="U260" i="2"/>
  <c r="W248" i="2"/>
  <c r="V248" i="2"/>
  <c r="U248" i="2"/>
  <c r="W533" i="2"/>
  <c r="V533" i="2"/>
  <c r="X533" i="2" s="1"/>
  <c r="U533" i="2"/>
  <c r="U273" i="2"/>
  <c r="W273" i="2"/>
  <c r="V273" i="2"/>
  <c r="U654" i="2"/>
  <c r="W654" i="2"/>
  <c r="V654" i="2"/>
  <c r="V364" i="2"/>
  <c r="U364" i="2"/>
  <c r="W364" i="2"/>
  <c r="W490" i="2"/>
  <c r="V490" i="2"/>
  <c r="U490" i="2"/>
  <c r="W282" i="2"/>
  <c r="V282" i="2"/>
  <c r="U282" i="2"/>
  <c r="U346" i="2"/>
  <c r="V346" i="2"/>
  <c r="W346" i="2"/>
  <c r="W683" i="2"/>
  <c r="V683" i="2"/>
  <c r="U683" i="2"/>
  <c r="W496" i="2"/>
  <c r="V496" i="2"/>
  <c r="U496" i="2"/>
  <c r="W451" i="2"/>
  <c r="V451" i="2"/>
  <c r="U451" i="2"/>
  <c r="W650" i="2"/>
  <c r="U650" i="2"/>
  <c r="V650" i="2"/>
  <c r="W698" i="2"/>
  <c r="X698" i="2" s="1"/>
  <c r="V698" i="2"/>
  <c r="U698" i="2"/>
  <c r="W430" i="2"/>
  <c r="V430" i="2"/>
  <c r="U430" i="2"/>
  <c r="W395" i="2"/>
  <c r="V395" i="2"/>
  <c r="U395" i="2"/>
  <c r="W388" i="2"/>
  <c r="V388" i="2"/>
  <c r="U388" i="2"/>
  <c r="W500" i="2"/>
  <c r="V500" i="2"/>
  <c r="U500" i="2"/>
  <c r="V275" i="2"/>
  <c r="U275" i="2"/>
  <c r="W275" i="2"/>
  <c r="W284" i="2"/>
  <c r="V284" i="2"/>
  <c r="U284" i="2"/>
  <c r="W399" i="2"/>
  <c r="V399" i="2"/>
  <c r="U399" i="2"/>
  <c r="W377" i="2"/>
  <c r="V377" i="2"/>
  <c r="U377" i="2"/>
  <c r="V418" i="2"/>
  <c r="U418" i="2"/>
  <c r="W418" i="2"/>
  <c r="W658" i="2"/>
  <c r="V658" i="2"/>
  <c r="U658" i="2"/>
  <c r="X658" i="2" s="1"/>
  <c r="V288" i="2"/>
  <c r="W288" i="2"/>
  <c r="U288" i="2"/>
  <c r="W383" i="2"/>
  <c r="V383" i="2"/>
  <c r="U383" i="2"/>
  <c r="V605" i="2"/>
  <c r="W605" i="2"/>
  <c r="U605" i="2"/>
  <c r="X605" i="2" s="1"/>
  <c r="W589" i="2"/>
  <c r="V589" i="2"/>
  <c r="U589" i="2"/>
  <c r="V294" i="2"/>
  <c r="U294" i="2"/>
  <c r="W294" i="2"/>
  <c r="U398" i="2"/>
  <c r="W398" i="2"/>
  <c r="V398" i="2"/>
  <c r="W262" i="2"/>
  <c r="V262" i="2"/>
  <c r="U262" i="2"/>
  <c r="W263" i="2"/>
  <c r="U263" i="2"/>
  <c r="V263" i="2"/>
  <c r="W435" i="2"/>
  <c r="V435" i="2"/>
  <c r="U435" i="2"/>
  <c r="W304" i="2"/>
  <c r="V304" i="2"/>
  <c r="U304" i="2"/>
  <c r="X304" i="2" s="1"/>
  <c r="W635" i="2"/>
  <c r="V635" i="2"/>
  <c r="X635" i="2" s="1"/>
  <c r="U635" i="2"/>
  <c r="W306" i="2"/>
  <c r="V306" i="2"/>
  <c r="U306" i="2"/>
  <c r="V518" i="2"/>
  <c r="W518" i="2"/>
  <c r="U518" i="2"/>
  <c r="W542" i="2"/>
  <c r="V542" i="2"/>
  <c r="U542" i="2"/>
  <c r="W437" i="2"/>
  <c r="V437" i="2"/>
  <c r="U437" i="2"/>
  <c r="W184" i="2"/>
  <c r="V184" i="2"/>
  <c r="U184" i="2"/>
  <c r="V251" i="2"/>
  <c r="U251" i="2"/>
  <c r="W251" i="2"/>
  <c r="U645" i="2"/>
  <c r="W645" i="2"/>
  <c r="V645" i="2"/>
  <c r="V581" i="2"/>
  <c r="W581" i="2"/>
  <c r="U581" i="2"/>
  <c r="X581" i="2" s="1"/>
  <c r="V656" i="2"/>
  <c r="U656" i="2"/>
  <c r="W656" i="2"/>
  <c r="U693" i="2"/>
  <c r="W693" i="2"/>
  <c r="V693" i="2"/>
  <c r="V678" i="2"/>
  <c r="U678" i="2"/>
  <c r="W678" i="2"/>
  <c r="W558" i="2"/>
  <c r="V558" i="2"/>
  <c r="U558" i="2"/>
  <c r="U484" i="2"/>
  <c r="W484" i="2"/>
  <c r="V484" i="2"/>
  <c r="W595" i="2"/>
  <c r="V595" i="2"/>
  <c r="U595" i="2"/>
  <c r="W699" i="2"/>
  <c r="V699" i="2"/>
  <c r="U699" i="2"/>
  <c r="U684" i="2"/>
  <c r="W684" i="2"/>
  <c r="V684" i="2"/>
  <c r="U268" i="2"/>
  <c r="W268" i="2"/>
  <c r="V268" i="2"/>
  <c r="W521" i="2"/>
  <c r="V521" i="2"/>
  <c r="U521" i="2"/>
  <c r="W538" i="2"/>
  <c r="V538" i="2"/>
  <c r="U538" i="2"/>
  <c r="W411" i="2"/>
  <c r="U411" i="2"/>
  <c r="V411" i="2"/>
  <c r="W336" i="2"/>
  <c r="V336" i="2"/>
  <c r="U336" i="2"/>
  <c r="W258" i="2"/>
  <c r="V258" i="2"/>
  <c r="U258" i="2"/>
  <c r="U623" i="2"/>
  <c r="W623" i="2"/>
  <c r="V623" i="2"/>
  <c r="W419" i="2"/>
  <c r="V419" i="2"/>
  <c r="U419" i="2"/>
  <c r="X419" i="2" s="1"/>
  <c r="W402" i="2"/>
  <c r="V402" i="2"/>
  <c r="U402" i="2"/>
  <c r="U446" i="2"/>
  <c r="V446" i="2"/>
  <c r="W446" i="2"/>
  <c r="W583" i="2"/>
  <c r="V583" i="2"/>
  <c r="U583" i="2"/>
  <c r="W441" i="2"/>
  <c r="V441" i="2"/>
  <c r="U441" i="2"/>
  <c r="X180" i="2"/>
  <c r="X401" i="2"/>
  <c r="X463" i="2"/>
  <c r="X590" i="2"/>
  <c r="X363" i="2"/>
  <c r="X251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X396" i="2" l="1"/>
  <c r="X449" i="2"/>
  <c r="X468" i="2"/>
  <c r="X487" i="2"/>
  <c r="X310" i="2"/>
  <c r="X427" i="2"/>
  <c r="X469" i="2"/>
  <c r="X667" i="2"/>
  <c r="X486" i="2"/>
  <c r="X621" i="2"/>
  <c r="X485" i="2"/>
  <c r="X318" i="2"/>
  <c r="X214" i="2"/>
  <c r="X640" i="2"/>
  <c r="X655" i="2"/>
  <c r="X447" i="2"/>
  <c r="X538" i="2"/>
  <c r="X543" i="2"/>
  <c r="X212" i="2"/>
  <c r="X220" i="2"/>
  <c r="X518" i="2"/>
  <c r="X517" i="2"/>
  <c r="X277" i="2"/>
  <c r="X207" i="2"/>
  <c r="X547" i="2"/>
  <c r="X183" i="2"/>
  <c r="X338" i="2"/>
  <c r="X489" i="2"/>
  <c r="X548" i="2"/>
  <c r="X289" i="2"/>
  <c r="X593" i="2"/>
  <c r="X540" i="2"/>
  <c r="X373" i="2"/>
  <c r="X656" i="2"/>
  <c r="X564" i="2"/>
  <c r="X346" i="2"/>
  <c r="X182" i="2"/>
  <c r="X499" i="2"/>
  <c r="X697" i="2"/>
  <c r="X337" i="2"/>
  <c r="X550" i="2"/>
  <c r="X560" i="2"/>
  <c r="X335" i="2"/>
  <c r="X229" i="2"/>
  <c r="X661" i="2"/>
  <c r="X678" i="2"/>
  <c r="X399" i="2"/>
  <c r="X328" i="2"/>
  <c r="X685" i="2"/>
  <c r="X256" i="2"/>
  <c r="X647" i="2"/>
  <c r="X276" i="2"/>
  <c r="X305" i="2"/>
  <c r="X372" i="2"/>
  <c r="X683" i="2"/>
  <c r="X349" i="2"/>
  <c r="X638" i="2"/>
  <c r="X650" i="2"/>
  <c r="X651" i="2"/>
  <c r="X238" i="2"/>
  <c r="X558" i="2"/>
  <c r="X532" i="2"/>
  <c r="X351" i="2"/>
  <c r="X303" i="2"/>
  <c r="X623" i="2"/>
  <c r="X529" i="2"/>
  <c r="X474" i="2"/>
  <c r="X297" i="2"/>
  <c r="X309" i="2"/>
  <c r="X429" i="2"/>
  <c r="X497" i="2"/>
  <c r="X411" i="2"/>
  <c r="X341" i="2"/>
  <c r="X199" i="2"/>
  <c r="X669" i="2"/>
  <c r="X410" i="2"/>
  <c r="X342" i="2"/>
  <c r="X626" i="2"/>
  <c r="X250" i="2"/>
  <c r="X398" i="2"/>
  <c r="X249" i="2"/>
  <c r="X627" i="2"/>
  <c r="X483" i="2"/>
  <c r="X217" i="2"/>
  <c r="X380" i="2"/>
  <c r="X576" i="2"/>
  <c r="X226" i="2"/>
  <c r="X503" i="2"/>
  <c r="X681" i="2"/>
  <c r="X186" i="2"/>
  <c r="X352" i="2"/>
  <c r="X377" i="2"/>
  <c r="X614" i="2"/>
  <c r="X535" i="2"/>
  <c r="X230" i="2"/>
  <c r="X239" i="2"/>
  <c r="X453" i="2"/>
  <c r="X584" i="2"/>
  <c r="X431" i="2"/>
  <c r="X649" i="2"/>
  <c r="X551" i="2"/>
  <c r="X554" i="2"/>
  <c r="X470" i="2"/>
  <c r="X270" i="2"/>
  <c r="X521" i="2"/>
  <c r="X583" i="2"/>
  <c r="X694" i="2"/>
  <c r="X555" i="2"/>
  <c r="X422" i="2"/>
  <c r="X537" i="2"/>
  <c r="X586" i="2"/>
  <c r="X369" i="2"/>
  <c r="X319" i="2"/>
  <c r="X544" i="2"/>
  <c r="X343" i="2"/>
  <c r="X392" i="2"/>
  <c r="X441" i="2"/>
  <c r="X184" i="2"/>
  <c r="X245" i="2"/>
  <c r="X557" i="2"/>
  <c r="X454" i="2"/>
  <c r="X390" i="2"/>
  <c r="X562" i="2"/>
  <c r="X687" i="2"/>
  <c r="X177" i="2"/>
  <c r="X430" i="2"/>
  <c r="X260" i="2"/>
  <c r="X639" i="2"/>
  <c r="X384" i="2"/>
  <c r="X528" i="2"/>
  <c r="X285" i="2"/>
  <c r="X406" i="2"/>
  <c r="X646" i="2"/>
  <c r="X205" i="2"/>
  <c r="X370" i="2"/>
  <c r="X206" i="2"/>
  <c r="X699" i="2"/>
  <c r="X451" i="2"/>
  <c r="X515" i="2"/>
  <c r="X408" i="2"/>
  <c r="X465" i="2"/>
  <c r="X378" i="2"/>
  <c r="X317" i="2"/>
  <c r="X456" i="2"/>
  <c r="X660" i="2"/>
  <c r="X322" i="2"/>
  <c r="X565" i="2"/>
  <c r="X679" i="2"/>
  <c r="X424" i="2"/>
  <c r="X458" i="2"/>
  <c r="X670" i="2"/>
  <c r="X404" i="2"/>
  <c r="X244" i="2"/>
  <c r="X534" i="2"/>
  <c r="X327" i="2"/>
  <c r="X450" i="2"/>
  <c r="X382" i="2"/>
  <c r="X690" i="2"/>
  <c r="X461" i="2"/>
  <c r="X329" i="2"/>
  <c r="X187" i="2"/>
  <c r="X702" i="2"/>
  <c r="X504" i="2"/>
  <c r="X176" i="2"/>
  <c r="X345" i="2"/>
  <c r="X402" i="2"/>
  <c r="X520" i="2"/>
  <c r="X246" i="2"/>
  <c r="X435" i="2"/>
  <c r="X688" i="2"/>
  <c r="X306" i="2"/>
  <c r="X624" i="2"/>
  <c r="X367" i="2"/>
  <c r="X236" i="2"/>
  <c r="X294" i="2"/>
  <c r="X659" i="2"/>
  <c r="X275" i="2"/>
  <c r="X636" i="2"/>
  <c r="X278" i="2"/>
  <c r="X218" i="2"/>
  <c r="X381" i="2"/>
  <c r="X284" i="2"/>
  <c r="X561" i="2"/>
  <c r="X680" i="2"/>
  <c r="X323" i="2"/>
  <c r="X672" i="2"/>
  <c r="X405" i="2"/>
  <c r="X682" i="2"/>
  <c r="X221" i="2"/>
  <c r="X484" i="2"/>
  <c r="X253" i="2"/>
  <c r="X302" i="2"/>
  <c r="X282" i="2"/>
  <c r="X588" i="2"/>
  <c r="X178" i="2"/>
  <c r="X358" i="2"/>
  <c r="X437" i="2"/>
  <c r="X464" i="2"/>
  <c r="X496" i="2"/>
  <c r="X224" i="2"/>
  <c r="X546" i="2"/>
  <c r="X596" i="2"/>
  <c r="X252" i="2"/>
  <c r="X272" i="2"/>
  <c r="X283" i="2"/>
  <c r="X357" i="2"/>
  <c r="X200" i="2"/>
  <c r="X198" i="2"/>
  <c r="X595" i="2"/>
  <c r="X462" i="2"/>
  <c r="X545" i="2"/>
  <c r="X216" i="2"/>
  <c r="X506" i="2"/>
  <c r="X510" i="2"/>
  <c r="X569" i="2"/>
  <c r="X700" i="2"/>
  <c r="X591" i="2"/>
  <c r="X240" i="2"/>
  <c r="X288" i="2"/>
  <c r="X500" i="2"/>
  <c r="X490" i="2"/>
  <c r="X657" i="2"/>
  <c r="X425" i="2"/>
  <c r="X611" i="2"/>
  <c r="X432" i="2"/>
  <c r="X255" i="2"/>
  <c r="X559" i="2"/>
  <c r="X254" i="2"/>
  <c r="X223" i="2"/>
  <c r="X258" i="2"/>
  <c r="X536" i="2"/>
  <c r="X222" i="2"/>
  <c r="X466" i="2"/>
  <c r="X563" i="2"/>
  <c r="X689" i="2"/>
  <c r="X268" i="2"/>
  <c r="X395" i="2"/>
  <c r="X195" i="2"/>
  <c r="X579" i="2"/>
  <c r="X355" i="2"/>
  <c r="X388" i="2"/>
  <c r="X331" i="2"/>
  <c r="X387" i="2"/>
  <c r="X185" i="2"/>
  <c r="X604" i="2"/>
  <c r="X197" i="2"/>
  <c r="X262" i="2"/>
  <c r="X248" i="2"/>
  <c r="X597" i="2"/>
  <c r="X374" i="2"/>
  <c r="X695" i="2"/>
  <c r="X516" i="2"/>
  <c r="X235" i="2"/>
  <c r="X364" i="2"/>
  <c r="X645" i="2"/>
  <c r="X191" i="2"/>
  <c r="X360" i="2"/>
  <c r="X376" i="2"/>
  <c r="X324" i="2"/>
  <c r="X609" i="2"/>
  <c r="X684" i="2"/>
  <c r="X668" i="2"/>
  <c r="X418" i="2"/>
  <c r="X281" i="2"/>
  <c r="X428" i="2"/>
  <c r="X257" i="2"/>
  <c r="X625" i="2"/>
  <c r="X613" i="2"/>
  <c r="X438" i="2"/>
  <c r="X263" i="2"/>
  <c r="X513" i="2"/>
  <c r="X259" i="2"/>
  <c r="X632" i="2"/>
  <c r="X407" i="2"/>
  <c r="X365" i="2"/>
  <c r="X210" i="2"/>
  <c r="X190" i="2"/>
  <c r="X202" i="2"/>
  <c r="X652" i="2"/>
  <c r="X426" i="2"/>
  <c r="X344" i="2"/>
  <c r="X379" i="2"/>
  <c r="X243" i="2"/>
  <c r="X389" i="2"/>
  <c r="X181" i="2"/>
  <c r="X434" i="2"/>
  <c r="X371" i="2"/>
  <c r="X336" i="2"/>
  <c r="X556" i="2"/>
  <c r="X286" i="2"/>
  <c r="X482" i="2"/>
  <c r="X362" i="2"/>
  <c r="X209" i="2"/>
  <c r="X473" i="2"/>
  <c r="X359" i="2"/>
  <c r="X673" i="2"/>
  <c r="X696" i="2"/>
  <c r="X316" i="2"/>
  <c r="X455" i="2"/>
  <c r="X348" i="2"/>
  <c r="X580" i="2"/>
  <c r="X622" i="2"/>
  <c r="X567" i="2"/>
  <c r="X512" i="2"/>
  <c r="X568" i="2"/>
  <c r="X383" i="2"/>
  <c r="X471" i="2"/>
  <c r="X598" i="2"/>
  <c r="X397" i="2"/>
  <c r="X671" i="2"/>
  <c r="X629" i="2"/>
  <c r="X340" i="2"/>
  <c r="X585" i="2"/>
  <c r="X488" i="2"/>
  <c r="X608" i="2"/>
  <c r="X301" i="2"/>
  <c r="X637" i="2"/>
  <c r="X628" i="2"/>
  <c r="X502" i="2"/>
  <c r="X274" i="2"/>
  <c r="X693" i="2"/>
  <c r="X271" i="2"/>
  <c r="X493" i="2"/>
  <c r="X467" i="2"/>
  <c r="X393" i="2"/>
  <c r="X421" i="2"/>
  <c r="X307" i="2"/>
  <c r="X400" i="2"/>
  <c r="X505" i="2"/>
  <c r="X279" i="2"/>
  <c r="X375" i="2"/>
  <c r="X686" i="2"/>
  <c r="X460" i="2"/>
  <c r="X412" i="2"/>
  <c r="X237" i="2"/>
  <c r="X347" i="2"/>
  <c r="X592" i="2"/>
  <c r="X542" i="2"/>
  <c r="X498" i="2"/>
  <c r="X273" i="2"/>
  <c r="X269" i="2"/>
  <c r="X353" i="2"/>
  <c r="X300" i="2"/>
  <c r="X666" i="2"/>
  <c r="X439" i="2"/>
  <c r="X213" i="2"/>
  <c r="X333" i="2"/>
  <c r="X509" i="2"/>
  <c r="X261" i="2"/>
  <c r="X552" i="2"/>
  <c r="X582" i="2"/>
  <c r="X334" i="2"/>
  <c r="X311" i="2"/>
  <c r="X440" i="2"/>
  <c r="X578" i="2"/>
  <c r="X413" i="2"/>
  <c r="X356" i="2"/>
  <c r="X193" i="2"/>
  <c r="X330" i="2"/>
  <c r="X211" i="2"/>
  <c r="X228" i="2"/>
  <c r="X366" i="2"/>
  <c r="X203" i="2"/>
  <c r="X247" i="2"/>
  <c r="X264" i="2"/>
  <c r="X350" i="2"/>
  <c r="X446" i="2"/>
  <c r="X577" i="2"/>
  <c r="X530" i="2"/>
  <c r="X492" i="2"/>
  <c r="X326" i="2"/>
  <c r="X612" i="2"/>
  <c r="X494" i="2"/>
  <c r="X654" i="2"/>
  <c r="X321" i="2"/>
  <c r="X495" i="2"/>
  <c r="X452" i="2"/>
  <c r="X296" i="2"/>
  <c r="X648" i="2"/>
  <c r="X299" i="2"/>
  <c r="X188" i="2"/>
  <c r="X433" i="2"/>
  <c r="X225" i="2"/>
  <c r="X448" i="2"/>
  <c r="X511" i="2"/>
  <c r="X606" i="2"/>
  <c r="X227" i="2"/>
  <c r="X295" i="2"/>
  <c r="X354" i="2"/>
  <c r="X665" i="2"/>
  <c r="X589" i="2"/>
  <c r="X179" i="2"/>
  <c r="X481" i="2"/>
  <c r="X634" i="2"/>
  <c r="X403" i="2"/>
  <c r="X531" i="2"/>
  <c r="X241" i="2"/>
  <c r="X280" i="2"/>
  <c r="X575" i="2"/>
  <c r="X192" i="2"/>
  <c r="R159" i="2"/>
  <c r="R83" i="2"/>
  <c r="P5" i="2"/>
  <c r="S83" i="2" l="1"/>
  <c r="T83" i="2" s="1"/>
  <c r="S159" i="2"/>
  <c r="T159" i="2" s="1"/>
  <c r="R170" i="2"/>
  <c r="R144" i="2"/>
  <c r="R168" i="2"/>
  <c r="R111" i="2"/>
  <c r="R119" i="2"/>
  <c r="R143" i="2"/>
  <c r="R97" i="2"/>
  <c r="R96" i="2"/>
  <c r="R105" i="2"/>
  <c r="R106" i="2"/>
  <c r="R117" i="2"/>
  <c r="R120" i="2"/>
  <c r="R125" i="2"/>
  <c r="R142" i="2"/>
  <c r="R163" i="2"/>
  <c r="R166" i="2"/>
  <c r="R121" i="2"/>
  <c r="R152" i="2"/>
  <c r="R175" i="2"/>
  <c r="R46" i="2"/>
  <c r="R69" i="2"/>
  <c r="R89" i="2"/>
  <c r="R134" i="2"/>
  <c r="R126" i="2"/>
  <c r="R70" i="2"/>
  <c r="R65" i="2"/>
  <c r="R135" i="2"/>
  <c r="R103" i="2"/>
  <c r="R150" i="2"/>
  <c r="R173" i="2"/>
  <c r="R149" i="2"/>
  <c r="R22" i="2"/>
  <c r="R90" i="2"/>
  <c r="R42" i="2"/>
  <c r="R172" i="2"/>
  <c r="R140" i="2"/>
  <c r="R122" i="2"/>
  <c r="R67" i="2"/>
  <c r="R118" i="2"/>
  <c r="R136" i="2"/>
  <c r="R93" i="2"/>
  <c r="R164" i="2"/>
  <c r="R165" i="2"/>
  <c r="R47" i="2"/>
  <c r="R18" i="2"/>
  <c r="R112" i="2"/>
  <c r="R145" i="2"/>
  <c r="R21" i="2"/>
  <c r="R50" i="2"/>
  <c r="R45" i="2"/>
  <c r="R31" i="2"/>
  <c r="R58" i="2"/>
  <c r="R72" i="2"/>
  <c r="R68" i="2"/>
  <c r="R12" i="2"/>
  <c r="R32" i="2"/>
  <c r="R59" i="2"/>
  <c r="R84" i="2"/>
  <c r="R8" i="2"/>
  <c r="R37" i="2"/>
  <c r="R55" i="2"/>
  <c r="R64" i="2"/>
  <c r="R76" i="2"/>
  <c r="R13" i="2"/>
  <c r="R60" i="2"/>
  <c r="R9" i="2"/>
  <c r="R23" i="2"/>
  <c r="R38" i="2"/>
  <c r="R81" i="2"/>
  <c r="R19" i="2"/>
  <c r="R5" i="2"/>
  <c r="R14" i="2"/>
  <c r="R33" i="2"/>
  <c r="R48" i="2"/>
  <c r="R61" i="2"/>
  <c r="R43" i="2"/>
  <c r="R10" i="2"/>
  <c r="R39" i="2"/>
  <c r="R56" i="2"/>
  <c r="R71" i="2"/>
  <c r="R20" i="2"/>
  <c r="R66" i="2"/>
  <c r="R15" i="2"/>
  <c r="R34" i="2"/>
  <c r="R49" i="2"/>
  <c r="R62" i="2"/>
  <c r="R74" i="2"/>
  <c r="R86" i="2"/>
  <c r="R91" i="2"/>
  <c r="R95" i="2"/>
  <c r="R109" i="2"/>
  <c r="R114" i="2"/>
  <c r="R162" i="2"/>
  <c r="R171" i="2"/>
  <c r="R44" i="2"/>
  <c r="R104" i="2"/>
  <c r="R123" i="2"/>
  <c r="R11" i="2"/>
  <c r="R30" i="2"/>
  <c r="R40" i="2"/>
  <c r="R57" i="2"/>
  <c r="R82" i="2"/>
  <c r="R141" i="2"/>
  <c r="R87" i="2"/>
  <c r="R92" i="2"/>
  <c r="R110" i="2"/>
  <c r="R115" i="2"/>
  <c r="R124" i="2"/>
  <c r="R132" i="2"/>
  <c r="R146" i="2"/>
  <c r="R167" i="2"/>
  <c r="R6" i="2"/>
  <c r="R16" i="2"/>
  <c r="R35" i="2"/>
  <c r="R63" i="2"/>
  <c r="R41" i="2"/>
  <c r="R137" i="2"/>
  <c r="R151" i="2"/>
  <c r="R7" i="2"/>
  <c r="R17" i="2"/>
  <c r="R36" i="2"/>
  <c r="R75" i="2"/>
  <c r="R88" i="2"/>
  <c r="R116" i="2"/>
  <c r="R133" i="2"/>
  <c r="R147" i="2"/>
  <c r="R102" i="2"/>
  <c r="R138" i="2"/>
  <c r="R148" i="2"/>
  <c r="R73" i="2"/>
  <c r="R94" i="2"/>
  <c r="R169" i="2"/>
  <c r="R174" i="2"/>
  <c r="R107" i="2"/>
  <c r="R160" i="2"/>
  <c r="R139" i="2"/>
  <c r="R85" i="2"/>
  <c r="R108" i="2"/>
  <c r="R113" i="2"/>
  <c r="R131" i="2"/>
  <c r="R161" i="2"/>
  <c r="W159" i="2" l="1"/>
  <c r="V159" i="2"/>
  <c r="U159" i="2"/>
  <c r="X159" i="2" s="1"/>
  <c r="V83" i="2"/>
  <c r="U83" i="2"/>
  <c r="W83" i="2"/>
  <c r="R839" i="2"/>
  <c r="S124" i="2"/>
  <c r="T124" i="2" s="1"/>
  <c r="S43" i="2"/>
  <c r="T43" i="2" s="1"/>
  <c r="S47" i="2"/>
  <c r="T47" i="2" s="1"/>
  <c r="S88" i="2"/>
  <c r="T88" i="2" s="1"/>
  <c r="S8" i="2"/>
  <c r="T8" i="2" s="1"/>
  <c r="S117" i="2"/>
  <c r="T117" i="2" s="1"/>
  <c r="S110" i="2"/>
  <c r="T110" i="2" s="1"/>
  <c r="S84" i="2"/>
  <c r="T84" i="2" s="1"/>
  <c r="S65" i="2"/>
  <c r="T65" i="2" s="1"/>
  <c r="S36" i="2"/>
  <c r="T36" i="2" s="1"/>
  <c r="S33" i="2"/>
  <c r="T33" i="2" s="1"/>
  <c r="S105" i="2"/>
  <c r="T105" i="2" s="1"/>
  <c r="S87" i="2"/>
  <c r="T87" i="2" s="1"/>
  <c r="S14" i="2"/>
  <c r="T14" i="2" s="1"/>
  <c r="S136" i="2"/>
  <c r="T136" i="2" s="1"/>
  <c r="S126" i="2"/>
  <c r="T126" i="2" s="1"/>
  <c r="S141" i="2"/>
  <c r="T141" i="2" s="1"/>
  <c r="S134" i="2"/>
  <c r="T134" i="2" s="1"/>
  <c r="S82" i="2"/>
  <c r="T82" i="2" s="1"/>
  <c r="S68" i="2"/>
  <c r="T68" i="2" s="1"/>
  <c r="S89" i="2"/>
  <c r="T89" i="2" s="1"/>
  <c r="S174" i="2"/>
  <c r="T174" i="2" s="1"/>
  <c r="S49" i="2"/>
  <c r="T49" i="2" s="1"/>
  <c r="S72" i="2"/>
  <c r="T72" i="2" s="1"/>
  <c r="S69" i="2"/>
  <c r="T69" i="2" s="1"/>
  <c r="S40" i="2"/>
  <c r="T40" i="2" s="1"/>
  <c r="S111" i="2"/>
  <c r="T111" i="2" s="1"/>
  <c r="S30" i="2"/>
  <c r="T30" i="2" s="1"/>
  <c r="S23" i="2"/>
  <c r="T23" i="2" s="1"/>
  <c r="S31" i="2"/>
  <c r="T31" i="2" s="1"/>
  <c r="S172" i="2"/>
  <c r="T172" i="2" s="1"/>
  <c r="S175" i="2"/>
  <c r="T175" i="2" s="1"/>
  <c r="S168" i="2"/>
  <c r="T168" i="2" s="1"/>
  <c r="S73" i="2"/>
  <c r="T73" i="2" s="1"/>
  <c r="S35" i="2"/>
  <c r="T35" i="2" s="1"/>
  <c r="S11" i="2"/>
  <c r="T11" i="2" s="1"/>
  <c r="S66" i="2"/>
  <c r="T66" i="2" s="1"/>
  <c r="S9" i="2"/>
  <c r="T9" i="2" s="1"/>
  <c r="S45" i="2"/>
  <c r="T45" i="2" s="1"/>
  <c r="S42" i="2"/>
  <c r="T42" i="2" s="1"/>
  <c r="S152" i="2"/>
  <c r="T152" i="2" s="1"/>
  <c r="S144" i="2"/>
  <c r="T144" i="2" s="1"/>
  <c r="S116" i="2"/>
  <c r="T116" i="2" s="1"/>
  <c r="S75" i="2"/>
  <c r="T75" i="2" s="1"/>
  <c r="S131" i="2"/>
  <c r="T131" i="2" s="1"/>
  <c r="S37" i="2"/>
  <c r="T37" i="2" s="1"/>
  <c r="S120" i="2"/>
  <c r="T120" i="2" s="1"/>
  <c r="S109" i="2"/>
  <c r="T109" i="2" s="1"/>
  <c r="S135" i="2"/>
  <c r="T135" i="2" s="1"/>
  <c r="S95" i="2"/>
  <c r="T95" i="2" s="1"/>
  <c r="S164" i="2"/>
  <c r="T164" i="2" s="1"/>
  <c r="S85" i="2"/>
  <c r="T85" i="2" s="1"/>
  <c r="S91" i="2"/>
  <c r="T91" i="2" s="1"/>
  <c r="S93" i="2"/>
  <c r="T93" i="2" s="1"/>
  <c r="S139" i="2"/>
  <c r="T139" i="2" s="1"/>
  <c r="S32" i="2"/>
  <c r="T32" i="2" s="1"/>
  <c r="S160" i="2"/>
  <c r="T160" i="2" s="1"/>
  <c r="S97" i="2"/>
  <c r="T97" i="2" s="1"/>
  <c r="S107" i="2"/>
  <c r="T107" i="2" s="1"/>
  <c r="S62" i="2"/>
  <c r="T62" i="2" s="1"/>
  <c r="S67" i="2"/>
  <c r="T67" i="2" s="1"/>
  <c r="S137" i="2"/>
  <c r="T137" i="2" s="1"/>
  <c r="S122" i="2"/>
  <c r="T122" i="2" s="1"/>
  <c r="S169" i="2"/>
  <c r="T169" i="2" s="1"/>
  <c r="S38" i="2"/>
  <c r="T38" i="2" s="1"/>
  <c r="S46" i="2"/>
  <c r="T46" i="2" s="1"/>
  <c r="S63" i="2"/>
  <c r="T63" i="2" s="1"/>
  <c r="S123" i="2"/>
  <c r="T123" i="2" s="1"/>
  <c r="S50" i="2"/>
  <c r="T50" i="2" s="1"/>
  <c r="S170" i="2"/>
  <c r="T170" i="2" s="1"/>
  <c r="S104" i="2"/>
  <c r="T104" i="2" s="1"/>
  <c r="S142" i="2"/>
  <c r="T142" i="2" s="1"/>
  <c r="S114" i="2"/>
  <c r="T114" i="2" s="1"/>
  <c r="S103" i="2"/>
  <c r="T103" i="2" s="1"/>
  <c r="S113" i="2"/>
  <c r="T113" i="2" s="1"/>
  <c r="S115" i="2"/>
  <c r="T115" i="2" s="1"/>
  <c r="S61" i="2"/>
  <c r="T61" i="2" s="1"/>
  <c r="S165" i="2"/>
  <c r="T165" i="2" s="1"/>
  <c r="S108" i="2"/>
  <c r="T108" i="2" s="1"/>
  <c r="S48" i="2"/>
  <c r="T48" i="2" s="1"/>
  <c r="S106" i="2"/>
  <c r="T106" i="2" s="1"/>
  <c r="S92" i="2"/>
  <c r="T92" i="2" s="1"/>
  <c r="S59" i="2"/>
  <c r="T59" i="2" s="1"/>
  <c r="S70" i="2"/>
  <c r="T70" i="2" s="1"/>
  <c r="S17" i="2"/>
  <c r="T17" i="2" s="1"/>
  <c r="S86" i="2"/>
  <c r="T86" i="2" s="1"/>
  <c r="S96" i="2"/>
  <c r="T96" i="2" s="1"/>
  <c r="S7" i="2"/>
  <c r="T7" i="2" s="1"/>
  <c r="S74" i="2"/>
  <c r="T74" i="2" s="1"/>
  <c r="S12" i="2"/>
  <c r="T12" i="2" s="1"/>
  <c r="S118" i="2"/>
  <c r="T118" i="2" s="1"/>
  <c r="S151" i="2"/>
  <c r="T151" i="2" s="1"/>
  <c r="S19" i="2"/>
  <c r="T19" i="2" s="1"/>
  <c r="S143" i="2"/>
  <c r="T143" i="2" s="1"/>
  <c r="S57" i="2"/>
  <c r="T57" i="2" s="1"/>
  <c r="S81" i="2"/>
  <c r="T81" i="2" s="1"/>
  <c r="S119" i="2"/>
  <c r="T119" i="2" s="1"/>
  <c r="S41" i="2"/>
  <c r="T41" i="2" s="1"/>
  <c r="S34" i="2"/>
  <c r="T34" i="2" s="1"/>
  <c r="S58" i="2"/>
  <c r="T58" i="2" s="1"/>
  <c r="S140" i="2"/>
  <c r="T140" i="2" s="1"/>
  <c r="S94" i="2"/>
  <c r="T94" i="2" s="1"/>
  <c r="S15" i="2"/>
  <c r="T15" i="2" s="1"/>
  <c r="S148" i="2"/>
  <c r="T148" i="2" s="1"/>
  <c r="S16" i="2"/>
  <c r="T16" i="2" s="1"/>
  <c r="S20" i="2"/>
  <c r="T20" i="2" s="1"/>
  <c r="S60" i="2"/>
  <c r="T60" i="2" s="1"/>
  <c r="S90" i="2"/>
  <c r="T90" i="2" s="1"/>
  <c r="S121" i="2"/>
  <c r="T121" i="2" s="1"/>
  <c r="S138" i="2"/>
  <c r="T138" i="2" s="1"/>
  <c r="S6" i="2"/>
  <c r="T6" i="2" s="1"/>
  <c r="S71" i="2"/>
  <c r="T71" i="2" s="1"/>
  <c r="S13" i="2"/>
  <c r="T13" i="2" s="1"/>
  <c r="S21" i="2"/>
  <c r="T21" i="2" s="1"/>
  <c r="S22" i="2"/>
  <c r="T22" i="2" s="1"/>
  <c r="S166" i="2"/>
  <c r="T166" i="2" s="1"/>
  <c r="S102" i="2"/>
  <c r="T102" i="2" s="1"/>
  <c r="S167" i="2"/>
  <c r="T167" i="2" s="1"/>
  <c r="S44" i="2"/>
  <c r="T44" i="2" s="1"/>
  <c r="S56" i="2"/>
  <c r="T56" i="2" s="1"/>
  <c r="S76" i="2"/>
  <c r="T76" i="2" s="1"/>
  <c r="S145" i="2"/>
  <c r="T145" i="2" s="1"/>
  <c r="S149" i="2"/>
  <c r="T149" i="2" s="1"/>
  <c r="S163" i="2"/>
  <c r="T163" i="2" s="1"/>
  <c r="S147" i="2"/>
  <c r="T147" i="2" s="1"/>
  <c r="S146" i="2"/>
  <c r="T146" i="2" s="1"/>
  <c r="S171" i="2"/>
  <c r="T171" i="2" s="1"/>
  <c r="S39" i="2"/>
  <c r="T39" i="2" s="1"/>
  <c r="S64" i="2"/>
  <c r="T64" i="2" s="1"/>
  <c r="S112" i="2"/>
  <c r="T112" i="2" s="1"/>
  <c r="S173" i="2"/>
  <c r="T173" i="2" s="1"/>
  <c r="S161" i="2"/>
  <c r="T161" i="2" s="1"/>
  <c r="S133" i="2"/>
  <c r="T133" i="2" s="1"/>
  <c r="S132" i="2"/>
  <c r="T132" i="2" s="1"/>
  <c r="S162" i="2"/>
  <c r="T162" i="2" s="1"/>
  <c r="S10" i="2"/>
  <c r="T10" i="2" s="1"/>
  <c r="S55" i="2"/>
  <c r="T55" i="2" s="1"/>
  <c r="S18" i="2"/>
  <c r="T18" i="2" s="1"/>
  <c r="S150" i="2"/>
  <c r="T150" i="2" s="1"/>
  <c r="S125" i="2"/>
  <c r="T125" i="2" s="1"/>
  <c r="S5" i="2"/>
  <c r="W10" i="2" l="1"/>
  <c r="V10" i="2"/>
  <c r="U10" i="2"/>
  <c r="W56" i="2"/>
  <c r="V56" i="2"/>
  <c r="U56" i="2"/>
  <c r="W7" i="2"/>
  <c r="V7" i="2"/>
  <c r="U7" i="2"/>
  <c r="W171" i="2"/>
  <c r="V171" i="2"/>
  <c r="U171" i="2"/>
  <c r="X171" i="2" s="1"/>
  <c r="W57" i="2"/>
  <c r="V57" i="2"/>
  <c r="U57" i="2"/>
  <c r="U108" i="2"/>
  <c r="W108" i="2"/>
  <c r="V108" i="2"/>
  <c r="W120" i="2"/>
  <c r="V120" i="2"/>
  <c r="U120" i="2"/>
  <c r="W172" i="2"/>
  <c r="V172" i="2"/>
  <c r="U172" i="2"/>
  <c r="W138" i="2"/>
  <c r="V138" i="2"/>
  <c r="U138" i="2"/>
  <c r="W143" i="2"/>
  <c r="V143" i="2"/>
  <c r="U143" i="2"/>
  <c r="W165" i="2"/>
  <c r="V165" i="2"/>
  <c r="X165" i="2" s="1"/>
  <c r="U165" i="2"/>
  <c r="W37" i="2"/>
  <c r="V37" i="2"/>
  <c r="U37" i="2"/>
  <c r="X37" i="2" s="1"/>
  <c r="W31" i="2"/>
  <c r="V31" i="2"/>
  <c r="U31" i="2"/>
  <c r="V147" i="2"/>
  <c r="U147" i="2"/>
  <c r="W147" i="2"/>
  <c r="V19" i="2"/>
  <c r="U19" i="2"/>
  <c r="W19" i="2"/>
  <c r="W61" i="2"/>
  <c r="V61" i="2"/>
  <c r="U61" i="2"/>
  <c r="V131" i="2"/>
  <c r="U131" i="2"/>
  <c r="W131" i="2"/>
  <c r="W23" i="2"/>
  <c r="V23" i="2"/>
  <c r="U23" i="2"/>
  <c r="W125" i="2"/>
  <c r="V125" i="2"/>
  <c r="U125" i="2"/>
  <c r="X125" i="2" s="1"/>
  <c r="V163" i="2"/>
  <c r="U163" i="2"/>
  <c r="W163" i="2"/>
  <c r="W151" i="2"/>
  <c r="V151" i="2"/>
  <c r="U151" i="2"/>
  <c r="V115" i="2"/>
  <c r="U115" i="2"/>
  <c r="W115" i="2"/>
  <c r="W75" i="2"/>
  <c r="V75" i="2"/>
  <c r="U75" i="2"/>
  <c r="U30" i="2"/>
  <c r="W30" i="2"/>
  <c r="V30" i="2"/>
  <c r="W150" i="2"/>
  <c r="V150" i="2"/>
  <c r="U150" i="2"/>
  <c r="W60" i="2"/>
  <c r="V60" i="2"/>
  <c r="U60" i="2"/>
  <c r="W18" i="2"/>
  <c r="V18" i="2"/>
  <c r="U18" i="2"/>
  <c r="W148" i="2"/>
  <c r="V148" i="2"/>
  <c r="U148" i="2"/>
  <c r="U142" i="2"/>
  <c r="W142" i="2"/>
  <c r="V142" i="2"/>
  <c r="U32" i="2"/>
  <c r="W32" i="2"/>
  <c r="V32" i="2"/>
  <c r="W42" i="2"/>
  <c r="V42" i="2"/>
  <c r="U42" i="2"/>
  <c r="W72" i="2"/>
  <c r="V72" i="2"/>
  <c r="U72" i="2"/>
  <c r="U84" i="2"/>
  <c r="W84" i="2"/>
  <c r="V84" i="2"/>
  <c r="X84" i="2" s="1"/>
  <c r="W162" i="2"/>
  <c r="V162" i="2"/>
  <c r="U162" i="2"/>
  <c r="W44" i="2"/>
  <c r="V44" i="2"/>
  <c r="U44" i="2"/>
  <c r="X44" i="2" s="1"/>
  <c r="W15" i="2"/>
  <c r="V15" i="2"/>
  <c r="U15" i="2"/>
  <c r="U96" i="2"/>
  <c r="W96" i="2"/>
  <c r="V96" i="2"/>
  <c r="W104" i="2"/>
  <c r="V104" i="2"/>
  <c r="U104" i="2"/>
  <c r="W139" i="2"/>
  <c r="V139" i="2"/>
  <c r="U139" i="2"/>
  <c r="W45" i="2"/>
  <c r="V45" i="2"/>
  <c r="U45" i="2"/>
  <c r="X45" i="2" s="1"/>
  <c r="W49" i="2"/>
  <c r="V49" i="2"/>
  <c r="U49" i="2"/>
  <c r="U110" i="2"/>
  <c r="W110" i="2"/>
  <c r="V110" i="2"/>
  <c r="W132" i="2"/>
  <c r="V132" i="2"/>
  <c r="U132" i="2"/>
  <c r="U167" i="2"/>
  <c r="W167" i="2"/>
  <c r="V167" i="2"/>
  <c r="U94" i="2"/>
  <c r="W94" i="2"/>
  <c r="V94" i="2"/>
  <c r="V86" i="2"/>
  <c r="U86" i="2"/>
  <c r="W86" i="2"/>
  <c r="X86" i="2" s="1"/>
  <c r="W170" i="2"/>
  <c r="V170" i="2"/>
  <c r="U170" i="2"/>
  <c r="W93" i="2"/>
  <c r="V93" i="2"/>
  <c r="U93" i="2"/>
  <c r="V9" i="2"/>
  <c r="U9" i="2"/>
  <c r="W9" i="2"/>
  <c r="U174" i="2"/>
  <c r="W174" i="2"/>
  <c r="V174" i="2"/>
  <c r="W117" i="2"/>
  <c r="V117" i="2"/>
  <c r="U117" i="2"/>
  <c r="W133" i="2"/>
  <c r="U133" i="2"/>
  <c r="V133" i="2"/>
  <c r="U102" i="2"/>
  <c r="W102" i="2"/>
  <c r="V102" i="2"/>
  <c r="W140" i="2"/>
  <c r="V140" i="2"/>
  <c r="U140" i="2"/>
  <c r="V17" i="2"/>
  <c r="U17" i="2"/>
  <c r="W17" i="2"/>
  <c r="W50" i="2"/>
  <c r="V50" i="2"/>
  <c r="U50" i="2"/>
  <c r="X50" i="2" s="1"/>
  <c r="W91" i="2"/>
  <c r="V91" i="2"/>
  <c r="U91" i="2"/>
  <c r="W66" i="2"/>
  <c r="V66" i="2"/>
  <c r="U66" i="2"/>
  <c r="W89" i="2"/>
  <c r="V89" i="2"/>
  <c r="X89" i="2" s="1"/>
  <c r="U89" i="2"/>
  <c r="W8" i="2"/>
  <c r="V8" i="2"/>
  <c r="U8" i="2"/>
  <c r="W161" i="2"/>
  <c r="V161" i="2"/>
  <c r="U161" i="2"/>
  <c r="W166" i="2"/>
  <c r="V166" i="2"/>
  <c r="U166" i="2"/>
  <c r="W58" i="2"/>
  <c r="U58" i="2"/>
  <c r="V58" i="2"/>
  <c r="X58" i="2" s="1"/>
  <c r="W70" i="2"/>
  <c r="V70" i="2"/>
  <c r="U70" i="2"/>
  <c r="W123" i="2"/>
  <c r="V123" i="2"/>
  <c r="U123" i="2"/>
  <c r="X123" i="2" s="1"/>
  <c r="U85" i="2"/>
  <c r="W85" i="2"/>
  <c r="V85" i="2"/>
  <c r="W11" i="2"/>
  <c r="V11" i="2"/>
  <c r="U11" i="2"/>
  <c r="W68" i="2"/>
  <c r="V68" i="2"/>
  <c r="U68" i="2"/>
  <c r="X68" i="2" s="1"/>
  <c r="W88" i="2"/>
  <c r="V88" i="2"/>
  <c r="U88" i="2"/>
  <c r="W173" i="2"/>
  <c r="X173" i="2" s="1"/>
  <c r="V173" i="2"/>
  <c r="U173" i="2"/>
  <c r="W22" i="2"/>
  <c r="V22" i="2"/>
  <c r="U22" i="2"/>
  <c r="W34" i="2"/>
  <c r="V34" i="2"/>
  <c r="U34" i="2"/>
  <c r="X34" i="2" s="1"/>
  <c r="V59" i="2"/>
  <c r="U59" i="2"/>
  <c r="W59" i="2"/>
  <c r="W63" i="2"/>
  <c r="V63" i="2"/>
  <c r="U63" i="2"/>
  <c r="W164" i="2"/>
  <c r="V164" i="2"/>
  <c r="U164" i="2"/>
  <c r="V35" i="2"/>
  <c r="U35" i="2"/>
  <c r="W35" i="2"/>
  <c r="W82" i="2"/>
  <c r="V82" i="2"/>
  <c r="U82" i="2"/>
  <c r="V47" i="2"/>
  <c r="U47" i="2"/>
  <c r="W47" i="2"/>
  <c r="W112" i="2"/>
  <c r="V112" i="2"/>
  <c r="U112" i="2"/>
  <c r="W21" i="2"/>
  <c r="V21" i="2"/>
  <c r="U21" i="2"/>
  <c r="X21" i="2" s="1"/>
  <c r="V41" i="2"/>
  <c r="U41" i="2"/>
  <c r="W41" i="2"/>
  <c r="U92" i="2"/>
  <c r="W92" i="2"/>
  <c r="V92" i="2"/>
  <c r="U46" i="2"/>
  <c r="W46" i="2"/>
  <c r="V46" i="2"/>
  <c r="W95" i="2"/>
  <c r="V95" i="2"/>
  <c r="U95" i="2"/>
  <c r="U73" i="2"/>
  <c r="W73" i="2"/>
  <c r="V73" i="2"/>
  <c r="W134" i="2"/>
  <c r="V134" i="2"/>
  <c r="U134" i="2"/>
  <c r="W43" i="2"/>
  <c r="V43" i="2"/>
  <c r="U43" i="2"/>
  <c r="W64" i="2"/>
  <c r="V64" i="2"/>
  <c r="U64" i="2"/>
  <c r="X64" i="2" s="1"/>
  <c r="W13" i="2"/>
  <c r="V13" i="2"/>
  <c r="U13" i="2"/>
  <c r="X13" i="2" s="1"/>
  <c r="W119" i="2"/>
  <c r="V119" i="2"/>
  <c r="U119" i="2"/>
  <c r="W106" i="2"/>
  <c r="V106" i="2"/>
  <c r="U106" i="2"/>
  <c r="W38" i="2"/>
  <c r="V38" i="2"/>
  <c r="U38" i="2"/>
  <c r="W135" i="2"/>
  <c r="V135" i="2"/>
  <c r="U135" i="2"/>
  <c r="W168" i="2"/>
  <c r="V168" i="2"/>
  <c r="U168" i="2"/>
  <c r="W141" i="2"/>
  <c r="V141" i="2"/>
  <c r="U141" i="2"/>
  <c r="X141" i="2" s="1"/>
  <c r="W124" i="2"/>
  <c r="V124" i="2"/>
  <c r="U124" i="2"/>
  <c r="U39" i="2"/>
  <c r="V39" i="2"/>
  <c r="W39" i="2"/>
  <c r="V71" i="2"/>
  <c r="U71" i="2"/>
  <c r="W71" i="2"/>
  <c r="W81" i="2"/>
  <c r="V81" i="2"/>
  <c r="U81" i="2"/>
  <c r="U48" i="2"/>
  <c r="W48" i="2"/>
  <c r="V48" i="2"/>
  <c r="X48" i="2" s="1"/>
  <c r="V169" i="2"/>
  <c r="U169" i="2"/>
  <c r="W169" i="2"/>
  <c r="W109" i="2"/>
  <c r="X109" i="2" s="1"/>
  <c r="V109" i="2"/>
  <c r="U109" i="2"/>
  <c r="V175" i="2"/>
  <c r="U175" i="2"/>
  <c r="W175" i="2"/>
  <c r="U126" i="2"/>
  <c r="W126" i="2"/>
  <c r="V126" i="2"/>
  <c r="W6" i="2"/>
  <c r="V6" i="2"/>
  <c r="U6" i="2"/>
  <c r="V122" i="2"/>
  <c r="U122" i="2"/>
  <c r="W122" i="2"/>
  <c r="W136" i="2"/>
  <c r="V136" i="2"/>
  <c r="U136" i="2"/>
  <c r="W146" i="2"/>
  <c r="V146" i="2"/>
  <c r="U146" i="2"/>
  <c r="U137" i="2"/>
  <c r="W137" i="2"/>
  <c r="V137" i="2"/>
  <c r="U14" i="2"/>
  <c r="W14" i="2"/>
  <c r="V14" i="2"/>
  <c r="W121" i="2"/>
  <c r="V121" i="2"/>
  <c r="U121" i="2"/>
  <c r="V67" i="2"/>
  <c r="U67" i="2"/>
  <c r="W67" i="2"/>
  <c r="V87" i="2"/>
  <c r="U87" i="2"/>
  <c r="W87" i="2"/>
  <c r="U90" i="2"/>
  <c r="W90" i="2"/>
  <c r="V90" i="2"/>
  <c r="U62" i="2"/>
  <c r="V62" i="2"/>
  <c r="W62" i="2"/>
  <c r="W105" i="2"/>
  <c r="V105" i="2"/>
  <c r="U105" i="2"/>
  <c r="X105" i="2" s="1"/>
  <c r="W149" i="2"/>
  <c r="V149" i="2"/>
  <c r="U149" i="2"/>
  <c r="W118" i="2"/>
  <c r="V118" i="2"/>
  <c r="U118" i="2"/>
  <c r="W113" i="2"/>
  <c r="V113" i="2"/>
  <c r="U113" i="2"/>
  <c r="W107" i="2"/>
  <c r="V107" i="2"/>
  <c r="U107" i="2"/>
  <c r="W116" i="2"/>
  <c r="V116" i="2"/>
  <c r="U116" i="2"/>
  <c r="X116" i="2" s="1"/>
  <c r="W111" i="2"/>
  <c r="V111" i="2"/>
  <c r="U111" i="2"/>
  <c r="U33" i="2"/>
  <c r="W33" i="2"/>
  <c r="V33" i="2"/>
  <c r="U145" i="2"/>
  <c r="W145" i="2"/>
  <c r="V145" i="2"/>
  <c r="U20" i="2"/>
  <c r="W20" i="2"/>
  <c r="V20" i="2"/>
  <c r="W12" i="2"/>
  <c r="V12" i="2"/>
  <c r="U12" i="2"/>
  <c r="X12" i="2" s="1"/>
  <c r="W103" i="2"/>
  <c r="V103" i="2"/>
  <c r="U103" i="2"/>
  <c r="W97" i="2"/>
  <c r="V97" i="2"/>
  <c r="U97" i="2"/>
  <c r="W144" i="2"/>
  <c r="V144" i="2"/>
  <c r="U144" i="2"/>
  <c r="W40" i="2"/>
  <c r="V40" i="2"/>
  <c r="U40" i="2"/>
  <c r="W36" i="2"/>
  <c r="V36" i="2"/>
  <c r="U36" i="2"/>
  <c r="W55" i="2"/>
  <c r="V55" i="2"/>
  <c r="U55" i="2"/>
  <c r="W76" i="2"/>
  <c r="V76" i="2"/>
  <c r="U76" i="2"/>
  <c r="W16" i="2"/>
  <c r="V16" i="2"/>
  <c r="U16" i="2"/>
  <c r="W74" i="2"/>
  <c r="V74" i="2"/>
  <c r="U74" i="2"/>
  <c r="X74" i="2" s="1"/>
  <c r="U114" i="2"/>
  <c r="W114" i="2"/>
  <c r="V114" i="2"/>
  <c r="W160" i="2"/>
  <c r="V160" i="2"/>
  <c r="U160" i="2"/>
  <c r="W152" i="2"/>
  <c r="V152" i="2"/>
  <c r="U152" i="2"/>
  <c r="V69" i="2"/>
  <c r="U69" i="2"/>
  <c r="W69" i="2"/>
  <c r="V65" i="2"/>
  <c r="U65" i="2"/>
  <c r="W65" i="2"/>
  <c r="X83" i="2"/>
  <c r="T5" i="2"/>
  <c r="S839" i="2"/>
  <c r="X20" i="2" l="1"/>
  <c r="X17" i="2"/>
  <c r="X135" i="2"/>
  <c r="X161" i="2"/>
  <c r="X142" i="2"/>
  <c r="X122" i="2"/>
  <c r="X32" i="2"/>
  <c r="X65" i="2"/>
  <c r="X10" i="2"/>
  <c r="X114" i="2"/>
  <c r="X73" i="2"/>
  <c r="X62" i="2"/>
  <c r="X33" i="2"/>
  <c r="X110" i="2"/>
  <c r="X96" i="2"/>
  <c r="X146" i="2"/>
  <c r="X169" i="2"/>
  <c r="X30" i="2"/>
  <c r="W5" i="2"/>
  <c r="W839" i="2" s="1"/>
  <c r="V5" i="2"/>
  <c r="V839" i="2" s="1"/>
  <c r="X91" i="2"/>
  <c r="X148" i="2"/>
  <c r="X103" i="2"/>
  <c r="X90" i="2"/>
  <c r="X151" i="2"/>
  <c r="X175" i="2"/>
  <c r="X166" i="2"/>
  <c r="X11" i="2"/>
  <c r="X18" i="2"/>
  <c r="X61" i="2"/>
  <c r="X93" i="2"/>
  <c r="X15" i="2"/>
  <c r="X7" i="2"/>
  <c r="X126" i="2"/>
  <c r="X38" i="2"/>
  <c r="X167" i="2"/>
  <c r="X49" i="2"/>
  <c r="X9" i="2"/>
  <c r="X42" i="2"/>
  <c r="X6" i="2"/>
  <c r="X137" i="2"/>
  <c r="X139" i="2"/>
  <c r="X40" i="2"/>
  <c r="X23" i="2"/>
  <c r="X113" i="2"/>
  <c r="X57" i="2"/>
  <c r="X168" i="2"/>
  <c r="X22" i="2"/>
  <c r="X170" i="2"/>
  <c r="X107" i="2"/>
  <c r="X104" i="2"/>
  <c r="X140" i="2"/>
  <c r="X143" i="2"/>
  <c r="X81" i="2"/>
  <c r="X134" i="2"/>
  <c r="X47" i="2"/>
  <c r="X144" i="2"/>
  <c r="X145" i="2"/>
  <c r="X67" i="2"/>
  <c r="X149" i="2"/>
  <c r="X131" i="2"/>
  <c r="X174" i="2"/>
  <c r="X85" i="2"/>
  <c r="X69" i="2"/>
  <c r="X138" i="2"/>
  <c r="X39" i="2"/>
  <c r="X35" i="2"/>
  <c r="X102" i="2"/>
  <c r="X19" i="2"/>
  <c r="X95" i="2"/>
  <c r="X120" i="2"/>
  <c r="X136" i="2"/>
  <c r="X76" i="2"/>
  <c r="X60" i="2"/>
  <c r="X121" i="2"/>
  <c r="X112" i="2"/>
  <c r="X164" i="2"/>
  <c r="X66" i="2"/>
  <c r="X147" i="2"/>
  <c r="X56" i="2"/>
  <c r="X106" i="2"/>
  <c r="X36" i="2"/>
  <c r="X163" i="2"/>
  <c r="X59" i="2"/>
  <c r="X124" i="2"/>
  <c r="X87" i="2"/>
  <c r="X43" i="2"/>
  <c r="X46" i="2"/>
  <c r="X162" i="2"/>
  <c r="X16" i="2"/>
  <c r="X118" i="2"/>
  <c r="X8" i="2"/>
  <c r="X75" i="2"/>
  <c r="X70" i="2"/>
  <c r="X88" i="2"/>
  <c r="X97" i="2"/>
  <c r="X115" i="2"/>
  <c r="X133" i="2"/>
  <c r="X152" i="2"/>
  <c r="X92" i="2"/>
  <c r="X55" i="2"/>
  <c r="X150" i="2"/>
  <c r="X108" i="2"/>
  <c r="X172" i="2"/>
  <c r="X82" i="2"/>
  <c r="X94" i="2"/>
  <c r="X71" i="2"/>
  <c r="X117" i="2"/>
  <c r="X132" i="2"/>
  <c r="X72" i="2"/>
  <c r="X160" i="2"/>
  <c r="X111" i="2"/>
  <c r="X31" i="2"/>
  <c r="X14" i="2"/>
  <c r="X119" i="2"/>
  <c r="X41" i="2"/>
  <c r="X63" i="2"/>
  <c r="U5" i="2"/>
  <c r="U839" i="2" s="1"/>
  <c r="T839" i="2"/>
  <c r="X5" i="2" l="1"/>
  <c r="X83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<sst xmlns="http://schemas.openxmlformats.org/spreadsheetml/2006/main" count="11977" uniqueCount="1697">
  <si>
    <t>Customer Name</t>
  </si>
  <si>
    <t>Recipe Name</t>
  </si>
  <si>
    <t>Item Code</t>
  </si>
  <si>
    <t>Item / Ingredient</t>
  </si>
  <si>
    <t>UOM</t>
  </si>
  <si>
    <t>No. of portions per batch</t>
  </si>
  <si>
    <t>Qty req per portion</t>
  </si>
  <si>
    <t>Food Cost per portion</t>
  </si>
  <si>
    <t>Remark</t>
  </si>
  <si>
    <t>Vegetable Oil (17 Liter)</t>
  </si>
  <si>
    <t>Fresh onion Yellow(Imported)</t>
  </si>
  <si>
    <t>Fresh Garlic Peeled</t>
  </si>
  <si>
    <t>Fresh Carrot Imported</t>
  </si>
  <si>
    <t>Fresh Celery Branch(Imported)</t>
  </si>
  <si>
    <t>Each</t>
  </si>
  <si>
    <t>Beef Stock Powder(Packet)</t>
  </si>
  <si>
    <t>Dried Oregano</t>
  </si>
  <si>
    <t>Spices Cinnamon Powder</t>
  </si>
  <si>
    <t>Spices Ginger Powder(1 Kg)</t>
  </si>
  <si>
    <t>Frz Beef Topside</t>
  </si>
  <si>
    <t xml:space="preserve">Fresh Tomato </t>
  </si>
  <si>
    <t>Butter 82% Fat(Unsalted) 25 kg</t>
  </si>
  <si>
    <t>Flour White</t>
  </si>
  <si>
    <t>Milk Powder</t>
  </si>
  <si>
    <t>Olive Oil (CAN)</t>
  </si>
  <si>
    <t>Spices Pepper Black Powder(1 Kg)</t>
  </si>
  <si>
    <t>Fresh Lemon</t>
  </si>
  <si>
    <t>Spices Coriander Powder</t>
  </si>
  <si>
    <t>Frz Okra Zero(400 Gram)</t>
  </si>
  <si>
    <t>Water</t>
  </si>
  <si>
    <t>ML</t>
  </si>
  <si>
    <t>Can Tomato Paste (4500 Gram)</t>
  </si>
  <si>
    <t>Maggi Chicken Cubes (24 each)</t>
  </si>
  <si>
    <t>Vegetable Stock Powder(Packet)</t>
  </si>
  <si>
    <t>Seven Spices Powder 200 gm</t>
  </si>
  <si>
    <t>Spice Pepper White Powder</t>
  </si>
  <si>
    <t>Chicken Stock Powder(Packet)</t>
  </si>
  <si>
    <t>Spice Curry Powder(Kg)</t>
  </si>
  <si>
    <t>Frz Boneless Chicken(Shawarma)</t>
  </si>
  <si>
    <t>Corn Oil (18 Liter)</t>
  </si>
  <si>
    <t>Fresh Potato</t>
  </si>
  <si>
    <t>Spice Paprika Sweet (KG)</t>
  </si>
  <si>
    <t>Cooking Cream 1 Ltr</t>
  </si>
  <si>
    <t>Pasta Elbows Small #19</t>
  </si>
  <si>
    <t>Cheese Mozzarella Grated (KG)</t>
  </si>
  <si>
    <t>Can Chopped Tomato</t>
  </si>
  <si>
    <t>Ketchup Gallon (5 Kg)</t>
  </si>
  <si>
    <t>Spice Turmeric Powder (1 Kg)</t>
  </si>
  <si>
    <t>Spice Kasuri Mathi (Mahran)</t>
  </si>
  <si>
    <t>Sugar Fine(50 KG)</t>
  </si>
  <si>
    <t>Spice tandoori Masala (Mahran)</t>
  </si>
  <si>
    <t>Fresh Sweet Pepper Green</t>
  </si>
  <si>
    <t xml:space="preserve">Fresh Coriander </t>
  </si>
  <si>
    <t>Apple Vinegar</t>
  </si>
  <si>
    <t>Syrup Molasses(700 ML)</t>
  </si>
  <si>
    <t>Dry Thyme 500gm</t>
  </si>
  <si>
    <t>Sauce Demi Glace(1.2Kg)</t>
  </si>
  <si>
    <t>Vinegar Balsamic</t>
  </si>
  <si>
    <t>Frz Green Peas(800 Gram)</t>
  </si>
  <si>
    <t>Rice Egypt</t>
  </si>
  <si>
    <t>Spices Cumin Powder</t>
  </si>
  <si>
    <t>Frz Chicken Breast Tender (KG)</t>
  </si>
  <si>
    <t>Rice Basmati</t>
  </si>
  <si>
    <t>Food Color Yellow(Saffron)</t>
  </si>
  <si>
    <t>Frz Meat Ball</t>
  </si>
  <si>
    <t>Cheese Parmesan Grated</t>
  </si>
  <si>
    <t>📘 Master Recipes – Academia School</t>
  </si>
  <si>
    <t>Main Recipe ID</t>
  </si>
  <si>
    <t>Brand Code</t>
  </si>
  <si>
    <t>Category</t>
  </si>
  <si>
    <t>Standard No. of
Portions</t>
  </si>
  <si>
    <t>Weight per
Portion (g)</t>
  </si>
  <si>
    <t>Size of
Portion</t>
  </si>
  <si>
    <t>Has Sub
Recipe?</t>
  </si>
  <si>
    <t>Sub Recipe
ID</t>
  </si>
  <si>
    <t>Sub Recipe
Name</t>
  </si>
  <si>
    <t>Sub Recipe No. of
Portions</t>
  </si>
  <si>
    <t>Total Ingredient 
Count</t>
  </si>
  <si>
    <t>Total Batch
Wt (g) *</t>
  </si>
  <si>
    <t>Recipe Standard Yield %</t>
  </si>
  <si>
    <t>Targeted Wastage %</t>
  </si>
  <si>
    <t>Food Cost  Per Portion</t>
  </si>
  <si>
    <t>Packaging Cost</t>
  </si>
  <si>
    <t>Labor Cost</t>
  </si>
  <si>
    <t>Delivery Cost</t>
  </si>
  <si>
    <t>Overheads</t>
  </si>
  <si>
    <t>Other Costs</t>
  </si>
  <si>
    <t>Total Cost</t>
  </si>
  <si>
    <t>Margin %age</t>
  </si>
  <si>
    <t>Profit</t>
  </si>
  <si>
    <t>Sale Price</t>
  </si>
  <si>
    <t xml:space="preserve">Master Raw Material </t>
  </si>
  <si>
    <t>Items Description</t>
  </si>
  <si>
    <t>Code</t>
  </si>
  <si>
    <t>NameEN</t>
  </si>
  <si>
    <t xml:space="preserve">Unit </t>
  </si>
  <si>
    <t>Price</t>
  </si>
  <si>
    <t>Main category</t>
  </si>
  <si>
    <t>Sub category</t>
  </si>
  <si>
    <t>Bran Bread Brown (Diet)</t>
  </si>
  <si>
    <t>BKR1-1917</t>
  </si>
  <si>
    <t xml:space="preserve">Fresh </t>
  </si>
  <si>
    <t>Bakery</t>
  </si>
  <si>
    <t>Bread Arabic Brown (6 each) 400211</t>
  </si>
  <si>
    <t>BKR1-3695</t>
  </si>
  <si>
    <t>Bread Arabic White(7 Each) 400210</t>
  </si>
  <si>
    <t>BKR1-3694</t>
  </si>
  <si>
    <t>Bread Burger Bun Brown(Each)</t>
  </si>
  <si>
    <t>BKR1-3791</t>
  </si>
  <si>
    <t>Bread Crumb IMP(Packet)</t>
  </si>
  <si>
    <t>BKR1-4011</t>
  </si>
  <si>
    <t xml:space="preserve">Gram </t>
  </si>
  <si>
    <t>Bread Jumbo Sandwich White 400007</t>
  </si>
  <si>
    <t>BKR1-1328</t>
  </si>
  <si>
    <t>Bread Potato Burger Plain</t>
  </si>
  <si>
    <t>BKR1-4332</t>
  </si>
  <si>
    <t>Bread Shawarma</t>
  </si>
  <si>
    <t>BKR1-1575</t>
  </si>
  <si>
    <t>Bread Sliced Brown Med-400001</t>
  </si>
  <si>
    <t>BKR1-1327</t>
  </si>
  <si>
    <t>Slice</t>
  </si>
  <si>
    <t>Bread Sliced White Med-400000</t>
  </si>
  <si>
    <t>BKR1-1326</t>
  </si>
  <si>
    <t>Fresh Bread Baguette Long Brown</t>
  </si>
  <si>
    <t>BKR1-3428</t>
  </si>
  <si>
    <t>Frz Kunafa Dough</t>
  </si>
  <si>
    <t>BKR1-1910</t>
  </si>
  <si>
    <t>Frozen</t>
  </si>
  <si>
    <t>Milk Bread Mini 9Pcs</t>
  </si>
  <si>
    <t>BKR1-2125</t>
  </si>
  <si>
    <t>Qursan</t>
  </si>
  <si>
    <t>BKR1-4717</t>
  </si>
  <si>
    <t>Tart Shell Round Mini 3.7 Cm,Sweet</t>
  </si>
  <si>
    <t>BKR1-4132</t>
  </si>
  <si>
    <t>Bread Tortilla White,20cm(Fonte)</t>
  </si>
  <si>
    <t>BKR2-4274</t>
  </si>
  <si>
    <t>Bread Tortilla White,30cm(Fonte)</t>
  </si>
  <si>
    <t>BKR2-4275</t>
  </si>
  <si>
    <t>Frz Bread Baguette French (40080009)</t>
  </si>
  <si>
    <t>BKR2-2058</t>
  </si>
  <si>
    <t>Frz Bread Baguette Multicereal (40080109)</t>
  </si>
  <si>
    <t>BKR2-2059</t>
  </si>
  <si>
    <t>Frz Bread Jumbo Sandwich 400017</t>
  </si>
  <si>
    <t>BKR2-5081</t>
  </si>
  <si>
    <t>Frz Bread Panini (90 Gram)</t>
  </si>
  <si>
    <t>BKR2-4596</t>
  </si>
  <si>
    <t>Frz Bread Tortilla,Keto,8 Inch</t>
  </si>
  <si>
    <t>BKR2-4961</t>
  </si>
  <si>
    <t>Frz Sambusak Leaves (1 kg)</t>
  </si>
  <si>
    <t>BKR2-5137</t>
  </si>
  <si>
    <t>Frz Spring Roll Dough(160 Gram)</t>
  </si>
  <si>
    <t>BKR2-1104</t>
  </si>
  <si>
    <t>Frz.Puff Pastry Sheets(400Gram)</t>
  </si>
  <si>
    <t>BKR2-3658</t>
  </si>
  <si>
    <t>Jam Apricot Portion(100 Each)</t>
  </si>
  <si>
    <t>DRS1-5003</t>
  </si>
  <si>
    <t xml:space="preserve">Dry </t>
  </si>
  <si>
    <t>Canned Item</t>
  </si>
  <si>
    <t>Ajinomoto (MSG) 454 gm</t>
  </si>
  <si>
    <t>DRS1-5155</t>
  </si>
  <si>
    <t>DRS1-4227</t>
  </si>
  <si>
    <t>Ml</t>
  </si>
  <si>
    <t>DRS1-3813</t>
  </si>
  <si>
    <t>Biscuit Digestive (150 Gram)</t>
  </si>
  <si>
    <t>DRS1-3696</t>
  </si>
  <si>
    <t>Butter Peanuts(794 Gram)</t>
  </si>
  <si>
    <t>DRS1-4103</t>
  </si>
  <si>
    <t>Can Apple Pie Filling</t>
  </si>
  <si>
    <t>DRS1-3948</t>
  </si>
  <si>
    <t>Can Artichoke Bottoms</t>
  </si>
  <si>
    <t>DRS1-4234</t>
  </si>
  <si>
    <t>Can Baked Beans(420 Gram)</t>
  </si>
  <si>
    <t>DRS1-4772</t>
  </si>
  <si>
    <t>Can Beans Red Kidney (425 Gram)</t>
  </si>
  <si>
    <t>DRS1-1359</t>
  </si>
  <si>
    <t>Can Beetroot Sliced</t>
  </si>
  <si>
    <t>DRS1-3595</t>
  </si>
  <si>
    <t>DRS1-4840</t>
  </si>
  <si>
    <t>Can Condensed Milk</t>
  </si>
  <si>
    <t>DRS1-3865</t>
  </si>
  <si>
    <t>Can Foul Medammes</t>
  </si>
  <si>
    <t>DRS1-444</t>
  </si>
  <si>
    <t>Can Ghee(1600 Gram)</t>
  </si>
  <si>
    <t>DRS1-4765</t>
  </si>
  <si>
    <t>Can Grape Leaves(Stuffed)</t>
  </si>
  <si>
    <t>DRS1-3680</t>
  </si>
  <si>
    <t>Can Mushroom Sliced (2840 Gram)</t>
  </si>
  <si>
    <t>DRS1-455</t>
  </si>
  <si>
    <t>Can Mushroom Whole (2840 Gram)</t>
  </si>
  <si>
    <t>DRS1-456</t>
  </si>
  <si>
    <t>Can Oats(500 Gram)</t>
  </si>
  <si>
    <t>DRS1-824</t>
  </si>
  <si>
    <t>Can Olives Black Sliced</t>
  </si>
  <si>
    <t>DRS1-1768</t>
  </si>
  <si>
    <t>Can Olives Green Sliced</t>
  </si>
  <si>
    <t>DRS1-1140</t>
  </si>
  <si>
    <t>Can Olives Green Whole Pitted</t>
  </si>
  <si>
    <t>DRS1-4815</t>
  </si>
  <si>
    <t>Can Red Kidney Beans (2500 GM)</t>
  </si>
  <si>
    <t>DRS1-1461</t>
  </si>
  <si>
    <t>Can sweet corn (2950gram)</t>
  </si>
  <si>
    <t>DRS1-1463</t>
  </si>
  <si>
    <t>Can Syrup Fruit Cocktail Light(2500 Gram)</t>
  </si>
  <si>
    <t>DRS1-928</t>
  </si>
  <si>
    <t>Can Tomato Coulis</t>
  </si>
  <si>
    <t>DRS1-3358</t>
  </si>
  <si>
    <t>DRS1-1747</t>
  </si>
  <si>
    <t>Can Tomato Peeled</t>
  </si>
  <si>
    <t>DRS1-607</t>
  </si>
  <si>
    <t>Can White Kidney Beans(400 gram)</t>
  </si>
  <si>
    <t>DRS1-3886</t>
  </si>
  <si>
    <t>Can Young Baby Corn</t>
  </si>
  <si>
    <t>DRS1-2121</t>
  </si>
  <si>
    <t>DRS1-3811</t>
  </si>
  <si>
    <t>Cucumber Pickles (3.2 Kg)</t>
  </si>
  <si>
    <t>DRS1-167</t>
  </si>
  <si>
    <t>Date Portion (Ramadan)</t>
  </si>
  <si>
    <t>DRS1-4979</t>
  </si>
  <si>
    <t>Flower Water(Blossom)</t>
  </si>
  <si>
    <t>DRS1-41</t>
  </si>
  <si>
    <t>DRS1-304</t>
  </si>
  <si>
    <t>Ghee Vegetable(15 KG)</t>
  </si>
  <si>
    <t>DRS1-1599</t>
  </si>
  <si>
    <t>Ginger Pickles(Bottle)</t>
  </si>
  <si>
    <t>DRS1-4213</t>
  </si>
  <si>
    <t>Grape Leaves / Vine Leaves</t>
  </si>
  <si>
    <t>DRS1-96</t>
  </si>
  <si>
    <t>Grape Leaves,Stuffed(1950 Gram)</t>
  </si>
  <si>
    <t>DRS1-3911</t>
  </si>
  <si>
    <t>Green Curry Paste 400 gm</t>
  </si>
  <si>
    <t>DRS1-5164</t>
  </si>
  <si>
    <t>Green Pepper,Vinegar(Bottle)</t>
  </si>
  <si>
    <t>DRS1-4111</t>
  </si>
  <si>
    <t>Hazel Nut Paste</t>
  </si>
  <si>
    <t>DRS-977</t>
  </si>
  <si>
    <t>Honey Jar (3 KG)</t>
  </si>
  <si>
    <t>DRS1-1780</t>
  </si>
  <si>
    <t>Honey Portion</t>
  </si>
  <si>
    <t>DRS1-688</t>
  </si>
  <si>
    <t>Jam Apricot Portion</t>
  </si>
  <si>
    <t>DRS1-1186</t>
  </si>
  <si>
    <t>Jam Strawberry Portion(100 Each)</t>
  </si>
  <si>
    <t>DRS1-4990</t>
  </si>
  <si>
    <t>Jalapeno Pepper 2.8 kg</t>
  </si>
  <si>
    <t>DRS1-4463</t>
  </si>
  <si>
    <t>Lupin Beans in Brine 600 gm</t>
  </si>
  <si>
    <t>DRS1-5395</t>
  </si>
  <si>
    <t>DRS1-1805</t>
  </si>
  <si>
    <t>Maple Syrup Amber 375 ml</t>
  </si>
  <si>
    <t>DRS1-5269</t>
  </si>
  <si>
    <t>Mayonnaise Sachet</t>
  </si>
  <si>
    <t>DRS1-1224</t>
  </si>
  <si>
    <t>Mustard Yellow Cream (JAR)</t>
  </si>
  <si>
    <t>DRS1-1549</t>
  </si>
  <si>
    <t>Nacho Cheese Sauce</t>
  </si>
  <si>
    <t>DRS1-4754</t>
  </si>
  <si>
    <t>Oats White Whole(900 Gram)</t>
  </si>
  <si>
    <t>DRS1-4809</t>
  </si>
  <si>
    <t>Pancake Syrup Regular (Freshly)</t>
  </si>
  <si>
    <t>DRS1-1914</t>
  </si>
  <si>
    <t>Pepper Paste (4 KG)</t>
  </si>
  <si>
    <t>DRS1-1787</t>
  </si>
  <si>
    <t>Pesto Basil Sauce 4 kg</t>
  </si>
  <si>
    <t>DRS1-5043</t>
  </si>
  <si>
    <t>Pineapple Sliced (3050Gram)</t>
  </si>
  <si>
    <t>DRS1-927</t>
  </si>
  <si>
    <t>Pistachio Filling(5 Kg)</t>
  </si>
  <si>
    <t>DRS1-4460</t>
  </si>
  <si>
    <t>Potato Chips , Forno 43 gm</t>
  </si>
  <si>
    <t>DRS1-5103</t>
  </si>
  <si>
    <t>Ranch Dressing</t>
  </si>
  <si>
    <t>DRS1-4435</t>
  </si>
  <si>
    <t>Salt sachet (1000)</t>
  </si>
  <si>
    <t>DRS1-1507</t>
  </si>
  <si>
    <t>Sauce Barbecue</t>
  </si>
  <si>
    <t>DRS1-446</t>
  </si>
  <si>
    <t>DRS1-3357</t>
  </si>
  <si>
    <t>Sauce Hot Buffalo,Chicken wings(354Ml)</t>
  </si>
  <si>
    <t>DRS1-4933</t>
  </si>
  <si>
    <t>Sea Salt(737 Gram)</t>
  </si>
  <si>
    <t>DRS1-114</t>
  </si>
  <si>
    <t>Sushi Roasted Laver Sheets(NORI)</t>
  </si>
  <si>
    <t>DRS1-4220</t>
  </si>
  <si>
    <t>Tom Yum Paste</t>
  </si>
  <si>
    <t>DRS1-472</t>
  </si>
  <si>
    <t>Tuna Flakes In Oil</t>
  </si>
  <si>
    <t>DRS1-4781</t>
  </si>
  <si>
    <t>DRS1-4417</t>
  </si>
  <si>
    <t>Rice Cakes (Packet)</t>
  </si>
  <si>
    <t>DRS4-3275</t>
  </si>
  <si>
    <t>Cheddar Cheese Sauce 3kg</t>
  </si>
  <si>
    <t>DRS1-5266</t>
  </si>
  <si>
    <t>Dairy</t>
  </si>
  <si>
    <t>Cheese</t>
  </si>
  <si>
    <t>Cheese Cheddar Block,Yellow(KG)</t>
  </si>
  <si>
    <t>DRY1-3385</t>
  </si>
  <si>
    <t xml:space="preserve">Cheese </t>
  </si>
  <si>
    <t>Cheese Cheddar Sliced Low Fat (200 Gram)</t>
  </si>
  <si>
    <t>DRY1-4303</t>
  </si>
  <si>
    <t>Cheese Cheddar Sliced Red(KG)</t>
  </si>
  <si>
    <t>DRY1-3344</t>
  </si>
  <si>
    <t>Cheese Cream (1100 Gram)</t>
  </si>
  <si>
    <t>DRY1-3874</t>
  </si>
  <si>
    <t>Cheese Cream Philadelphia (1360 GR)</t>
  </si>
  <si>
    <t>DRY1-1717</t>
  </si>
  <si>
    <t>Cheese Mozzarella  Blocks</t>
  </si>
  <si>
    <t>DRY1-965</t>
  </si>
  <si>
    <t>DRY1-1801</t>
  </si>
  <si>
    <t>Cheese Mozzarella Mini</t>
  </si>
  <si>
    <t>DRY1-1701</t>
  </si>
  <si>
    <t>DRY1-602</t>
  </si>
  <si>
    <t>Cheese Parmesan Padano1 KG (permegano)</t>
  </si>
  <si>
    <t>DRY1-342</t>
  </si>
  <si>
    <t>Cheese Triangles,Al Marai,360 Gm</t>
  </si>
  <si>
    <t>DRY1-5114</t>
  </si>
  <si>
    <t>Frz Paneer (Cottage Cheese) 500 gm</t>
  </si>
  <si>
    <t>DRY1-5345</t>
  </si>
  <si>
    <t>Goat Cheese (KG)</t>
  </si>
  <si>
    <t>DRY1-1794</t>
  </si>
  <si>
    <t>Breakfast Cream Firm,Ashta,5Kg</t>
  </si>
  <si>
    <t>DRY2-1907</t>
  </si>
  <si>
    <t>Coffee Mate Creamer,Single Serve</t>
  </si>
  <si>
    <t>DRS1-3155</t>
  </si>
  <si>
    <t>Coffe &amp; Tea</t>
  </si>
  <si>
    <t>Coffee Powder Regular ,Mastercafe</t>
  </si>
  <si>
    <t>DRS1-5431</t>
  </si>
  <si>
    <t>Delicate Pouch Alegria Nestle</t>
  </si>
  <si>
    <t>DRS1-5126</t>
  </si>
  <si>
    <t>Karak Tea,Cardamom Premix Nestle</t>
  </si>
  <si>
    <t>DRS1-4831</t>
  </si>
  <si>
    <t>Nescafe Classic (3 in 1)</t>
  </si>
  <si>
    <t>DRS1-3713</t>
  </si>
  <si>
    <t>Nescafe Red Mug Stick</t>
  </si>
  <si>
    <t>DRS1-3153</t>
  </si>
  <si>
    <t>Nescafe Regular in Bottle</t>
  </si>
  <si>
    <t>DRS1-1159</t>
  </si>
  <si>
    <t>Nespresso Capsules,Professional,Flavors</t>
  </si>
  <si>
    <t>DRS1-5303</t>
  </si>
  <si>
    <t>Tea Anise Herbal 2G</t>
  </si>
  <si>
    <t>DRS1-5169</t>
  </si>
  <si>
    <t>Tea Lipton Bag</t>
  </si>
  <si>
    <t>DRS1-1042</t>
  </si>
  <si>
    <t>Tea Lipton Cammomile</t>
  </si>
  <si>
    <t>DRS1-5226</t>
  </si>
  <si>
    <t>Tea Lipton Earlgrey</t>
  </si>
  <si>
    <t>DRS1-5228</t>
  </si>
  <si>
    <t>Tea Lipton English Breakfast</t>
  </si>
  <si>
    <t>DRS1-5321</t>
  </si>
  <si>
    <t>Tea Lipton Green &amp; Intense Mint</t>
  </si>
  <si>
    <t>DRS1-5322</t>
  </si>
  <si>
    <t>Cappuccino Caramel Powder,Nestle</t>
  </si>
  <si>
    <t>DRS5-4830</t>
  </si>
  <si>
    <t>Cocoa Powder, Nestle Alegria</t>
  </si>
  <si>
    <t>DRS5-4825</t>
  </si>
  <si>
    <t>Fresh Turkish coffee Powder</t>
  </si>
  <si>
    <t>DRS5-4401</t>
  </si>
  <si>
    <t>Milk Powder,Nestle</t>
  </si>
  <si>
    <t>DRS5-4824</t>
  </si>
  <si>
    <t>American Coffee Powder (Filter Coffee)</t>
  </si>
  <si>
    <t>DRS7-3863</t>
  </si>
  <si>
    <t>Arabic Coffee Instant Sachet</t>
  </si>
  <si>
    <t>DRS7-5300</t>
  </si>
  <si>
    <t>Coffee Beans,Espresso,1 Kg(Nestle)</t>
  </si>
  <si>
    <t>DRS7-4832</t>
  </si>
  <si>
    <t xml:space="preserve"> </t>
  </si>
  <si>
    <t>Butter ,Vegetable Blend 25 kg</t>
  </si>
  <si>
    <t>DRY2-5369</t>
  </si>
  <si>
    <t>DRY2-1008</t>
  </si>
  <si>
    <t>Butter Margarine Vegetable for Pastry</t>
  </si>
  <si>
    <t>DRY2-149</t>
  </si>
  <si>
    <t>Butter portion(almarai 400 each)</t>
  </si>
  <si>
    <t>DRY2-1508</t>
  </si>
  <si>
    <t>Butter Portion(Unsalted) Lurpak</t>
  </si>
  <si>
    <t>DRY2-1510</t>
  </si>
  <si>
    <t>DRY2-1858</t>
  </si>
  <si>
    <t>Dairy Whipping Cream 38% (Millac Blue)</t>
  </si>
  <si>
    <t>DRY2-4896</t>
  </si>
  <si>
    <t>Ice Cream Strawberry Cup</t>
  </si>
  <si>
    <t>DRY2-1235</t>
  </si>
  <si>
    <t>Ice Cream Vanilla Cup</t>
  </si>
  <si>
    <t>DRY2-1233</t>
  </si>
  <si>
    <t>Jameed Liquid</t>
  </si>
  <si>
    <t>DRY2-4199</t>
  </si>
  <si>
    <t>Labneh Full Fat(2750 Gram)</t>
  </si>
  <si>
    <t>DRY2-3401</t>
  </si>
  <si>
    <t>Milk Portion Evaporated(15 Gram)</t>
  </si>
  <si>
    <t>DRY2-4304</t>
  </si>
  <si>
    <t>Milk UHT Chocolate Flavoured, 180 ml</t>
  </si>
  <si>
    <t>DRY2-5247</t>
  </si>
  <si>
    <t>Milk UHT Full Fat(1 Liter)</t>
  </si>
  <si>
    <t>DRY2-1388</t>
  </si>
  <si>
    <t>Milk UHT Strawberry Flavoured, 180 ml</t>
  </si>
  <si>
    <t>DRY2-5248</t>
  </si>
  <si>
    <t>Yogurt Plain big 10 KG</t>
  </si>
  <si>
    <t>DRY2-1160</t>
  </si>
  <si>
    <t>Zabadi FF 170GR (Almarai)</t>
  </si>
  <si>
    <t>DRY2-589</t>
  </si>
  <si>
    <t>Semolina Fine</t>
  </si>
  <si>
    <t>DRS4-820</t>
  </si>
  <si>
    <t>Flours &amp; Powders</t>
  </si>
  <si>
    <t>Semolina Large</t>
  </si>
  <si>
    <t>DRS4-1782</t>
  </si>
  <si>
    <t>Chick Peas Powder(Kg)</t>
  </si>
  <si>
    <t>DRS5-4222</t>
  </si>
  <si>
    <t>Coconut Milk Powder (1 KG)</t>
  </si>
  <si>
    <t>DRS5-2176</t>
  </si>
  <si>
    <t>Coconut Powder (7 Kg)  </t>
  </si>
  <si>
    <t>DRS5-3619</t>
  </si>
  <si>
    <t>Flour Brown</t>
  </si>
  <si>
    <t>DRS5-806</t>
  </si>
  <si>
    <t>Flour Cake Special (all purpose)</t>
  </si>
  <si>
    <t>DRS5-980</t>
  </si>
  <si>
    <t>Flour Corn</t>
  </si>
  <si>
    <t>DRS5-21</t>
  </si>
  <si>
    <t>DRS5-40</t>
  </si>
  <si>
    <t>Icing Sugar Powder(20 Kg)</t>
  </si>
  <si>
    <t>DRS5-979</t>
  </si>
  <si>
    <t>Mashed Potato Flakes</t>
  </si>
  <si>
    <t>DRS5-3866</t>
  </si>
  <si>
    <t>DRS5-59</t>
  </si>
  <si>
    <t>Rice powder (500 Gram)</t>
  </si>
  <si>
    <t>DRS5-2618</t>
  </si>
  <si>
    <t>Tempura Flour (Batter Mix)</t>
  </si>
  <si>
    <t>DRS5-5262</t>
  </si>
  <si>
    <t>Fresh Juice Assorted Flavours (1 Liter)</t>
  </si>
  <si>
    <t>BVG2-2174</t>
  </si>
  <si>
    <t>Beverage</t>
  </si>
  <si>
    <t>Juice</t>
  </si>
  <si>
    <t>Juice Apple 185 ML (al rabie)</t>
  </si>
  <si>
    <t>BVG2-4822</t>
  </si>
  <si>
    <t>Juice Apple,180 ML(KDD)</t>
  </si>
  <si>
    <t>BVG2-3437</t>
  </si>
  <si>
    <t>Juice Cocktail 185 ML (al rabie)</t>
  </si>
  <si>
    <t>BVG2-4852</t>
  </si>
  <si>
    <t>Juice Cocktail,180 ML(KDD)</t>
  </si>
  <si>
    <t>BVG2-3467</t>
  </si>
  <si>
    <t>Juice Mango 185 ML (al rabie)</t>
  </si>
  <si>
    <t>BVG2-4839</t>
  </si>
  <si>
    <t>Juice Mango,180 ML(KDD)</t>
  </si>
  <si>
    <t>BVG2-3685</t>
  </si>
  <si>
    <t>Juice Orange,180 ML(KDD)</t>
  </si>
  <si>
    <t>BVG2-3438</t>
  </si>
  <si>
    <t>Juice Pineapple 185 ML (al rabie)</t>
  </si>
  <si>
    <t>BVG2-4828</t>
  </si>
  <si>
    <t>Juice Pineapple,180 ML(KDD)</t>
  </si>
  <si>
    <t>BVG2-3581</t>
  </si>
  <si>
    <t>Juice,Flavors,300 ML</t>
  </si>
  <si>
    <t>BVG2-4611</t>
  </si>
  <si>
    <t>Juice,Mixed Flavors,200 ML</t>
  </si>
  <si>
    <t>BVG2-1409</t>
  </si>
  <si>
    <t>Glass Water 250 Ml (Nova)</t>
  </si>
  <si>
    <t>BVG3-3724</t>
  </si>
  <si>
    <t>Chick Peas Split (15 KG)</t>
  </si>
  <si>
    <t>DRS4-1272</t>
  </si>
  <si>
    <t>Lentils</t>
  </si>
  <si>
    <t>Dry Beans White Small</t>
  </si>
  <si>
    <t>DRS4-1025</t>
  </si>
  <si>
    <t>Dry Chick Peas NO.12</t>
  </si>
  <si>
    <t>DRS4-483</t>
  </si>
  <si>
    <t>Dry Mung Whole Beans (Green)</t>
  </si>
  <si>
    <t>DRS4-1788</t>
  </si>
  <si>
    <t>Dry Red Kidney Beans</t>
  </si>
  <si>
    <t>DRS4-5111</t>
  </si>
  <si>
    <t>Lentil Brown</t>
  </si>
  <si>
    <t>DRS4-490</t>
  </si>
  <si>
    <t>Lentil Peeled (Red)</t>
  </si>
  <si>
    <t>DRS4-50</t>
  </si>
  <si>
    <t>Almond Powder(KG)</t>
  </si>
  <si>
    <t>DRS7-969</t>
  </si>
  <si>
    <t xml:space="preserve">Nuts </t>
  </si>
  <si>
    <t>Almond Sliced Flakes</t>
  </si>
  <si>
    <t>DRS7-971</t>
  </si>
  <si>
    <t>Almond Strips</t>
  </si>
  <si>
    <t>DRS7-3787</t>
  </si>
  <si>
    <t>Almond Whole(KG)</t>
  </si>
  <si>
    <t>DRS7-970</t>
  </si>
  <si>
    <t>Cashew Nuts</t>
  </si>
  <si>
    <t>DRS7-926</t>
  </si>
  <si>
    <t>Hazelnut</t>
  </si>
  <si>
    <t>DRS7-815</t>
  </si>
  <si>
    <t>Pecan Nuts</t>
  </si>
  <si>
    <t>DRS7-3371</t>
  </si>
  <si>
    <t>Pine Nut's</t>
  </si>
  <si>
    <t>DRS7-1000</t>
  </si>
  <si>
    <t>Pistachio Nuts</t>
  </si>
  <si>
    <t>DRS7-560</t>
  </si>
  <si>
    <t>Pistachio Strips/Silvered (kg)</t>
  </si>
  <si>
    <t>DRS7-4356</t>
  </si>
  <si>
    <t>Raw Peanuts (KG)</t>
  </si>
  <si>
    <t>DRS7-3343</t>
  </si>
  <si>
    <t>Walnuts</t>
  </si>
  <si>
    <t>DRS7-569</t>
  </si>
  <si>
    <t>DRS3-1813</t>
  </si>
  <si>
    <t>Oils</t>
  </si>
  <si>
    <t>DRS3-1615</t>
  </si>
  <si>
    <t>Sesame Oil(320 ML)</t>
  </si>
  <si>
    <t>DRS3-1415</t>
  </si>
  <si>
    <t>Sunflower oil 18 Ltr</t>
  </si>
  <si>
    <t>DRS3-5364</t>
  </si>
  <si>
    <t>Truffle Oil White in Bottle</t>
  </si>
  <si>
    <t>DRS3-4207</t>
  </si>
  <si>
    <t>DRS3-71</t>
  </si>
  <si>
    <t>Chinese Noodle(Pancit Canton)</t>
  </si>
  <si>
    <t>DRS2-508</t>
  </si>
  <si>
    <t xml:space="preserve">Pasta </t>
  </si>
  <si>
    <t>Frz Pasta Ravioli Cheese</t>
  </si>
  <si>
    <t>DRS2-1637</t>
  </si>
  <si>
    <t>Pasta Cannelloni</t>
  </si>
  <si>
    <t>DRS2-1866</t>
  </si>
  <si>
    <t>Pasta Ditalini Rigate(1 KG)</t>
  </si>
  <si>
    <t>DRS2-4516</t>
  </si>
  <si>
    <t>DRS2-3804</t>
  </si>
  <si>
    <t>Pasta Farfalle,N:50(500 Gram)</t>
  </si>
  <si>
    <t>DRS2-77</t>
  </si>
  <si>
    <t>Pasta Fettuccine (500 Gram)</t>
  </si>
  <si>
    <t>DRS2-2110</t>
  </si>
  <si>
    <t>Pasta Fusilli N:36</t>
  </si>
  <si>
    <t>DRS2-502</t>
  </si>
  <si>
    <t>Pasta Lasagna (500 Gram)</t>
  </si>
  <si>
    <t>DRS2-1367</t>
  </si>
  <si>
    <t>Pasta Lasagna Spinach(500 Gram)</t>
  </si>
  <si>
    <t>DRS2-4416</t>
  </si>
  <si>
    <t>Pasta Linguine</t>
  </si>
  <si>
    <t>DRS2-4956</t>
  </si>
  <si>
    <t>Pasta Orzo #17 (500 Gram)</t>
  </si>
  <si>
    <t>DRS2-3825</t>
  </si>
  <si>
    <t>Pasta Penne Rigate (1 Kg)</t>
  </si>
  <si>
    <t>DRS2-4321</t>
  </si>
  <si>
    <t>Pasta Shell #18</t>
  </si>
  <si>
    <t>DRS2-3284</t>
  </si>
  <si>
    <t>Pasta Spaghetti Regular N:20</t>
  </si>
  <si>
    <t>DRS2-81</t>
  </si>
  <si>
    <t>Pasta Spaghettini N:21</t>
  </si>
  <si>
    <t>DRS2-3622</t>
  </si>
  <si>
    <t>Pasta Vermicelli-Cuts,N:61</t>
  </si>
  <si>
    <t>DRS2-3628</t>
  </si>
  <si>
    <t>Rice Sticks</t>
  </si>
  <si>
    <t>DRS4-1476</t>
  </si>
  <si>
    <t>Chocolate Dark Compound Backaldarin</t>
  </si>
  <si>
    <t>DRS1-1427</t>
  </si>
  <si>
    <t>Pastry &amp; Bakery</t>
  </si>
  <si>
    <t>Chocolate Milk Compound Backaldarin</t>
  </si>
  <si>
    <t>DRS1-1580</t>
  </si>
  <si>
    <t>Chocolate White Cold 29% Herco/Dolicy</t>
  </si>
  <si>
    <t>DRS1-1657</t>
  </si>
  <si>
    <t>Chocolate White Compound Backaldarin</t>
  </si>
  <si>
    <t>DRS1-3958</t>
  </si>
  <si>
    <t>Dark Chocolate Coins 55%</t>
  </si>
  <si>
    <t>DRS1-4621</t>
  </si>
  <si>
    <t>Dark Chocolate coins,52% Icam</t>
  </si>
  <si>
    <t>DRS1-4309</t>
  </si>
  <si>
    <t>Dark Chocolate Sticks (Croissant),1Kg</t>
  </si>
  <si>
    <t>DRS1-4395</t>
  </si>
  <si>
    <t>Dry Yeast(500 Gram)</t>
  </si>
  <si>
    <t>DRS1-90</t>
  </si>
  <si>
    <t>feuilletine Flakes</t>
  </si>
  <si>
    <t>DRS1-4768</t>
  </si>
  <si>
    <t>Glaze Neutral jelly Hot (7 KG)</t>
  </si>
  <si>
    <t>DRS1-1396</t>
  </si>
  <si>
    <t>Liquid Food Color,Green,For Cake        </t>
  </si>
  <si>
    <t>DRS1-3353</t>
  </si>
  <si>
    <t>Liquid Food Color,Orange,For Cake</t>
  </si>
  <si>
    <t>DRS1-4624</t>
  </si>
  <si>
    <t>Liquid Food Color,Red,For Cake</t>
  </si>
  <si>
    <t>DRS1-3352</t>
  </si>
  <si>
    <t>Liquid Food Color,Yellow,For Cake</t>
  </si>
  <si>
    <t>DRS1-4623</t>
  </si>
  <si>
    <t>Lotus Biscuit Crumble(10 Kg)</t>
  </si>
  <si>
    <t>DRS1-4060</t>
  </si>
  <si>
    <t>Lotus Paste (8 Kg)</t>
  </si>
  <si>
    <t>DRS1-4055</t>
  </si>
  <si>
    <t>Milk Chocolate Coins,33% Icam</t>
  </si>
  <si>
    <t>DRS1-4934</t>
  </si>
  <si>
    <t>Milk Chocolate Drops(Kg)</t>
  </si>
  <si>
    <t>DRS1-4403</t>
  </si>
  <si>
    <t>Nutella(750 Gram)</t>
  </si>
  <si>
    <t>DRS1-3648</t>
  </si>
  <si>
    <t>Raha Sweet</t>
  </si>
  <si>
    <t>DRS1-1912</t>
  </si>
  <si>
    <t>Raspberry Filling In Pail</t>
  </si>
  <si>
    <t>DRS1-3607</t>
  </si>
  <si>
    <t>Strawberry Gel (Cold)</t>
  </si>
  <si>
    <t>DRS1-3636</t>
  </si>
  <si>
    <t>Strawberry Pie Filling(Pail 6kg)</t>
  </si>
  <si>
    <t>DRS1-1468</t>
  </si>
  <si>
    <t>Syrup Chocolate (Hershey's) 680 Gram</t>
  </si>
  <si>
    <t>DRS1-616</t>
  </si>
  <si>
    <t>Tea Biscuits(160 Gram)</t>
  </si>
  <si>
    <t>DRS1-3600</t>
  </si>
  <si>
    <t>Toffee Caramel,Gold(5 Kg)  </t>
  </si>
  <si>
    <t>DRS1-3634</t>
  </si>
  <si>
    <t>Vanilla Essence (Concentrated)</t>
  </si>
  <si>
    <t>DRS1-1823</t>
  </si>
  <si>
    <t>White Chocolate Coins 29% (Icam)</t>
  </si>
  <si>
    <t>DRS1-4358</t>
  </si>
  <si>
    <t>Xanthan Gum</t>
  </si>
  <si>
    <t>DRS1-5140</t>
  </si>
  <si>
    <t>Bread Improver K2</t>
  </si>
  <si>
    <t>DRS5-1325</t>
  </si>
  <si>
    <t>Brownies Mix Powder(10 kg)</t>
  </si>
  <si>
    <t>DRS5-5001</t>
  </si>
  <si>
    <t>Cake Mix Powder,Red Velvet (10 kg)</t>
  </si>
  <si>
    <t>DRS5-5476</t>
  </si>
  <si>
    <t>Cocoa Powder (25 KG)</t>
  </si>
  <si>
    <t>DRS5-1736</t>
  </si>
  <si>
    <t>Cream Caramel Mix Powder 5 kg</t>
  </si>
  <si>
    <t>DRS5-5427</t>
  </si>
  <si>
    <t>Cream patissiere Custard Powder</t>
  </si>
  <si>
    <t>DRS5-4244</t>
  </si>
  <si>
    <t>Custard powder(450 Gram)</t>
  </si>
  <si>
    <t>DRS5-618</t>
  </si>
  <si>
    <t>Easy Muffin Mix Chocolate (10 KG)</t>
  </si>
  <si>
    <t>DRS5-1624</t>
  </si>
  <si>
    <t>Flour Mix,Bakery,Gluten Free(1020 Gram)</t>
  </si>
  <si>
    <t>DRS5-3901</t>
  </si>
  <si>
    <t>Jelly Powder,Strawberry,3Kg</t>
  </si>
  <si>
    <t>DRS5-981</t>
  </si>
  <si>
    <t>Ready Mixed Cake Chocolate(25 Kg)</t>
  </si>
  <si>
    <t>DRS5-3576</t>
  </si>
  <si>
    <t>Ready Mixed Cake Vanilla(25 Kg)  </t>
  </si>
  <si>
    <t>DRS5-3575</t>
  </si>
  <si>
    <t>Burgul Brown (Fine)</t>
  </si>
  <si>
    <t>DRS4-1</t>
  </si>
  <si>
    <t>Rice &amp; Grains</t>
  </si>
  <si>
    <t>Burgul Brown (Large)</t>
  </si>
  <si>
    <t>DRS4-3299</t>
  </si>
  <si>
    <t>Burgul Brown Large (KG)</t>
  </si>
  <si>
    <t>DRS4-4519</t>
  </si>
  <si>
    <t>Burgul White (Fine)</t>
  </si>
  <si>
    <t>DRS4-3</t>
  </si>
  <si>
    <t>Burgul White Large</t>
  </si>
  <si>
    <t>DRS4-4473</t>
  </si>
  <si>
    <t>Dry Freekeh (1 KG)</t>
  </si>
  <si>
    <t>DRS4-1668</t>
  </si>
  <si>
    <t>Jarish Seeds</t>
  </si>
  <si>
    <t>DRS4-1654</t>
  </si>
  <si>
    <t>Rice American 10 kg(Meera)</t>
  </si>
  <si>
    <t>DRS4-3662</t>
  </si>
  <si>
    <t>DRS4-498</t>
  </si>
  <si>
    <t>DRS4-1457</t>
  </si>
  <si>
    <t>Rice Jasmine(5 Kg)</t>
  </si>
  <si>
    <t>DRS4-3663</t>
  </si>
  <si>
    <t>Rice,Brown Basmati</t>
  </si>
  <si>
    <t>DRS4-5194</t>
  </si>
  <si>
    <t>Pop Corn Raw(Kg)</t>
  </si>
  <si>
    <t>DRS4-1911</t>
  </si>
  <si>
    <t>Seeds</t>
  </si>
  <si>
    <t>Quinoa Black seeds (1 Kg)</t>
  </si>
  <si>
    <t>DRS4-4394</t>
  </si>
  <si>
    <t>Quinoa Red Seeds (1 KG)</t>
  </si>
  <si>
    <t>DRS4-3157</t>
  </si>
  <si>
    <t>Quinoa White Seeds (1 KG)</t>
  </si>
  <si>
    <t>DRS4-3332</t>
  </si>
  <si>
    <t>Chia seeds (Kg)</t>
  </si>
  <si>
    <t>DRS6-3986</t>
  </si>
  <si>
    <t>Spices Sunflower Seeds</t>
  </si>
  <si>
    <t>DRS6-3287</t>
  </si>
  <si>
    <t>Black Seed</t>
  </si>
  <si>
    <t>DRS7-1283</t>
  </si>
  <si>
    <t>Mustard Seeds</t>
  </si>
  <si>
    <t>DRS7-3802</t>
  </si>
  <si>
    <t>Pumpkin Seeds Peeled</t>
  </si>
  <si>
    <t>DRS7-3884</t>
  </si>
  <si>
    <t>Sesame Seeds ,kg</t>
  </si>
  <si>
    <t>DRS-305</t>
  </si>
  <si>
    <t>Wasabi Powder</t>
  </si>
  <si>
    <t>DRS5-4212</t>
  </si>
  <si>
    <t>Spices</t>
  </si>
  <si>
    <t>Spice Cajun (2 Kg)</t>
  </si>
  <si>
    <t>DRS6-5088</t>
  </si>
  <si>
    <t>Bicarbonate(bi-carbonate powder)</t>
  </si>
  <si>
    <t>DRS6-255</t>
  </si>
  <si>
    <t>Chili Red Powder  </t>
  </si>
  <si>
    <t>DRS6-3844</t>
  </si>
  <si>
    <t>DRS6-1570</t>
  </si>
  <si>
    <t>Dry Parsley Flakes 453 gm</t>
  </si>
  <si>
    <t>DRS6-5265</t>
  </si>
  <si>
    <t>DRS6-5376</t>
  </si>
  <si>
    <t>Green Zaatar</t>
  </si>
  <si>
    <t>DRS6-1269</t>
  </si>
  <si>
    <t>Pepper Black Sachet(1000)</t>
  </si>
  <si>
    <t>DRS6-1016</t>
  </si>
  <si>
    <t>DRS6-5418</t>
  </si>
  <si>
    <t>Spice Biryani Masala (Mahran)</t>
  </si>
  <si>
    <t>DRS6-3850</t>
  </si>
  <si>
    <t>Spice Carawya Powder</t>
  </si>
  <si>
    <t>DRS6-1035</t>
  </si>
  <si>
    <t>DRS6-3608</t>
  </si>
  <si>
    <t>Spice Garam Masala(KG)</t>
  </si>
  <si>
    <t>DRS6-4418</t>
  </si>
  <si>
    <t>Spice Garlic Powder(Kg)</t>
  </si>
  <si>
    <t>DRS6-4482</t>
  </si>
  <si>
    <t>Spice hibiscus Leaves(??????)</t>
  </si>
  <si>
    <t>DRS6-4769</t>
  </si>
  <si>
    <t>Spice Kabsa Mix</t>
  </si>
  <si>
    <t>DRS6-1650</t>
  </si>
  <si>
    <t>Spice Kashmiri Chilli(KG)</t>
  </si>
  <si>
    <t>DRS6-4420</t>
  </si>
  <si>
    <t>DRS6-3848</t>
  </si>
  <si>
    <t>Spice Lemon Pepper Seasoning 2.27 kg</t>
  </si>
  <si>
    <t>DRS6-5264</t>
  </si>
  <si>
    <t>Spice Meat Shawarma</t>
  </si>
  <si>
    <t>DRS6-1557</t>
  </si>
  <si>
    <t>DRS6-1727</t>
  </si>
  <si>
    <t>DRS6-309</t>
  </si>
  <si>
    <t>Spice Red Pepper Crushed,Flakes(500 gm)</t>
  </si>
  <si>
    <t>DRS6-5338</t>
  </si>
  <si>
    <t>Spice Sausage,Sujuk(???)</t>
  </si>
  <si>
    <t>DRS6-4770</t>
  </si>
  <si>
    <t>Spice Smoked Sweet Paprika (Kg)</t>
  </si>
  <si>
    <t>DRS6-5039</t>
  </si>
  <si>
    <t>DRS6-3854</t>
  </si>
  <si>
    <t>DRS6-1674</t>
  </si>
  <si>
    <t>Spices Anise Seeds</t>
  </si>
  <si>
    <t>DRS6-3538</t>
  </si>
  <si>
    <t>Spices Cardamon Powder</t>
  </si>
  <si>
    <t>DRS6-258</t>
  </si>
  <si>
    <t>Spices Cardamon Seeds</t>
  </si>
  <si>
    <t>DRS6-539</t>
  </si>
  <si>
    <t>DRS6-260</t>
  </si>
  <si>
    <t>Spices Cloves Seeds</t>
  </si>
  <si>
    <t>DRS6-1020</t>
  </si>
  <si>
    <t>DRS6-266</t>
  </si>
  <si>
    <t>Spices Coriander Seeds</t>
  </si>
  <si>
    <t>DRS6-267</t>
  </si>
  <si>
    <t>DRS6-733</t>
  </si>
  <si>
    <t>Spices Cumin Seeds</t>
  </si>
  <si>
    <t>DRS6-269</t>
  </si>
  <si>
    <t>Spices Flax Seeds</t>
  </si>
  <si>
    <t>DRS6-3288</t>
  </si>
  <si>
    <t>DRS6-549</t>
  </si>
  <si>
    <t>DRS6-537</t>
  </si>
  <si>
    <t>Spices Sumac</t>
  </si>
  <si>
    <t>DRS6-307</t>
  </si>
  <si>
    <t>Spices Sweet Pepper Powder(1 KG)</t>
  </si>
  <si>
    <t>DRS6-298</t>
  </si>
  <si>
    <t>Zaatar Mix(green)</t>
  </si>
  <si>
    <t>DRS6-311</t>
  </si>
  <si>
    <t>Lemon Salt (Kg)</t>
  </si>
  <si>
    <t>DRS1-978</t>
  </si>
  <si>
    <t>Sugar</t>
  </si>
  <si>
    <t>Sugar In The Raw (Turbinado)</t>
  </si>
  <si>
    <t>DRS1-1471</t>
  </si>
  <si>
    <t>Sugar Sachet White(1000)</t>
  </si>
  <si>
    <t>DRS1-687</t>
  </si>
  <si>
    <t>Sugar Sachet With Logo</t>
  </si>
  <si>
    <t>DRS1-1556</t>
  </si>
  <si>
    <t>Sugar Sachet,Low Calorie(Tropicana Slim)</t>
  </si>
  <si>
    <t>DRS1-686</t>
  </si>
  <si>
    <t>Sugar Sweetener Powder(Steviana)</t>
  </si>
  <si>
    <t>DRS1-4257</t>
  </si>
  <si>
    <t>Dressing,1000 Island</t>
  </si>
  <si>
    <t>DRS1-4469</t>
  </si>
  <si>
    <t>Vinegar &amp; Sauces</t>
  </si>
  <si>
    <t>DRS1-1039</t>
  </si>
  <si>
    <t>ketchup Sachet</t>
  </si>
  <si>
    <t>DRS1-685</t>
  </si>
  <si>
    <t>Mayonnaise Regular</t>
  </si>
  <si>
    <t>DRS1-58</t>
  </si>
  <si>
    <t>Rice Vinegar 500 ml Mizkan</t>
  </si>
  <si>
    <t>DRS1-5258</t>
  </si>
  <si>
    <t>Rose Water</t>
  </si>
  <si>
    <t>DRS1-115</t>
  </si>
  <si>
    <t>Sauce Hot Small(88 ML)</t>
  </si>
  <si>
    <t>DRS1-1256</t>
  </si>
  <si>
    <t>Sauce Hot(474 ML)</t>
  </si>
  <si>
    <t>DRS1-873</t>
  </si>
  <si>
    <t>Sauce Oyster</t>
  </si>
  <si>
    <t>DRS1-110</t>
  </si>
  <si>
    <t>Sauce Sweet Chili (Pinoy)</t>
  </si>
  <si>
    <t>DRS1-1753</t>
  </si>
  <si>
    <t>Sauce Teriyaki</t>
  </si>
  <si>
    <t>DRS1-1790</t>
  </si>
  <si>
    <t>Sauce Worcester L&amp;P 3.78 Ltr</t>
  </si>
  <si>
    <t>DRS1-5273</t>
  </si>
  <si>
    <t>Soya Sauce Kikkoman(Liter)</t>
  </si>
  <si>
    <t>DRS1-1142</t>
  </si>
  <si>
    <t>Soya Sauce Sweet (630Ml)</t>
  </si>
  <si>
    <t>DRS1-3667</t>
  </si>
  <si>
    <t>Soya Sauce,Sempio (930 Mliter)</t>
  </si>
  <si>
    <t>DRS1-3912</t>
  </si>
  <si>
    <t>Steak Sauce 295 ml</t>
  </si>
  <si>
    <t>DRS1-5477</t>
  </si>
  <si>
    <t>DRS1-1551</t>
  </si>
  <si>
    <t>Tahina Liquid(10Kg)</t>
  </si>
  <si>
    <t>DRS1-103</t>
  </si>
  <si>
    <t>Tamarind Pulp(400 Gram)</t>
  </si>
  <si>
    <t>DRS1-4268</t>
  </si>
  <si>
    <t>Truffle Sauce 500 gm</t>
  </si>
  <si>
    <t>DRS1-5208</t>
  </si>
  <si>
    <t>DRS1-95</t>
  </si>
  <si>
    <t>Vinegar White (30 Ltr Gallon)</t>
  </si>
  <si>
    <t>DRS1-5153</t>
  </si>
  <si>
    <t>Vinegar White (Gallon)</t>
  </si>
  <si>
    <t>DRS1-1547</t>
  </si>
  <si>
    <t>Can Kinza Cola 320 ml</t>
  </si>
  <si>
    <t>BVG1-5281</t>
  </si>
  <si>
    <t>Soda &amp; Soft drinks</t>
  </si>
  <si>
    <t>Can Kinza Cola Diet 320 ml</t>
  </si>
  <si>
    <t>BVG1-5282</t>
  </si>
  <si>
    <t>Can Kinza Lemon 320 ml</t>
  </si>
  <si>
    <t>BVG1-5280</t>
  </si>
  <si>
    <t>Can Kinza Lemon Zero 320 ml</t>
  </si>
  <si>
    <t>BVG1-5283</t>
  </si>
  <si>
    <t>Drink 7-Up</t>
  </si>
  <si>
    <t>BVG1-781</t>
  </si>
  <si>
    <t>Drink 7-Up  Light</t>
  </si>
  <si>
    <t>BVG1-782</t>
  </si>
  <si>
    <t>Drink Mirinda Orange</t>
  </si>
  <si>
    <t>BVG1-1168</t>
  </si>
  <si>
    <t>Drink Pepsi</t>
  </si>
  <si>
    <t>BVG1-779</t>
  </si>
  <si>
    <t>Sparkling Water 250 ml</t>
  </si>
  <si>
    <t>BVG3-4744</t>
  </si>
  <si>
    <t>Water 200 ml</t>
  </si>
  <si>
    <t>BVG3-5312</t>
  </si>
  <si>
    <t>water 200 ML (Nova)</t>
  </si>
  <si>
    <t>BVG3-4131</t>
  </si>
  <si>
    <t>water 330 ML (Nova)</t>
  </si>
  <si>
    <t>Frz Calamari Tube</t>
  </si>
  <si>
    <t>Fish &amp; Seafood</t>
  </si>
  <si>
    <t>Frz Crab Sticks(500 Gram)</t>
  </si>
  <si>
    <t>SFD2-4238</t>
  </si>
  <si>
    <t>Frz Fish Fillet Pangasus</t>
  </si>
  <si>
    <t>SFD2-312</t>
  </si>
  <si>
    <t>Frz Fish Hamour/Nile Perch Fillet</t>
  </si>
  <si>
    <t>SFD2-1101</t>
  </si>
  <si>
    <t>Frz Fish Salmon Filet</t>
  </si>
  <si>
    <t>SFD2-321</t>
  </si>
  <si>
    <t>Frz Lobster Tail 6/8</t>
  </si>
  <si>
    <t>SFD2-1757</t>
  </si>
  <si>
    <t>Frz Shrimp PD (50/60) Without Tail</t>
  </si>
  <si>
    <t>SFD2-4528</t>
  </si>
  <si>
    <t>Frz Shrimps (16/20) Without Tail</t>
  </si>
  <si>
    <t>SFD2-5320</t>
  </si>
  <si>
    <t>Frz Shrimps (11/15) Without Tail</t>
  </si>
  <si>
    <t>Frz Shrimps PD (26/30) Without Tail</t>
  </si>
  <si>
    <t>SFD2-1578</t>
  </si>
  <si>
    <t>Frz Smoked Salmon P / Sliced</t>
  </si>
  <si>
    <t>SFD2-1344</t>
  </si>
  <si>
    <t>Frz Whole Turkey(KG)</t>
  </si>
  <si>
    <t>PLT2-1800</t>
  </si>
  <si>
    <t>Poultry</t>
  </si>
  <si>
    <t>Eggs</t>
  </si>
  <si>
    <t>PLT1-37</t>
  </si>
  <si>
    <t>Fresh Chicken Whole</t>
  </si>
  <si>
    <t>PLT1-1785</t>
  </si>
  <si>
    <t>Smoked Roast Chicken</t>
  </si>
  <si>
    <t>PLT1-1704</t>
  </si>
  <si>
    <t>Frozen Whole Egg</t>
  </si>
  <si>
    <t>PLT2-5475</t>
  </si>
  <si>
    <t>PLT2-1045</t>
  </si>
  <si>
    <t>Frz Chicken Ball</t>
  </si>
  <si>
    <t>PLT2-5309</t>
  </si>
  <si>
    <t>PLT2-3278</t>
  </si>
  <si>
    <t>FRZ Chicken Frank ( Doux Original)</t>
  </si>
  <si>
    <t>PLT2-1573</t>
  </si>
  <si>
    <t>Frz Chicken Leg Quarter</t>
  </si>
  <si>
    <t>PLT2-159</t>
  </si>
  <si>
    <t>Frz Chicken Whole (1200 Gram)</t>
  </si>
  <si>
    <t>PLT2-1844</t>
  </si>
  <si>
    <t>Frz Chicken Whole (1100 Gram)</t>
  </si>
  <si>
    <t>Frz.Chicken Breaded Strips</t>
  </si>
  <si>
    <t>PLT2-1475</t>
  </si>
  <si>
    <t>Chilled Beef Bresola</t>
  </si>
  <si>
    <t>MET1-1864</t>
  </si>
  <si>
    <t>Meat</t>
  </si>
  <si>
    <t>Smoked Roast Beef</t>
  </si>
  <si>
    <t>MET1-1705</t>
  </si>
  <si>
    <t>Veal Tenderloin Chilled</t>
  </si>
  <si>
    <t>MET1-5468</t>
  </si>
  <si>
    <t>Frz Beef Brisket</t>
  </si>
  <si>
    <t>MET2-3808</t>
  </si>
  <si>
    <t>Frz Beef Eye round</t>
  </si>
  <si>
    <t>MET2-1053</t>
  </si>
  <si>
    <t>Frz Beef ForeQuarter</t>
  </si>
  <si>
    <t>MET2-4316</t>
  </si>
  <si>
    <t>Frz Beef Hot Dog</t>
  </si>
  <si>
    <t>MET2-4960</t>
  </si>
  <si>
    <t>Frz Beef Sausage(2.5 Kg)</t>
  </si>
  <si>
    <t>MET2-4734</t>
  </si>
  <si>
    <t>MET2-585</t>
  </si>
  <si>
    <t>Frz Beef Tendrloin Brazil</t>
  </si>
  <si>
    <t>MET2-1051</t>
  </si>
  <si>
    <t>Frz Beef,Lamb Cubes</t>
  </si>
  <si>
    <t>MET2-4959</t>
  </si>
  <si>
    <t>Frz Kibbeh Mini(Each)</t>
  </si>
  <si>
    <t>MET2-4838</t>
  </si>
  <si>
    <t>Frz Lamb Liver(Kg)</t>
  </si>
  <si>
    <t>MET2-4771</t>
  </si>
  <si>
    <t>Frz Lamb Rack</t>
  </si>
  <si>
    <t>MET2-2075</t>
  </si>
  <si>
    <t>Frz Leg Boneless (Lamb Leg)</t>
  </si>
  <si>
    <t>MET2-3262</t>
  </si>
  <si>
    <t>Frz Leg Boneless (Veal)</t>
  </si>
  <si>
    <t>MET2-3558</t>
  </si>
  <si>
    <t>MET2-4655</t>
  </si>
  <si>
    <t>Avocado Paste</t>
  </si>
  <si>
    <t>DRS1-4181</t>
  </si>
  <si>
    <t xml:space="preserve">Frozen </t>
  </si>
  <si>
    <t>Produce</t>
  </si>
  <si>
    <t>Dried Vegetable Chips</t>
  </si>
  <si>
    <t>DRS1-5238</t>
  </si>
  <si>
    <t>Dry Mouloukhia</t>
  </si>
  <si>
    <t>DRS1-457</t>
  </si>
  <si>
    <t>Dry Rosemary Leaves(500 gm)</t>
  </si>
  <si>
    <t>DRS1-5339</t>
  </si>
  <si>
    <t>Corn On The Cob(Whole)</t>
  </si>
  <si>
    <t>PRD2-3914</t>
  </si>
  <si>
    <t>Frozen Avocado,Pulp</t>
  </si>
  <si>
    <t>PRD2-4183</t>
  </si>
  <si>
    <t>Frz Broad Beans (900 Gram)</t>
  </si>
  <si>
    <t>PRD2-3989</t>
  </si>
  <si>
    <t>Frz Broccoli 2.5 kg</t>
  </si>
  <si>
    <t>PRD2-5241</t>
  </si>
  <si>
    <t>Frz Cranberry</t>
  </si>
  <si>
    <t>PRD2-4377</t>
  </si>
  <si>
    <t>Frz Edamame Beans</t>
  </si>
  <si>
    <t>PRD2-4987</t>
  </si>
  <si>
    <t>Frz Eggplant Pulp</t>
  </si>
  <si>
    <t>PRD2-3544</t>
  </si>
  <si>
    <t>Frz French Fries</t>
  </si>
  <si>
    <t>PRD2-871</t>
  </si>
  <si>
    <t>Frz Green Beans Cut(800 Gram)</t>
  </si>
  <si>
    <t>PRD2-3566</t>
  </si>
  <si>
    <t>PRD2-3567</t>
  </si>
  <si>
    <t>Frz Mixed Vegetables (2.5 kg)</t>
  </si>
  <si>
    <t>PRD2-5344</t>
  </si>
  <si>
    <t>Frz Moulokhia (400Gram)</t>
  </si>
  <si>
    <t>PRD2-3671</t>
  </si>
  <si>
    <t>Frz Mushroom Whole</t>
  </si>
  <si>
    <t>PRD2-5006</t>
  </si>
  <si>
    <t>PRD2-366</t>
  </si>
  <si>
    <t>Frz Peas&amp;Carrots(800 Gram)</t>
  </si>
  <si>
    <t>PRD2-4092</t>
  </si>
  <si>
    <t>Frz Raspberry</t>
  </si>
  <si>
    <t>PRD2-4713</t>
  </si>
  <si>
    <t>Frz Spinach(400 Gram)</t>
  </si>
  <si>
    <t>PRD2-363</t>
  </si>
  <si>
    <t>Dry Apricots (1KG)</t>
  </si>
  <si>
    <t>PRD3-1632</t>
  </si>
  <si>
    <t>Dry Cranberry(Kg)</t>
  </si>
  <si>
    <t>PRD3-4230</t>
  </si>
  <si>
    <t>Dry Lemon Black(1 Kg)</t>
  </si>
  <si>
    <t>PRD3-1675</t>
  </si>
  <si>
    <t>Dry Mint (Kg)</t>
  </si>
  <si>
    <t>PRD3-3878</t>
  </si>
  <si>
    <t>Dry Mix Fruits(1 Kg)</t>
  </si>
  <si>
    <t>PRD3-1661</t>
  </si>
  <si>
    <t>Dry Mushroom Set (Jar)</t>
  </si>
  <si>
    <t>PRD3-1842</t>
  </si>
  <si>
    <t>Dry Prunes Pitted(Barkouk)</t>
  </si>
  <si>
    <t>PRD3-4849</t>
  </si>
  <si>
    <t>Dry Sun Tomatoes In Oil</t>
  </si>
  <si>
    <t>PRD3-1653</t>
  </si>
  <si>
    <t>Fried Onions</t>
  </si>
  <si>
    <t>PRD3-5038</t>
  </si>
  <si>
    <t>Fresh Apple Red</t>
  </si>
  <si>
    <t>PRD1-374</t>
  </si>
  <si>
    <t>Fresh Avocado</t>
  </si>
  <si>
    <t>PRD1-4787</t>
  </si>
  <si>
    <t>Fresh Baby Carrot</t>
  </si>
  <si>
    <t>PRD1-3546</t>
  </si>
  <si>
    <t>Fresh Baby Marrow</t>
  </si>
  <si>
    <t>PRD1-3794</t>
  </si>
  <si>
    <t>Fresh Baby Rocca</t>
  </si>
  <si>
    <t>PRD1-4600</t>
  </si>
  <si>
    <t>Fresh Baby Spinach</t>
  </si>
  <si>
    <t>PRD1-4601</t>
  </si>
  <si>
    <t>Fresh Bananas</t>
  </si>
  <si>
    <t>PRD1-376</t>
  </si>
  <si>
    <t>Fresh Basil</t>
  </si>
  <si>
    <t>PRD1-179</t>
  </si>
  <si>
    <t>Fresh Blackberry</t>
  </si>
  <si>
    <t>PRD1-4389</t>
  </si>
  <si>
    <t xml:space="preserve">Fresh Beetroot </t>
  </si>
  <si>
    <t>PRD1-709</t>
  </si>
  <si>
    <t>Fresh Blueberry(125 Gram)</t>
  </si>
  <si>
    <t>PRD1-4390</t>
  </si>
  <si>
    <t>Fresh Brocoli</t>
  </si>
  <si>
    <t>PRD1-182</t>
  </si>
  <si>
    <t>Fresh Cabbage White</t>
  </si>
  <si>
    <t>PRD1-185</t>
  </si>
  <si>
    <t>Fresh Cabbage Red</t>
  </si>
  <si>
    <t>PRD1-189</t>
  </si>
  <si>
    <t>Fresh Cauliflower</t>
  </si>
  <si>
    <t>PRD1-187</t>
  </si>
  <si>
    <t>PRD1-186</t>
  </si>
  <si>
    <t>PRD1-191</t>
  </si>
  <si>
    <t>Fresh Cherry Tomato(Local)</t>
  </si>
  <si>
    <t>PRD1-245</t>
  </si>
  <si>
    <t>Fresh Chives (Ciboulettes)</t>
  </si>
  <si>
    <t>PRD1-194</t>
  </si>
  <si>
    <t>PRD1-195</t>
  </si>
  <si>
    <t>Fresh Cucumber</t>
  </si>
  <si>
    <t>PRD1-196</t>
  </si>
  <si>
    <t>Fresh Dragin Fruit</t>
  </si>
  <si>
    <t>PRD1-380</t>
  </si>
  <si>
    <t>Fresh Dill</t>
  </si>
  <si>
    <t>PRD1-199</t>
  </si>
  <si>
    <t>Fresh Eggplant</t>
  </si>
  <si>
    <t>PRD1-201</t>
  </si>
  <si>
    <t>PRD1-4327</t>
  </si>
  <si>
    <t>Fresh Ginger</t>
  </si>
  <si>
    <t>PRD1-204</t>
  </si>
  <si>
    <t>Fresh Grapes Red</t>
  </si>
  <si>
    <t>PRD1-385</t>
  </si>
  <si>
    <t>Fresh Green Chili Spic</t>
  </si>
  <si>
    <t>PRD1-591</t>
  </si>
  <si>
    <t>Fresh Kale</t>
  </si>
  <si>
    <t>PRD1-3374</t>
  </si>
  <si>
    <t>Fresh Kiwi</t>
  </si>
  <si>
    <t>PRD1-390</t>
  </si>
  <si>
    <t>Fresh Leek (Imported)</t>
  </si>
  <si>
    <t>PRD1-4019</t>
  </si>
  <si>
    <t>PRD1-209</t>
  </si>
  <si>
    <t>Fresh Lemon Grass(Imported)</t>
  </si>
  <si>
    <t>PRD1-4179</t>
  </si>
  <si>
    <t>Fresh Lettuce Lollo Rosso(Local)</t>
  </si>
  <si>
    <t>PRD1-3956</t>
  </si>
  <si>
    <t>Fresh Lettuce Romain</t>
  </si>
  <si>
    <t>PRD1-216</t>
  </si>
  <si>
    <t xml:space="preserve">Fresh Mint </t>
  </si>
  <si>
    <t>PRD1-221</t>
  </si>
  <si>
    <t>Fresh mandarin</t>
  </si>
  <si>
    <t>PRD1-1289</t>
  </si>
  <si>
    <t>Fresh Mushroom</t>
  </si>
  <si>
    <t>PRD1-223</t>
  </si>
  <si>
    <t>Fresh Mushroom (Brown)</t>
  </si>
  <si>
    <t>PRD1-3182</t>
  </si>
  <si>
    <t>PRD1-4265</t>
  </si>
  <si>
    <t>Fresh Orange-Table</t>
  </si>
  <si>
    <t>PRD1-395</t>
  </si>
  <si>
    <t>Fresh Parsley</t>
  </si>
  <si>
    <t>PRD1-227</t>
  </si>
  <si>
    <t>Fresh Pineapple</t>
  </si>
  <si>
    <t>PRD1-401</t>
  </si>
  <si>
    <t>Fresh Pumpkin</t>
  </si>
  <si>
    <t>PRD1-232</t>
  </si>
  <si>
    <t>Fresh Pomegranate</t>
  </si>
  <si>
    <t>PRD1-403</t>
  </si>
  <si>
    <t>PRD1-230</t>
  </si>
  <si>
    <t>Fresh Potato Sweet</t>
  </si>
  <si>
    <t>PRD1-231</t>
  </si>
  <si>
    <t>Fresh Radish</t>
  </si>
  <si>
    <t>PRD1-234</t>
  </si>
  <si>
    <t>Fresh Raspberry</t>
  </si>
  <si>
    <t>PRD1-4391</t>
  </si>
  <si>
    <t>Fresh Rocket</t>
  </si>
  <si>
    <t>PRD1-235</t>
  </si>
  <si>
    <t>Fresh Rosemary</t>
  </si>
  <si>
    <t>PRD1-564</t>
  </si>
  <si>
    <t>PRD1-239</t>
  </si>
  <si>
    <t xml:space="preserve">Fresh Sweet Pepper Red </t>
  </si>
  <si>
    <t>PRD1-240</t>
  </si>
  <si>
    <t>Fresh Sweet Pepper Yellow</t>
  </si>
  <si>
    <t>PRD1-241</t>
  </si>
  <si>
    <t>Fresh Spinach</t>
  </si>
  <si>
    <t>PRD1-236</t>
  </si>
  <si>
    <t>Fresh Spring Onion Green</t>
  </si>
  <si>
    <t>PRD1-573</t>
  </si>
  <si>
    <t>Fresh Strawberry(Imported)</t>
  </si>
  <si>
    <t>PRD1-406</t>
  </si>
  <si>
    <t>Fresh Sweet Melon</t>
  </si>
  <si>
    <t>PRD1-1315</t>
  </si>
  <si>
    <t>Fresh Thyme</t>
  </si>
  <si>
    <t>PRD1-243</t>
  </si>
  <si>
    <t>PRD1-572</t>
  </si>
  <si>
    <t>Fresh Watercress</t>
  </si>
  <si>
    <t>PRD1-3929</t>
  </si>
  <si>
    <t>Eco Friendly,Dessert Container 8oz with Lid(1000Pcs)</t>
  </si>
  <si>
    <t>PKG-5221</t>
  </si>
  <si>
    <t xml:space="preserve">Non Food </t>
  </si>
  <si>
    <t xml:space="preserve">Packaging </t>
  </si>
  <si>
    <t>Eco Friendly,Salad Container 12oz with Lid</t>
  </si>
  <si>
    <t>PKG-5222</t>
  </si>
  <si>
    <t>Fabric Bag 36x31x17 CM Laminated with SALUS logo</t>
  </si>
  <si>
    <t>PKG-5183</t>
  </si>
  <si>
    <t>Paper Cup White For Muffin 15 Cm</t>
  </si>
  <si>
    <t>PKG-5010</t>
  </si>
  <si>
    <t>Plastic Bag With Handle and Ziplock 32x26 cm(KG)</t>
  </si>
  <si>
    <t>PKG-5378</t>
  </si>
  <si>
    <t>Aluminum Container 1 Comp 831160 (800pcs)</t>
  </si>
  <si>
    <t>PKG-5148</t>
  </si>
  <si>
    <t>Aluminum Container 2 Comp W/Lid</t>
  </si>
  <si>
    <t>PKG-741</t>
  </si>
  <si>
    <t>Aluminum Container Round 5047 (Kunafa)</t>
  </si>
  <si>
    <t>PKG-743</t>
  </si>
  <si>
    <t>ALuminum Container With Lid 8342</t>
  </si>
  <si>
    <t>PKG-5120</t>
  </si>
  <si>
    <t>Aluminum Paper Sandwich For Beef Burger(500)</t>
  </si>
  <si>
    <t>PKG-1576</t>
  </si>
  <si>
    <t>Aluminum Paper Sandwich For Chicken Burger(500)</t>
  </si>
  <si>
    <t>PKG-1577</t>
  </si>
  <si>
    <t>Bamboo Flag Skewer 9 CM</t>
  </si>
  <si>
    <t>PKG-5144</t>
  </si>
  <si>
    <t>Bamboo Knotted Skewer 15 cm</t>
  </si>
  <si>
    <t>PKG-5145</t>
  </si>
  <si>
    <t>Bamboo Ring Skewer 12 cm</t>
  </si>
  <si>
    <t>PKG-5146</t>
  </si>
  <si>
    <t>Bamboo Skewers(15 Cm)</t>
  </si>
  <si>
    <t>PKG-4090</t>
  </si>
  <si>
    <t>Burger Butter Paper,10cm</t>
  </si>
  <si>
    <t>PKG-4278</t>
  </si>
  <si>
    <t>Burger Butter Paper,13 cm</t>
  </si>
  <si>
    <t>PKG-4277</t>
  </si>
  <si>
    <t>Butter Paper (60*40 )</t>
  </si>
  <si>
    <t>PKG-639</t>
  </si>
  <si>
    <t>Cake Box Medium,Brown,Gourmet,371x370x90</t>
  </si>
  <si>
    <t>PKG-4807</t>
  </si>
  <si>
    <t>Cutlery Set for Salus Logo</t>
  </si>
  <si>
    <t>PKG-4952</t>
  </si>
  <si>
    <t>Cutlery Set for SMC Logo</t>
  </si>
  <si>
    <t>PKG-1258</t>
  </si>
  <si>
    <t>Cutlery Set VIP Black,3 Pcs 250 pcs</t>
  </si>
  <si>
    <t>PKG-5185</t>
  </si>
  <si>
    <t>Cutlery Set,FRSH Logo 250 Set</t>
  </si>
  <si>
    <t>PKG-5292</t>
  </si>
  <si>
    <t>Cutlery Set,Gourmet Logo 250 Set</t>
  </si>
  <si>
    <t>PKG-5104</t>
  </si>
  <si>
    <t>Dolly Paper Tray (48x50)</t>
  </si>
  <si>
    <t>PKG-1613</t>
  </si>
  <si>
    <t>Eco Friendly,Food Cont.Rect. 1000ml With Lid</t>
  </si>
  <si>
    <t>PKG-5209</t>
  </si>
  <si>
    <t>Eco Friendly,Food Plate,Round,10 Inch</t>
  </si>
  <si>
    <t>PKG-4940</t>
  </si>
  <si>
    <t>Eco Friendly,Food Plate,Round,9 Inch</t>
  </si>
  <si>
    <t>PKG-4939</t>
  </si>
  <si>
    <t>Eco Friendly,Soup Container 8oz</t>
  </si>
  <si>
    <t>PKG-5392</t>
  </si>
  <si>
    <t>EXP Stickers Roll</t>
  </si>
  <si>
    <t>PKG-1612</t>
  </si>
  <si>
    <t>Fabric Bag 30x30x17 CM Laminated with FRSH logo</t>
  </si>
  <si>
    <t>PKG-5270</t>
  </si>
  <si>
    <t>Flat Lid For Deli Container 12oz/8oz</t>
  </si>
  <si>
    <t>PKG-5394</t>
  </si>
  <si>
    <t>Gourmet Club Sandwich Box 101x45x104</t>
  </si>
  <si>
    <t>PKG-5195</t>
  </si>
  <si>
    <t>Gourmet Croissant/Sandwich Box 150x110x80</t>
  </si>
  <si>
    <t>PKG-5198</t>
  </si>
  <si>
    <t>Gourmet Jumbo Sandwich Sleeves 175x261</t>
  </si>
  <si>
    <t>PKG-5199</t>
  </si>
  <si>
    <t>Gourmet Panini Sandwich Box 80x55x190</t>
  </si>
  <si>
    <t>PKG-5197</t>
  </si>
  <si>
    <t>Gourmet Sleeves DC200 &amp;16 Oz</t>
  </si>
  <si>
    <t>PKG-5200</t>
  </si>
  <si>
    <t>Gourmet Tortilla Sandwich Box 82x60x120</t>
  </si>
  <si>
    <t>PKG-5196</t>
  </si>
  <si>
    <t>Kraft Soup Container 12oz with PP Lid</t>
  </si>
  <si>
    <t>PKG-5044</t>
  </si>
  <si>
    <t>Kraft Soup Container,16oz</t>
  </si>
  <si>
    <t>PKG-4462</t>
  </si>
  <si>
    <t>Kraft White Container Sqaure 30oz</t>
  </si>
  <si>
    <t>PKG-5098</t>
  </si>
  <si>
    <t>Kraft White Container Sqaure 400 ml</t>
  </si>
  <si>
    <t>PKG-5122</t>
  </si>
  <si>
    <t>Kraft White Container Square 600 ml</t>
  </si>
  <si>
    <t>PKG-5123</t>
  </si>
  <si>
    <t>Kraft White Salad Container,Round,32oz W/Lid</t>
  </si>
  <si>
    <t>PKG-5188</t>
  </si>
  <si>
    <t>Menu Cards FRSH (Various Sizes )</t>
  </si>
  <si>
    <t>PKG-5275</t>
  </si>
  <si>
    <t>Paper Bag Brown W/Gourmet Logo 29x15x30 cm</t>
  </si>
  <si>
    <t>PKG-5075</t>
  </si>
  <si>
    <t>Paper Bag Brown,Sandwich,W/Window 12x30 (1x50) S</t>
  </si>
  <si>
    <t>PKG-5112</t>
  </si>
  <si>
    <t>Paper Bag Brown,Sandwich,W/Window 20x29(1x100)M</t>
  </si>
  <si>
    <t>PKG-5011</t>
  </si>
  <si>
    <t>Paper Bag Brown,Sandwich,W/Window 21x35 L</t>
  </si>
  <si>
    <t>PKG-4757</t>
  </si>
  <si>
    <t>Paper Bag Brown,Sandwich,W/Window 34x15x7.5</t>
  </si>
  <si>
    <t>PKG-5234</t>
  </si>
  <si>
    <t>Paper Bag White W/Gourmet Logo 29x15x30 cm</t>
  </si>
  <si>
    <t>PKG-5076</t>
  </si>
  <si>
    <t>Paper Bag With Golyv Logo 32x16x31</t>
  </si>
  <si>
    <t>PKG-5230</t>
  </si>
  <si>
    <t>Paper Cake Base With Pet Lid 27x27 130pcs</t>
  </si>
  <si>
    <t>PKG-5191</t>
  </si>
  <si>
    <t>Paper Club Sandwich Cont,W/Window(250 Each)</t>
  </si>
  <si>
    <t>PKG-4740</t>
  </si>
  <si>
    <t>Paper Cup Brown for Muffin (11.5cm)</t>
  </si>
  <si>
    <t>PKG-1608</t>
  </si>
  <si>
    <t>Paper Cup White For Muffin (7 Cm)</t>
  </si>
  <si>
    <t>PKG-3178</t>
  </si>
  <si>
    <t>Paper Cup White For Muffin (9.5 Cm)</t>
  </si>
  <si>
    <t>PKG-1923</t>
  </si>
  <si>
    <t>Paper Cup,4oz With SMC Logo (Espresso)</t>
  </si>
  <si>
    <t>PKG-5257</t>
  </si>
  <si>
    <t>Paper Cup,4oz(Nespresso)</t>
  </si>
  <si>
    <t>PKG-4088</t>
  </si>
  <si>
    <t>Paper Cup,VIP,7oz W/Lids</t>
  </si>
  <si>
    <t>PKG-4424</t>
  </si>
  <si>
    <t>Paper Cups</t>
  </si>
  <si>
    <t>PKG-1010</t>
  </si>
  <si>
    <t>Paper Cups 32Oz (Pop Corn)</t>
  </si>
  <si>
    <t>PKG-5285</t>
  </si>
  <si>
    <t>Paper Cups 8oz,Double Wall,Gourmet Logo &amp; Lids(500 Each)</t>
  </si>
  <si>
    <t>PKG-5154</t>
  </si>
  <si>
    <t>Paper Cups 8oz,VIP,Double,Logo&amp;Lids(1000)</t>
  </si>
  <si>
    <t>PKG-4708</t>
  </si>
  <si>
    <t>Paper Cups,VIP, 8oz w/Lids Double Wall (1x500)</t>
  </si>
  <si>
    <t>PKG-5121</t>
  </si>
  <si>
    <t>Paper Cups,VIP,9oz w/Lids</t>
  </si>
  <si>
    <t>PKG-3681</t>
  </si>
  <si>
    <t>Paper Pkt Big Size for French Fries</t>
  </si>
  <si>
    <t>PKG-1155</t>
  </si>
  <si>
    <t>Paper Sandwich Container,Long,5x10.5x20cm,W/Window</t>
  </si>
  <si>
    <t>PKG-4746</t>
  </si>
  <si>
    <t>Paper Sandwich Container,Long,6x27cm,W/Window</t>
  </si>
  <si>
    <t>PKG-4739</t>
  </si>
  <si>
    <t>Paper Sandwich Container,Square,10.55x10.5cm,W/Window</t>
  </si>
  <si>
    <t>PKG-4766</t>
  </si>
  <si>
    <t>Paper Sandwich Container,Tortilla,W/Window</t>
  </si>
  <si>
    <t>PKG-4814</t>
  </si>
  <si>
    <t>Paper Sleeve with Golyv Logo 75x176</t>
  </si>
  <si>
    <t>PKG-5231</t>
  </si>
  <si>
    <t>Paper Sleeves FRSH (Various Sizes)</t>
  </si>
  <si>
    <t>PKG-5274</t>
  </si>
  <si>
    <t>Paper Sleeves with Dietworld Logo</t>
  </si>
  <si>
    <t>PKG-5071</t>
  </si>
  <si>
    <t>Paper Sleeves with Mashwi Kiwi Logo</t>
  </si>
  <si>
    <t>PKG-5202</t>
  </si>
  <si>
    <t>Paper Sleeves,38x7.5,2Colors (Salus)</t>
  </si>
  <si>
    <t>PKG-4858</t>
  </si>
  <si>
    <t>Piping Bag</t>
  </si>
  <si>
    <t>PKG-882</t>
  </si>
  <si>
    <t>Plastic Black Microwave 10 oz Container Lid MCB250BHP</t>
  </si>
  <si>
    <t>PKG-5204</t>
  </si>
  <si>
    <t>Plastic Clear Cont,Square,12oz,W/Lid</t>
  </si>
  <si>
    <t>PKG-4870</t>
  </si>
  <si>
    <t>Plastic Clear Cont,Square,8oz,W/Lid</t>
  </si>
  <si>
    <t>PKG-4929</t>
  </si>
  <si>
    <t>Plastic Clear Dessert Cup With Lid(500 each)</t>
  </si>
  <si>
    <t>PKG-1287</t>
  </si>
  <si>
    <t>Plastic Clear Microwave 10 oz Container</t>
  </si>
  <si>
    <t>PKG-1254</t>
  </si>
  <si>
    <t>Plastic Clear Salad Container Medium OPS (300 Each)</t>
  </si>
  <si>
    <t>PKG-1849</t>
  </si>
  <si>
    <t>Plastic Clear Salad Container Medium OPS(8oz 240 Each)</t>
  </si>
  <si>
    <t>PKG-1293</t>
  </si>
  <si>
    <t>Plastic Club Sandwich Box,Clear</t>
  </si>
  <si>
    <t>PKG-650</t>
  </si>
  <si>
    <t>Plastic Cocktail Fork</t>
  </si>
  <si>
    <t>PKG-5152</t>
  </si>
  <si>
    <t>Plastic Cocktail Spoon</t>
  </si>
  <si>
    <t>PKG-5151</t>
  </si>
  <si>
    <t>Plastic Cont,Rect,Injection, White 24OZ With Lid</t>
  </si>
  <si>
    <t>PKG-5000</t>
  </si>
  <si>
    <t>Plastic Cont,Rect,Injection, White 28OZ With Lid</t>
  </si>
  <si>
    <t>PKG-4998</t>
  </si>
  <si>
    <t>Plastic Cont,Rect,Injection,2Comp.White 32OZ With Lid</t>
  </si>
  <si>
    <t>PKG-4999</t>
  </si>
  <si>
    <t>Plastic Cont,Rect,Injection,Black,48oz,W/Lid BBRE48</t>
  </si>
  <si>
    <t>PKG-5203</t>
  </si>
  <si>
    <t>Plastic Cont,Rect,Injection,Black,58oz,W/Lid BBRE58</t>
  </si>
  <si>
    <t>PKG-5192</t>
  </si>
  <si>
    <t>Plastic Container 20oz Red &amp; Black with Lid 300 pcs</t>
  </si>
  <si>
    <t>PKG-5190</t>
  </si>
  <si>
    <t>Plastic Container 32oz Red &amp; Black with Lid 300 pcs</t>
  </si>
  <si>
    <t>PKG-5189</t>
  </si>
  <si>
    <t>Plastic Container with Lid ,Rect, Medium Sushi( SC02BHP)</t>
  </si>
  <si>
    <t>PKG-5340</t>
  </si>
  <si>
    <t>Plastic Container, Black Base 10" With Clear Lid (Cake )</t>
  </si>
  <si>
    <t>PKG-5304</t>
  </si>
  <si>
    <t>Plastic Container, Black Base With Clear Lid 3.5 (Cake )</t>
  </si>
  <si>
    <t>PKG-5311</t>
  </si>
  <si>
    <t>Plastic Cylindrical Jar,Transparent,230 ML</t>
  </si>
  <si>
    <t>PKG-4374</t>
  </si>
  <si>
    <t>Plastic Dessert Cup w/Lid,DC200 (1000 )</t>
  </si>
  <si>
    <t>PKG-1541</t>
  </si>
  <si>
    <t>Plastic Dessert Cup With 2 Lid,Dome&amp;Flat,Salus</t>
  </si>
  <si>
    <t>PKG-5009</t>
  </si>
  <si>
    <t>Plastic Juice Bottle,250 ML</t>
  </si>
  <si>
    <t>PKG-3876</t>
  </si>
  <si>
    <t>Plastic Pastry Tray with Cover, Golden, Large</t>
  </si>
  <si>
    <t>PKG-5313</t>
  </si>
  <si>
    <t>Plastic Pastry Tray with Cover, Golden, Small</t>
  </si>
  <si>
    <t>PKG-5314</t>
  </si>
  <si>
    <t>Plastic Plate,Disposable,VIP,10.25 inch</t>
  </si>
  <si>
    <t>PKG-4153</t>
  </si>
  <si>
    <t>Plastic Salad Cont,Clear,Round,16oz,W/Lid</t>
  </si>
  <si>
    <t>PKG-4604</t>
  </si>
  <si>
    <t>Plastic Sauce Cup,2oz,Microwavable,W/Lid</t>
  </si>
  <si>
    <t>PKG-4867</t>
  </si>
  <si>
    <t>Plastic Table Fork</t>
  </si>
  <si>
    <t>PKG-1143</t>
  </si>
  <si>
    <t>Plastic Table Fork,VIP(Black)</t>
  </si>
  <si>
    <t>PKG-3432</t>
  </si>
  <si>
    <t>Plastic Table knife</t>
  </si>
  <si>
    <t>PKG-1197</t>
  </si>
  <si>
    <t>Plastic Table Knife,VIP(Black)</t>
  </si>
  <si>
    <t>PKG-3434</t>
  </si>
  <si>
    <t>Plastic Table Spoon</t>
  </si>
  <si>
    <t>PKG-777</t>
  </si>
  <si>
    <t>Plastic Table Spoon,VIP(Black)</t>
  </si>
  <si>
    <t>PKG-3430</t>
  </si>
  <si>
    <t>Plastic tea Spoon</t>
  </si>
  <si>
    <t>PKG-629</t>
  </si>
  <si>
    <t>Plastic Water Cup,White</t>
  </si>
  <si>
    <t>PKG-4904</t>
  </si>
  <si>
    <t>Sandwich Bag,Clear, 10x18 cm</t>
  </si>
  <si>
    <t>PKG-4883</t>
  </si>
  <si>
    <t>Sandwich Bag,Clear, 11x11 cm</t>
  </si>
  <si>
    <t>PKG-4953</t>
  </si>
  <si>
    <t>Sandwich Bag,Clear, 13x30 cm</t>
  </si>
  <si>
    <t>PKG-1814</t>
  </si>
  <si>
    <t>Sandwich Bag,Clear,10x30 CM</t>
  </si>
  <si>
    <t>PKG-881</t>
  </si>
  <si>
    <t>Sandwich Bag,Clear,13x20cm</t>
  </si>
  <si>
    <t>PKG-1371</t>
  </si>
  <si>
    <t>Sandwich Wrapping Paper( Gourmet)</t>
  </si>
  <si>
    <t>PKG-5073</t>
  </si>
  <si>
    <t>Sandwich Wrapping Paper(Salus)</t>
  </si>
  <si>
    <t>PKG-4859</t>
  </si>
  <si>
    <t>Sticker Gourmet Sandwich</t>
  </si>
  <si>
    <t>PKG-4075</t>
  </si>
  <si>
    <t>Sticker Roll 150x100</t>
  </si>
  <si>
    <t>PKG-5419</t>
  </si>
  <si>
    <t>Sticker Roll Plain,Expiry</t>
  </si>
  <si>
    <t>PKG-5310</t>
  </si>
  <si>
    <t>Sticker Roll Plain,Salus</t>
  </si>
  <si>
    <t>PKG-4923</t>
  </si>
  <si>
    <t>Sticker Round ,Golyv Logo 6cm</t>
  </si>
  <si>
    <t>PKG-5236</t>
  </si>
  <si>
    <t>Sticker Round ,Golyv Logo 7cm</t>
  </si>
  <si>
    <t>PKG-5235</t>
  </si>
  <si>
    <t>Sticker Round ,Mashwi Kiwi Logo 7cm</t>
  </si>
  <si>
    <t>PKG-5220</t>
  </si>
  <si>
    <t>Sticker Round,2 Colors,5cm(Salus)</t>
  </si>
  <si>
    <t>PKG-4861</t>
  </si>
  <si>
    <t>Sticker Round,Gourmet Logo,3cm</t>
  </si>
  <si>
    <t>PKG-3509</t>
  </si>
  <si>
    <t>Sticker Security Seal, 9x4 Cm,Sidra</t>
  </si>
  <si>
    <t>PKG-5343</t>
  </si>
  <si>
    <t>Sticker Security Seal,Golyv</t>
  </si>
  <si>
    <t>PKG-5237</t>
  </si>
  <si>
    <t>Sticker,Gourmet Logo,7cm</t>
  </si>
  <si>
    <t>PKG-3940</t>
  </si>
  <si>
    <t>Straw With Paper Wrapped (40x250)</t>
  </si>
  <si>
    <t>PKG-1546</t>
  </si>
  <si>
    <t>Wet Napkins with FRSH Logo</t>
  </si>
  <si>
    <t>PKG-5276</t>
  </si>
  <si>
    <t>Cutlery Set for Diet World Logo 250Set</t>
  </si>
  <si>
    <t>DWS-5291</t>
  </si>
  <si>
    <t>Eco Friendly,Food Cont.Rect,750ML,1Comp,W/Lid</t>
  </si>
  <si>
    <t>DWS-4779</t>
  </si>
  <si>
    <t>Fabric Bag 31x37x17 CM Laminated with Diet World logo</t>
  </si>
  <si>
    <t>DWS-5023</t>
  </si>
  <si>
    <t>Fabric Bag 37x30x7.5 CM Laminated with Diet World logo(Small)</t>
  </si>
  <si>
    <t>DWS-5267</t>
  </si>
  <si>
    <t>Plastic Clear 10oz Container With Lid</t>
  </si>
  <si>
    <t>DWS-1555</t>
  </si>
  <si>
    <t>Plastic Cont,1Comp,05AH08PBK(300 Each)</t>
  </si>
  <si>
    <t>DWS-4649</t>
  </si>
  <si>
    <t>Plastic Cont,1Comp,08oz White, with Lid</t>
  </si>
  <si>
    <t>DWS-5102</t>
  </si>
  <si>
    <t>Plastic Container 1Compartment (05AH24PBK) W/Lid</t>
  </si>
  <si>
    <t>DWS-1543</t>
  </si>
  <si>
    <t>Plastic Container Black (05AH16PBK) W/Lid</t>
  </si>
  <si>
    <t>DWS-3583</t>
  </si>
  <si>
    <t>Plastic Container Clear (05AH16WT) W/Lid</t>
  </si>
  <si>
    <t>DWS-3212</t>
  </si>
  <si>
    <t>Plastic Container Clear,05AH12WT(300 Each)</t>
  </si>
  <si>
    <t>DWS-4127</t>
  </si>
  <si>
    <t>Plastic Container Clear,05AH16T(300 Each)</t>
  </si>
  <si>
    <t>DWS-4129</t>
  </si>
  <si>
    <t>Plastic Container OPS 207(500pcs)</t>
  </si>
  <si>
    <t>DWS-1455</t>
  </si>
  <si>
    <t>Plastic Container White (PP16DEF) W/Lid 1x300</t>
  </si>
  <si>
    <t>DWS-5095</t>
  </si>
  <si>
    <t>Plastic Container White (PP24DEF) W/Lid 1x300</t>
  </si>
  <si>
    <t>DWS-5096</t>
  </si>
  <si>
    <t>Plastic Container,1 Comp,Black(K-8000) W/Lid</t>
  </si>
  <si>
    <t>DWS-4231</t>
  </si>
  <si>
    <t>Plastic Container,1 Comp,White(K-8000)</t>
  </si>
  <si>
    <t>DWS-5100</t>
  </si>
  <si>
    <t>Plastic Container,2 Comp,Black(K-8010) W/Lid</t>
  </si>
  <si>
    <t>DWS-4086</t>
  </si>
  <si>
    <t>Plastic Container,2 Comp,Black(K-9010) W/lid</t>
  </si>
  <si>
    <t>DWS-3698</t>
  </si>
  <si>
    <t>Plastic Container,2 Comp,White(K-8010) W/Lid</t>
  </si>
  <si>
    <t>DWS-5101</t>
  </si>
  <si>
    <t>Plastic Container,2 Comp,White(K-9010) W/lid 1x250</t>
  </si>
  <si>
    <t>DWS-5097</t>
  </si>
  <si>
    <t>Plastic Container,3Comp,Black(K-8020) W/Lid</t>
  </si>
  <si>
    <t>DWS-4437</t>
  </si>
  <si>
    <t>Plastic Medium sauce Cup W/Lid 100ml MC100</t>
  </si>
  <si>
    <t>DWS-3893</t>
  </si>
  <si>
    <t>Plastic Sauce Container 02oz With Lids (2000)</t>
  </si>
  <si>
    <t>DWS-1639</t>
  </si>
  <si>
    <t>Plastic Sauce Container,1 Oz W/Lids(2000)</t>
  </si>
  <si>
    <t>DWS-4236</t>
  </si>
  <si>
    <t>Sticker Diet World Breakfast (New)</t>
  </si>
  <si>
    <t>DWS-1707</t>
  </si>
  <si>
    <t>Sticker Diet World Main Courses (New)</t>
  </si>
  <si>
    <t>DWS-4261</t>
  </si>
  <si>
    <t>Sticker Diet World Soup (New)</t>
  </si>
  <si>
    <t>DWS-1712</t>
  </si>
  <si>
    <t>Salt</t>
  </si>
  <si>
    <t>DRS1-3880</t>
  </si>
  <si>
    <t>Feta Cheese</t>
  </si>
  <si>
    <t>DRY1-1846</t>
  </si>
  <si>
    <t>Fruit Sugar</t>
  </si>
  <si>
    <t>DRS1-1288</t>
  </si>
  <si>
    <t>Ice Cubes</t>
  </si>
  <si>
    <t>WAT-002</t>
  </si>
  <si>
    <t>Tap Water-cooking</t>
  </si>
  <si>
    <t>WAT-001</t>
  </si>
  <si>
    <t>Blueberry filling</t>
  </si>
  <si>
    <t>DRS1-2077</t>
  </si>
  <si>
    <t>Dry Can</t>
  </si>
  <si>
    <t>Caned</t>
  </si>
  <si>
    <t>Fresh Lettuce Iceberg</t>
  </si>
  <si>
    <t>PRD1-1447</t>
  </si>
  <si>
    <t xml:space="preserve">Fresh Lettuce Iceberg </t>
  </si>
  <si>
    <t>Easy Muffin Mix Vanila (10 KG)</t>
  </si>
  <si>
    <t>DRS5-1620</t>
  </si>
  <si>
    <t>Spices Bay Leaves</t>
  </si>
  <si>
    <t>DRS6-3593</t>
  </si>
  <si>
    <t>Bay Leaf</t>
  </si>
  <si>
    <t>📘 Master Recipe Ingredients – FRSH</t>
  </si>
  <si>
    <t>▶  CONSOLIDATED INGREDIENT MASTER  —   FRSH Main + Sub Recipes</t>
  </si>
  <si>
    <t>RCP-Frsh-00001</t>
  </si>
  <si>
    <t>Avocado egg Ranch</t>
  </si>
  <si>
    <t>Ranch Sauce</t>
  </si>
  <si>
    <t xml:space="preserve">Light Mayonnaise </t>
  </si>
  <si>
    <t>Garnish</t>
  </si>
  <si>
    <t>Frsh</t>
  </si>
  <si>
    <t>Saturday</t>
  </si>
  <si>
    <t>Day</t>
  </si>
  <si>
    <t>Spinach steak</t>
  </si>
  <si>
    <t>Garnish / By Tray Line</t>
  </si>
  <si>
    <t>Spinach Sauce</t>
  </si>
  <si>
    <t>White Rice</t>
  </si>
  <si>
    <t>RCP-Frsh-00002</t>
  </si>
  <si>
    <t>Misto chicken broccoli</t>
  </si>
  <si>
    <t>Garnish / Kitchen</t>
  </si>
  <si>
    <t>Broccoli Sauce</t>
  </si>
  <si>
    <t>RCP-Frsh-00003</t>
  </si>
  <si>
    <t>Grilled Chicken Ranch Salad</t>
  </si>
  <si>
    <t>RCP-Frsh-00005</t>
  </si>
  <si>
    <t>Honey Pecan Halloumi</t>
  </si>
  <si>
    <t>Sauce</t>
  </si>
  <si>
    <t>Caramelized Pecan</t>
  </si>
  <si>
    <t>Pasta Creamy Potato</t>
  </si>
  <si>
    <t>Garnish / Tray Line</t>
  </si>
  <si>
    <t xml:space="preserve">Alepo butter </t>
  </si>
  <si>
    <t xml:space="preserve">Sauce </t>
  </si>
  <si>
    <t xml:space="preserve">Caramelized onion </t>
  </si>
  <si>
    <t>Boiled mushroom</t>
  </si>
  <si>
    <t>salt</t>
  </si>
  <si>
    <t>RCP-Frsh-00008</t>
  </si>
  <si>
    <t>Chicken creamy lemon</t>
  </si>
  <si>
    <t>Garnish / Trya line</t>
  </si>
  <si>
    <t>Curry nomi Pasta</t>
  </si>
  <si>
    <t>Sunday</t>
  </si>
  <si>
    <t>Garnish  / Tray line</t>
  </si>
  <si>
    <t>Curry Sauce</t>
  </si>
  <si>
    <t>Black Lemon Steak</t>
  </si>
  <si>
    <t>Sauce: ( blend and cook)</t>
  </si>
  <si>
    <t>Musakhan chicken</t>
  </si>
  <si>
    <t>Garnish / Tray line</t>
  </si>
  <si>
    <t>For boiled Chicken</t>
  </si>
  <si>
    <t>Tahini sauce</t>
  </si>
  <si>
    <t>For Sauteed Chicken</t>
  </si>
  <si>
    <t>Philly steak mushroom / Sandwich</t>
  </si>
  <si>
    <t>To Add While Grilling the Beef</t>
  </si>
  <si>
    <t>RCP-Frsh-00009</t>
  </si>
  <si>
    <t>RCP-Frsh-00010</t>
  </si>
  <si>
    <t>RCP-Frsh-00011</t>
  </si>
  <si>
    <t>RCP-Frsh-00012</t>
  </si>
  <si>
    <t>Chicken Molokheya</t>
  </si>
  <si>
    <t>Molokeya Sauce</t>
  </si>
  <si>
    <t>Egg avocado Truffle</t>
  </si>
  <si>
    <t>Egg Avocado Mix</t>
  </si>
  <si>
    <t>Tuna truffle</t>
  </si>
  <si>
    <t xml:space="preserve">Garnish </t>
  </si>
  <si>
    <t>TUNA MIX</t>
  </si>
  <si>
    <t>Sauce TRUFFLE</t>
  </si>
  <si>
    <t>Chicken pumpkin</t>
  </si>
  <si>
    <t>Pumpkin Sauce - Cook &amp; Bland</t>
  </si>
  <si>
    <t>RCP-Frsh-00013</t>
  </si>
  <si>
    <t>RCP-Frsh-00014</t>
  </si>
  <si>
    <t>RCP-Frsh-00015</t>
  </si>
  <si>
    <t>RCP-Frsh-00016</t>
  </si>
  <si>
    <t>Monday</t>
  </si>
  <si>
    <t>Chicken creamy mint</t>
  </si>
  <si>
    <t>Rustic Ragu pasta</t>
  </si>
  <si>
    <t>Sauce: to be blend after cooked</t>
  </si>
  <si>
    <t>Chopped mix</t>
  </si>
  <si>
    <t>Italian seasoning</t>
  </si>
  <si>
    <t>RCP-Frsh-00018</t>
  </si>
  <si>
    <t>RCP-Frsh-00019</t>
  </si>
  <si>
    <t>RCP-Frsh-00020</t>
  </si>
  <si>
    <t>Egg Mashed potato</t>
  </si>
  <si>
    <t>Mashed potato</t>
  </si>
  <si>
    <t>Basil  mayo sauce</t>
  </si>
  <si>
    <t>Mix with</t>
  </si>
  <si>
    <t>Caramelized PB Honey Crunch</t>
  </si>
  <si>
    <t>Sauce / Tray line</t>
  </si>
  <si>
    <t>Garnish / Tray line From Pastry</t>
  </si>
  <si>
    <t xml:space="preserve">Caramelized pecan </t>
  </si>
  <si>
    <t>Umami truffle steak</t>
  </si>
  <si>
    <t>Tomato halloumi grilled</t>
  </si>
  <si>
    <t>Sauce Tomato chunk</t>
  </si>
  <si>
    <t xml:space="preserve"> Tomato chunk sauce</t>
  </si>
  <si>
    <t>RCP-Frsh-00021</t>
  </si>
  <si>
    <t>RCP-Frsh-00022</t>
  </si>
  <si>
    <t>RCP-Frsh-00023</t>
  </si>
  <si>
    <t>RCP-Frsh-00025</t>
  </si>
  <si>
    <t>Tuesday</t>
  </si>
  <si>
    <t>Chicken Creamy Potato</t>
  </si>
  <si>
    <t>Aromi pasta chicken</t>
  </si>
  <si>
    <t>Aromi Sauce</t>
  </si>
  <si>
    <t>Philly Steak Sandwich</t>
  </si>
  <si>
    <t>Caramelized onion</t>
  </si>
  <si>
    <t>Ranch mint</t>
  </si>
  <si>
    <t>Mushroom steak delight</t>
  </si>
  <si>
    <t>Mushroom Sauce</t>
  </si>
  <si>
    <t>Fried mushroom / Kitchen</t>
  </si>
  <si>
    <t>Egg avocado with Glazy</t>
  </si>
  <si>
    <t>Sauce Glazy sauce</t>
  </si>
  <si>
    <t>Tang orange</t>
  </si>
  <si>
    <t xml:space="preserve"> Tang mango </t>
  </si>
  <si>
    <t>Sriracha hot sauce</t>
  </si>
  <si>
    <t>RCP-Frsh-00026</t>
  </si>
  <si>
    <t>RCP-Frsh-00027</t>
  </si>
  <si>
    <t>RCP-Frsh-00028</t>
  </si>
  <si>
    <t>RCP-Frsh-00030</t>
  </si>
  <si>
    <t>RCP-Frsh-00031</t>
  </si>
  <si>
    <t>RCP-Frsh-00032</t>
  </si>
  <si>
    <t>RCP-Frsh-00033</t>
  </si>
  <si>
    <t>Wednesday</t>
  </si>
  <si>
    <t>Chicken Pumpkin</t>
  </si>
  <si>
    <t>Tuna Truffle</t>
  </si>
  <si>
    <t xml:space="preserve">Steak Mushroom Entrecoat </t>
  </si>
  <si>
    <t>Avocado Egg Pesto</t>
  </si>
  <si>
    <t>Basil mayo Sauce</t>
  </si>
  <si>
    <t xml:space="preserve"> Mix with</t>
  </si>
  <si>
    <t>Chicken Creamy Dill</t>
  </si>
  <si>
    <t>Pasta Black Lemon</t>
  </si>
  <si>
    <t>Garnish / Kitchen to Handover to Tray line</t>
  </si>
  <si>
    <t>Black Lemon Sauce: (blend and cook)</t>
  </si>
  <si>
    <t>RCP-Frsh-00034</t>
  </si>
  <si>
    <t>RCP-Frsh-00035</t>
  </si>
  <si>
    <t>RCP-Frsh-00036</t>
  </si>
  <si>
    <t>RCP-Frsh-00038</t>
  </si>
  <si>
    <t>RCP-Frsh-00039</t>
  </si>
  <si>
    <t>RCP-Frsh-00040</t>
  </si>
  <si>
    <t>RCP-Frsh-00041</t>
  </si>
  <si>
    <t>Thursday</t>
  </si>
  <si>
    <t>Juicy Beef Pasta</t>
  </si>
  <si>
    <t>Curry nomi</t>
  </si>
  <si>
    <t>Chicken Creamy Sumac</t>
  </si>
  <si>
    <t>Sauce: (blend and cook)</t>
  </si>
  <si>
    <t>Philly steak barbecue</t>
  </si>
  <si>
    <t>Sauce Topping By Tray Line</t>
  </si>
  <si>
    <t>Grilled Halloumi Salad</t>
  </si>
  <si>
    <t>Halloumi</t>
  </si>
  <si>
    <t>RCP-Frsh-00042</t>
  </si>
  <si>
    <t>RCP-Frsh-00043</t>
  </si>
  <si>
    <t>RCP-Frsh-00044</t>
  </si>
  <si>
    <t>RCP-Frsh-00045</t>
  </si>
  <si>
    <t>RCP-Frsh-00046</t>
  </si>
  <si>
    <t>RCP-Frsh-00047</t>
  </si>
  <si>
    <t>Cinnamon Stick</t>
  </si>
  <si>
    <t>DRS6-261</t>
  </si>
  <si>
    <t>DRS1-1652</t>
  </si>
  <si>
    <t>DRY1-353</t>
  </si>
  <si>
    <t>DRS6-5020</t>
  </si>
  <si>
    <t>DRS1-4954</t>
  </si>
  <si>
    <t>DRS1-4905</t>
  </si>
  <si>
    <t>DRS1-4902</t>
  </si>
  <si>
    <t>Sandwich</t>
  </si>
  <si>
    <t>Salad</t>
  </si>
  <si>
    <t>Mango Oats</t>
  </si>
  <si>
    <t>Fresh Mango</t>
  </si>
  <si>
    <t>Garnish:</t>
  </si>
  <si>
    <t>Corn flakes</t>
  </si>
  <si>
    <t>Peanut Butter Oats</t>
  </si>
  <si>
    <t>Arabian Sesame Dates balls</t>
  </si>
  <si>
    <t>Dates paste</t>
  </si>
  <si>
    <t>Coating by white sesame seed</t>
  </si>
  <si>
    <t>Chocolate Dates Balls</t>
  </si>
  <si>
    <t>Coating by chocolate powder</t>
  </si>
  <si>
    <t>Coconut Dates Balls</t>
  </si>
  <si>
    <t>Coating by coconut powder</t>
  </si>
  <si>
    <t>Cinnamon Dates Balls</t>
  </si>
  <si>
    <t>Coating by cinnamon powder</t>
  </si>
  <si>
    <t>Sauce:</t>
  </si>
  <si>
    <t>Ranch Salad</t>
  </si>
  <si>
    <t>Marinated chicken:</t>
  </si>
  <si>
    <t>Tuna Salad</t>
  </si>
  <si>
    <t>Tuna mix 200g</t>
  </si>
  <si>
    <t>Beetroot Salad</t>
  </si>
  <si>
    <t>Red Beans Salad</t>
  </si>
  <si>
    <t>Snacks</t>
  </si>
  <si>
    <t>Black Truffle sauce 150g</t>
  </si>
  <si>
    <t>Halloumi with pesto</t>
  </si>
  <si>
    <t>Mix with:</t>
  </si>
  <si>
    <t>Mix cheese</t>
  </si>
  <si>
    <t>Milk UHT low Fat(1 Liter)</t>
  </si>
  <si>
    <t>DRY2-3542</t>
  </si>
  <si>
    <t>PRV1-393</t>
  </si>
  <si>
    <t>Dates Paste</t>
  </si>
  <si>
    <t>DRS1-3480</t>
  </si>
  <si>
    <t>DRS1-1545</t>
  </si>
  <si>
    <t>Corn Flaks</t>
  </si>
  <si>
    <t>RCP-Frsh-00004</t>
  </si>
  <si>
    <t>RCP-Frsh-00007</t>
  </si>
  <si>
    <t>RCP-Frsh-00017</t>
  </si>
  <si>
    <t>RCP-Frsh-00024</t>
  </si>
  <si>
    <t>RCP-Frsh-00029</t>
  </si>
  <si>
    <t>RCP-Frsh-00037</t>
  </si>
  <si>
    <t>Sub Recipe Description</t>
  </si>
  <si>
    <t/>
  </si>
  <si>
    <t>Beef marination:</t>
  </si>
  <si>
    <t>Beef marination</t>
  </si>
  <si>
    <t>ALL DAY</t>
  </si>
  <si>
    <t>DAILY</t>
  </si>
  <si>
    <t>MON &amp; WED</t>
  </si>
  <si>
    <t>PC</t>
  </si>
  <si>
    <t>Veriable cost 10%</t>
  </si>
  <si>
    <t>Total Food Cost</t>
  </si>
  <si>
    <t>Labour Cost</t>
  </si>
  <si>
    <t>Total cost</t>
  </si>
  <si>
    <t>Section</t>
  </si>
  <si>
    <t>NET Qty req per Batch (g/pcs)</t>
  </si>
  <si>
    <t>GROSS Qty req per Batch (g/pcs)</t>
  </si>
  <si>
    <t>Yield %</t>
  </si>
  <si>
    <t>Cold Section</t>
  </si>
  <si>
    <t>Sandwiches</t>
  </si>
  <si>
    <t>Philly steak mushroom</t>
  </si>
  <si>
    <t>Days</t>
  </si>
  <si>
    <t>Recipe Code</t>
  </si>
  <si>
    <t>Grilled ranch salad</t>
  </si>
  <si>
    <t>Red beans salad</t>
  </si>
  <si>
    <t>Grilled Halloumi salad</t>
  </si>
  <si>
    <t>Snack</t>
  </si>
  <si>
    <t>Egg Mashed Potato</t>
  </si>
  <si>
    <t>Caramelized PB and honey crunch</t>
  </si>
  <si>
    <t>Rustic ragu pasta</t>
  </si>
  <si>
    <t>Umami Truffle streak</t>
  </si>
  <si>
    <t>Mix Cheese</t>
  </si>
  <si>
    <t>Chicken Creamy Mint</t>
  </si>
  <si>
    <t>Aromi Pasta Chicken</t>
  </si>
  <si>
    <t>Mushroom Steak delight</t>
  </si>
  <si>
    <t>Chicken Creamy Lemon</t>
  </si>
  <si>
    <t>Philly Steak</t>
  </si>
  <si>
    <t>Egg Avocado with Glazy</t>
  </si>
  <si>
    <t>Steak Mushroom Entercoat</t>
  </si>
  <si>
    <t>Juicy beef pasta</t>
  </si>
  <si>
    <t>Chicken creamy sumac</t>
  </si>
  <si>
    <t>Caramelized PB and Honey Crunch</t>
  </si>
  <si>
    <t>Tomato Halloumi Grilled</t>
  </si>
  <si>
    <t>Spinach Steak</t>
  </si>
  <si>
    <t>Misto Chicken Broccoli</t>
  </si>
  <si>
    <t>Avocado Egg Ranch</t>
  </si>
  <si>
    <t>Umami Truffle Steak</t>
  </si>
  <si>
    <t>Saturday, Monday</t>
  </si>
  <si>
    <t>Saturday,Tuesday</t>
  </si>
  <si>
    <t>Sunday,Wednesday</t>
  </si>
  <si>
    <t>Sunday,wednesday</t>
  </si>
  <si>
    <t>Monday,Thursday</t>
  </si>
  <si>
    <t>RCP-Frsh-00006</t>
  </si>
  <si>
    <t>Chocolate Date Balls</t>
  </si>
  <si>
    <t>Arabian Sesame Dates Balls</t>
  </si>
  <si>
    <t>Recipe Names</t>
  </si>
  <si>
    <t>Plates</t>
  </si>
  <si>
    <t>TrayLine Section</t>
  </si>
  <si>
    <t>Hot Section</t>
  </si>
  <si>
    <t>Butchery Section</t>
  </si>
  <si>
    <t>Pastry Section</t>
  </si>
  <si>
    <t>Buchery Cutting /Portion size</t>
  </si>
  <si>
    <t>Chicken Breast Butterfly - 140 g</t>
  </si>
  <si>
    <t>Chicken Breast Butterfly - 100 g</t>
  </si>
  <si>
    <t>Chicken Breast Butterfly - 15 g</t>
  </si>
  <si>
    <t>Beef Steak Tenderloin - 1 Pc -  160 g</t>
  </si>
  <si>
    <t>Very thin sliced like Shawarma - 65g</t>
  </si>
  <si>
    <t>Beef Tenderloin - Pc - 160 g</t>
  </si>
  <si>
    <t>Very thin sliced like Shawarma - 65 g</t>
  </si>
  <si>
    <t>Ground Beef - 65 g</t>
  </si>
  <si>
    <t>FRSH Daily Menu</t>
  </si>
  <si>
    <t>DRS1-3448</t>
  </si>
  <si>
    <t>Packing Cost</t>
  </si>
  <si>
    <t xml:space="preserve">Garnish-Parsley Oil </t>
  </si>
  <si>
    <t xml:space="preserve">Garnish-Fried Mushroom </t>
  </si>
  <si>
    <t>Garnish 1</t>
  </si>
  <si>
    <t>Garnish 2</t>
  </si>
  <si>
    <t>Garnish 3-Parsley oil</t>
  </si>
  <si>
    <t>Garnish 4-Fried mushroom</t>
  </si>
  <si>
    <t>Sauce: Basil mayo 190g</t>
  </si>
  <si>
    <t>Sauce:Ranch sauce 60 g</t>
  </si>
  <si>
    <t>Sauce-Ranch sauce 60g</t>
  </si>
  <si>
    <t>Recipe code</t>
  </si>
  <si>
    <t>Standard UOM</t>
  </si>
  <si>
    <t>Purchase Price  Standard 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</si>
</sst>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00000"/>
    <numFmt numFmtId="166" formatCode="_(* #,##0.0000_);_(* \(#,##0.0000\);_(* &quot;-&quot;??_);_(@_)"/>
    <numFmt numFmtId="167" formatCode="0.00000"/>
    <numFmt numFmtId="168" formatCode="#,##0.000"/>
    <numFmt numFmtId="169" formatCode="_(* #,##0_);_(* \(#,##0\);_(* &quot;-&quot;??_);_(@_)"/>
  </numFmts>
  <fonts count="37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333333"/>
      <name val="Calibri"/>
      <family val="2"/>
    </font>
    <font>
      <sz val="9"/>
      <color rgb="FF0000FF"/>
      <name val="Calibri"/>
      <family val="2"/>
    </font>
    <font>
      <b/>
      <sz val="9"/>
      <color rgb="FF1E5C30"/>
      <name val="Calibri"/>
      <family val="2"/>
    </font>
    <font>
      <sz val="9"/>
      <color rgb="FF0000FF"/>
      <name val="Calibri"/>
      <family val="2"/>
      <charset val="1"/>
    </font>
    <font>
      <b/>
      <sz val="9"/>
      <color rgb="FF0000FF"/>
      <name val="Calibri"/>
      <family val="2"/>
    </font>
    <font>
      <sz val="9"/>
      <color rgb="FF0D2137"/>
      <name val="Calibri"/>
      <family val="2"/>
    </font>
    <font>
      <sz val="9"/>
      <color rgb="FF333333"/>
      <name val="Calibri"/>
      <family val="2"/>
      <charset val="1"/>
    </font>
    <font>
      <b/>
      <sz val="9"/>
      <color rgb="FF1E5C30"/>
      <name val="Calibri"/>
      <family val="2"/>
      <charset val="1"/>
    </font>
    <font>
      <sz val="9"/>
      <color rgb="FF888888"/>
      <name val="Calibri"/>
      <family val="2"/>
      <charset val="1"/>
    </font>
    <font>
      <i/>
      <sz val="11"/>
      <color rgb="FF666666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  <charset val="1"/>
    </font>
    <font>
      <sz val="11"/>
      <color theme="1"/>
      <name val="Aptos Light"/>
      <family val="2"/>
    </font>
    <font>
      <b/>
      <sz val="24"/>
      <color rgb="FFC00000"/>
      <name val="Aptos Light"/>
      <family val="2"/>
    </font>
    <font>
      <b/>
      <sz val="11"/>
      <color rgb="FFC00000"/>
      <name val="Aptos Light"/>
      <family val="2"/>
    </font>
    <font>
      <sz val="11"/>
      <name val="Aptos Light"/>
      <family val="2"/>
    </font>
    <font>
      <sz val="11"/>
      <color rgb="FF000000"/>
      <name val="Aptos Light"/>
      <family val="2"/>
    </font>
    <font>
      <sz val="8.5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1"/>
      <name val="Helvetica Neue"/>
    </font>
    <font>
      <b/>
      <sz val="11"/>
      <color rgb="FF000000"/>
      <name val="Arial"/>
      <family val="2"/>
    </font>
    <font>
      <sz val="11"/>
      <color theme="1"/>
      <name val="Helvetica Neue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8.5"/>
      <color rgb="FFFF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E8F0FB"/>
        <bgColor rgb="FFF2F4F7"/>
      </patternFill>
    </fill>
    <fill>
      <patternFill patternType="solid">
        <fgColor rgb="FFFFFFFF"/>
        <bgColor rgb="FFF2F4F7"/>
      </patternFill>
    </fill>
    <fill>
      <patternFill patternType="solid">
        <fgColor rgb="FF1F4E78"/>
      </patternFill>
    </fill>
    <fill>
      <patternFill patternType="solid">
        <fgColor rgb="FF1B4F8A"/>
        <bgColor rgb="FF1A6E6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808080"/>
      </patternFill>
    </fill>
  </fills>
  <borders count="1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medium">
        <color rgb="FF888888"/>
      </left>
      <right/>
      <top/>
      <bottom style="thin">
        <color rgb="FFBBBBBB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8">
    <xf numFmtId="0" fontId="0" fillId="0" borderId="0"/>
    <xf numFmtId="9" fontId="4" fillId="0" borderId="0"/>
    <xf numFmtId="0" fontId="3" fillId="0" borderId="0"/>
    <xf numFmtId="0" fontId="3" fillId="0" borderId="0"/>
    <xf numFmtId="0" fontId="3" fillId="0" borderId="0"/>
    <xf numFmtId="43" fontId="3" fillId="0" borderId="0"/>
    <xf numFmtId="43" fontId="4" fillId="0" borderId="0"/>
    <xf numFmtId="0" fontId="1" fillId="0" borderId="0"/>
  </cellStyleXfs>
  <cellXfs count="134">
    <xf numFmtId="0" fontId="0" fillId="0" borderId="0" xfId="0"/>
    <xf numFmtId="0" fontId="3" fillId="0" borderId="0" xfId="2"/>
    <xf numFmtId="9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9" fontId="6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9" fontId="12" fillId="3" borderId="1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9" fontId="12" fillId="4" borderId="1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5" fillId="0" borderId="0" xfId="2" applyFont="1"/>
    <xf numFmtId="0" fontId="2" fillId="0" borderId="0" xfId="3" applyFont="1"/>
    <xf numFmtId="0" fontId="5" fillId="6" borderId="1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/>
    </xf>
    <xf numFmtId="0" fontId="15" fillId="0" borderId="0" xfId="3" applyFont="1"/>
    <xf numFmtId="0" fontId="18" fillId="7" borderId="0" xfId="4" applyFont="1" applyFill="1"/>
    <xf numFmtId="0" fontId="18" fillId="7" borderId="0" xfId="4" applyFont="1" applyFill="1" applyProtection="1">
      <protection locked="0"/>
    </xf>
    <xf numFmtId="0" fontId="20" fillId="7" borderId="7" xfId="4" applyFont="1" applyFill="1" applyBorder="1" applyAlignment="1">
      <alignment wrapText="1"/>
    </xf>
    <xf numFmtId="0" fontId="20" fillId="7" borderId="8" xfId="4" applyFont="1" applyFill="1" applyBorder="1" applyAlignment="1">
      <alignment wrapText="1"/>
    </xf>
    <xf numFmtId="165" fontId="20" fillId="7" borderId="8" xfId="4" applyNumberFormat="1" applyFont="1" applyFill="1" applyBorder="1" applyAlignment="1">
      <alignment wrapText="1"/>
    </xf>
    <xf numFmtId="0" fontId="20" fillId="7" borderId="9" xfId="4" applyFont="1" applyFill="1" applyBorder="1" applyAlignment="1">
      <alignment wrapText="1"/>
    </xf>
    <xf numFmtId="0" fontId="18" fillId="7" borderId="10" xfId="4" applyFont="1" applyFill="1" applyBorder="1" applyAlignment="1">
      <alignment wrapText="1"/>
    </xf>
    <xf numFmtId="0" fontId="18" fillId="7" borderId="11" xfId="4" applyFont="1" applyFill="1" applyBorder="1" applyAlignment="1">
      <alignment wrapText="1"/>
    </xf>
    <xf numFmtId="165" fontId="18" fillId="7" borderId="11" xfId="4" applyNumberFormat="1" applyFont="1" applyFill="1" applyBorder="1" applyAlignment="1">
      <alignment wrapText="1"/>
    </xf>
    <xf numFmtId="0" fontId="18" fillId="7" borderId="12" xfId="4" applyFont="1" applyFill="1" applyBorder="1" applyAlignment="1">
      <alignment wrapText="1"/>
    </xf>
    <xf numFmtId="0" fontId="18" fillId="7" borderId="13" xfId="4" applyFont="1" applyFill="1" applyBorder="1" applyAlignment="1">
      <alignment wrapText="1"/>
    </xf>
    <xf numFmtId="0" fontId="18" fillId="7" borderId="14" xfId="4" applyFont="1" applyFill="1" applyBorder="1" applyAlignment="1">
      <alignment wrapText="1"/>
    </xf>
    <xf numFmtId="165" fontId="18" fillId="7" borderId="14" xfId="4" applyNumberFormat="1" applyFont="1" applyFill="1" applyBorder="1" applyAlignment="1">
      <alignment wrapText="1"/>
    </xf>
    <xf numFmtId="0" fontId="18" fillId="7" borderId="15" xfId="4" applyFont="1" applyFill="1" applyBorder="1" applyAlignment="1">
      <alignment wrapText="1"/>
    </xf>
    <xf numFmtId="166" fontId="21" fillId="7" borderId="14" xfId="5" applyNumberFormat="1" applyFont="1" applyFill="1" applyBorder="1" applyAlignment="1">
      <alignment horizontal="center" vertical="center" wrapText="1"/>
    </xf>
    <xf numFmtId="0" fontId="18" fillId="7" borderId="14" xfId="4" applyFont="1" applyFill="1" applyBorder="1"/>
    <xf numFmtId="0" fontId="18" fillId="7" borderId="15" xfId="4" applyFont="1" applyFill="1" applyBorder="1"/>
    <xf numFmtId="0" fontId="21" fillId="7" borderId="13" xfId="4" applyFont="1" applyFill="1" applyBorder="1"/>
    <xf numFmtId="0" fontId="21" fillId="7" borderId="14" xfId="4" applyFont="1" applyFill="1" applyBorder="1"/>
    <xf numFmtId="0" fontId="22" fillId="7" borderId="13" xfId="4" applyFont="1" applyFill="1" applyBorder="1" applyAlignment="1">
      <alignment wrapText="1"/>
    </xf>
    <xf numFmtId="0" fontId="22" fillId="7" borderId="14" xfId="4" applyFont="1" applyFill="1" applyBorder="1" applyAlignment="1">
      <alignment wrapText="1"/>
    </xf>
    <xf numFmtId="0" fontId="21" fillId="7" borderId="14" xfId="4" applyFont="1" applyFill="1" applyBorder="1" applyAlignment="1">
      <alignment wrapText="1"/>
    </xf>
    <xf numFmtId="0" fontId="18" fillId="7" borderId="0" xfId="4" applyFont="1" applyFill="1" applyAlignment="1">
      <alignment wrapText="1"/>
    </xf>
    <xf numFmtId="165" fontId="18" fillId="7" borderId="0" xfId="4" applyNumberFormat="1" applyFont="1" applyFill="1" applyAlignment="1">
      <alignment wrapText="1"/>
    </xf>
    <xf numFmtId="0" fontId="20" fillId="7" borderId="0" xfId="4" applyFont="1" applyFill="1" applyProtection="1">
      <protection locked="0"/>
    </xf>
    <xf numFmtId="165" fontId="18" fillId="7" borderId="0" xfId="4" applyNumberFormat="1" applyFont="1" applyFill="1" applyProtection="1">
      <protection locked="0"/>
    </xf>
    <xf numFmtId="0" fontId="16" fillId="5" borderId="0" xfId="2" applyFont="1" applyFill="1"/>
    <xf numFmtId="43" fontId="12" fillId="3" borderId="1" xfId="6" applyFont="1" applyFill="1" applyBorder="1" applyAlignment="1">
      <alignment horizontal="center" vertical="center"/>
    </xf>
    <xf numFmtId="43" fontId="12" fillId="4" borderId="1" xfId="6" applyFont="1" applyFill="1" applyBorder="1" applyAlignment="1">
      <alignment horizontal="center" vertical="center"/>
    </xf>
    <xf numFmtId="43" fontId="12" fillId="0" borderId="1" xfId="6" applyFont="1" applyBorder="1" applyAlignment="1">
      <alignment horizontal="center" vertical="center"/>
    </xf>
    <xf numFmtId="43" fontId="6" fillId="0" borderId="1" xfId="6" applyFont="1" applyBorder="1" applyAlignment="1">
      <alignment horizontal="center" vertical="center"/>
    </xf>
    <xf numFmtId="43" fontId="11" fillId="0" borderId="2" xfId="6" applyFont="1" applyBorder="1" applyAlignment="1">
      <alignment horizontal="center" vertical="center"/>
    </xf>
    <xf numFmtId="9" fontId="9" fillId="3" borderId="1" xfId="1" applyFont="1" applyFill="1" applyBorder="1" applyAlignment="1">
      <alignment horizontal="center" vertical="center"/>
    </xf>
    <xf numFmtId="9" fontId="9" fillId="4" borderId="1" xfId="1" applyFont="1" applyFill="1" applyBorder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/>
    </xf>
    <xf numFmtId="168" fontId="7" fillId="3" borderId="1" xfId="0" applyNumberFormat="1" applyFont="1" applyFill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0" fontId="16" fillId="5" borderId="0" xfId="3" applyFont="1" applyFill="1"/>
    <xf numFmtId="165" fontId="18" fillId="8" borderId="14" xfId="4" applyNumberFormat="1" applyFont="1" applyFill="1" applyBorder="1" applyAlignment="1">
      <alignment wrapText="1"/>
    </xf>
    <xf numFmtId="0" fontId="16" fillId="5" borderId="0" xfId="3" applyFont="1" applyFill="1" applyAlignment="1">
      <alignment horizontal="left"/>
    </xf>
    <xf numFmtId="0" fontId="2" fillId="0" borderId="0" xfId="3" applyFont="1" applyAlignment="1">
      <alignment horizontal="left"/>
    </xf>
    <xf numFmtId="0" fontId="17" fillId="6" borderId="3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16" fillId="5" borderId="0" xfId="3" applyFont="1" applyFill="1" applyAlignment="1">
      <alignment horizontal="center"/>
    </xf>
    <xf numFmtId="0" fontId="2" fillId="0" borderId="0" xfId="3" applyFont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24" fillId="0" borderId="0" xfId="3" applyFont="1"/>
    <xf numFmtId="0" fontId="17" fillId="6" borderId="0" xfId="0" applyFont="1" applyFill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167" fontId="23" fillId="4" borderId="17" xfId="0" applyNumberFormat="1" applyFont="1" applyFill="1" applyBorder="1" applyAlignment="1">
      <alignment horizontal="center" vertical="center"/>
    </xf>
    <xf numFmtId="167" fontId="23" fillId="0" borderId="17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2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indent="1"/>
    </xf>
    <xf numFmtId="166" fontId="28" fillId="0" borderId="0" xfId="6" applyNumberFormat="1" applyFont="1"/>
    <xf numFmtId="169" fontId="28" fillId="0" borderId="0" xfId="6" applyNumberFormat="1" applyFont="1"/>
    <xf numFmtId="0" fontId="29" fillId="0" borderId="0" xfId="7" applyFont="1"/>
    <xf numFmtId="0" fontId="1" fillId="0" borderId="0" xfId="7"/>
    <xf numFmtId="0" fontId="30" fillId="0" borderId="0" xfId="7" applyFont="1" applyAlignment="1">
      <alignment vertical="center"/>
    </xf>
    <xf numFmtId="0" fontId="27" fillId="0" borderId="0" xfId="7" applyFont="1"/>
    <xf numFmtId="0" fontId="30" fillId="0" borderId="17" xfId="7" applyFont="1" applyBorder="1"/>
    <xf numFmtId="0" fontId="30" fillId="0" borderId="17" xfId="7" applyFont="1" applyBorder="1" applyAlignment="1">
      <alignment vertical="center"/>
    </xf>
    <xf numFmtId="0" fontId="33" fillId="0" borderId="17" xfId="7" applyFont="1" applyBorder="1" applyAlignment="1">
      <alignment vertical="center"/>
    </xf>
    <xf numFmtId="0" fontId="31" fillId="0" borderId="0" xfId="7" applyFont="1" applyAlignment="1">
      <alignment horizontal="center" vertical="center"/>
    </xf>
    <xf numFmtId="0" fontId="32" fillId="9" borderId="17" xfId="7" applyFont="1" applyFill="1" applyBorder="1" applyAlignment="1">
      <alignment horizontal="center" vertical="center"/>
    </xf>
    <xf numFmtId="0" fontId="1" fillId="0" borderId="17" xfId="7" applyBorder="1"/>
    <xf numFmtId="0" fontId="34" fillId="4" borderId="17" xfId="0" applyFont="1" applyFill="1" applyBorder="1" applyAlignment="1">
      <alignment vertical="center"/>
    </xf>
    <xf numFmtId="0" fontId="34" fillId="0" borderId="17" xfId="0" applyFont="1" applyBorder="1"/>
    <xf numFmtId="0" fontId="34" fillId="4" borderId="17" xfId="0" applyFont="1" applyFill="1" applyBorder="1" applyAlignment="1">
      <alignment horizontal="left" vertical="center" indent="1"/>
    </xf>
    <xf numFmtId="0" fontId="34" fillId="0" borderId="17" xfId="3" applyFont="1" applyBorder="1"/>
    <xf numFmtId="0" fontId="35" fillId="0" borderId="17" xfId="3" applyFont="1" applyBorder="1"/>
    <xf numFmtId="0" fontId="5" fillId="6" borderId="18" xfId="0" applyFont="1" applyFill="1" applyBorder="1" applyAlignment="1">
      <alignment horizontal="center" vertical="center" wrapText="1"/>
    </xf>
    <xf numFmtId="0" fontId="24" fillId="0" borderId="17" xfId="0" applyFont="1" applyBorder="1"/>
    <xf numFmtId="0" fontId="2" fillId="0" borderId="17" xfId="3" applyFont="1" applyBorder="1"/>
    <xf numFmtId="0" fontId="24" fillId="0" borderId="17" xfId="3" applyFont="1" applyBorder="1"/>
    <xf numFmtId="0" fontId="25" fillId="0" borderId="17" xfId="3" applyFont="1" applyBorder="1"/>
    <xf numFmtId="0" fontId="26" fillId="0" borderId="17" xfId="3" applyFont="1" applyBorder="1"/>
    <xf numFmtId="0" fontId="2" fillId="8" borderId="0" xfId="3" applyFont="1" applyFill="1"/>
    <xf numFmtId="0" fontId="34" fillId="0" borderId="17" xfId="0" applyFont="1" applyBorder="1" applyAlignment="1">
      <alignment vertical="center"/>
    </xf>
    <xf numFmtId="0" fontId="34" fillId="0" borderId="17" xfId="0" applyFont="1" applyBorder="1" applyAlignment="1">
      <alignment horizontal="left" vertical="center" indent="1"/>
    </xf>
    <xf numFmtId="0" fontId="23" fillId="0" borderId="17" xfId="0" applyFont="1" applyBorder="1" applyAlignment="1">
      <alignment horizontal="left" vertical="center" indent="1"/>
    </xf>
    <xf numFmtId="0" fontId="1" fillId="0" borderId="17" xfId="3" applyFont="1" applyBorder="1"/>
    <xf numFmtId="0" fontId="19" fillId="7" borderId="16" xfId="4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2" fontId="36" fillId="0" borderId="1" xfId="0" applyNumberFormat="1" applyFont="1" applyBorder="1" applyAlignment="1">
      <alignment horizontal="center" vertical="center"/>
    </xf>
  </cellXfs>
  <cellStyles count="8">
    <cellStyle name="Comma" xfId="6" builtinId="3"/>
    <cellStyle name="Comma 2" xfId="5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7" xr:uid="{CA900BB2-1308-4C05-90C8-07F89DD7DE9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400051</xdr:colOff>
      <xdr:row>0</xdr:row>
      <xdr:rowOff>76200</xdr:rowOff>
    </xdr:from>
    <xdr:to>
      <xdr:col>0</xdr:col>
      <xdr:colOff>1436270</xdr:colOff>
      <xdr:row>0</xdr:row>
      <xdr:rowOff>1076325</xdr:rowOff>
    </xdr:to>
    <xdr:pic>
      <xdr:nvPicPr>
        <xdr:cNvPr id="2" name="صورة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1" y="76200"/>
          <a:ext cx="1036219" cy="10001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8088-885F-4469-A9BA-13081E68BD0C}">
  <dimension ref="A2:D895"/>
  <sheetViews>
    <sheetView workbookViewId="0">
      <selection activeCell="E20" sqref="E20"/>
    </sheetView>
  </sheetViews>
  <sheetFormatPr defaultColWidth="14.41796875" defaultRowHeight="14.4"/>
  <cols>
    <col min="1" max="1" width="10.83984375" style="105" customWidth="1"/>
    <col min="2" max="2" width="14.41796875" style="105"/>
    <col min="3" max="3" width="49.5234375" style="105" customWidth="1"/>
    <col min="4" max="4" width="14.3125" style="105" customWidth="1"/>
    <col min="5" max="21" width="9.83984375" style="105" customWidth="1"/>
    <col min="22" max="16384" width="14.41796875" style="105"/>
  </cols>
  <sheetData>
    <row r="2" spans="1:4" ht="20.399999999999999">
      <c r="A2" s="104" t="s">
        <v>1682</v>
      </c>
    </row>
    <row r="3" spans="1:4" ht="14.25" customHeight="1">
      <c r="C3" s="106"/>
    </row>
    <row r="4" spans="1:4" ht="15" customHeight="1">
      <c r="C4" s="111"/>
    </row>
    <row r="5" spans="1:4" s="107" customFormat="1" ht="15" customHeight="1">
      <c r="A5" s="112" t="s">
        <v>1633</v>
      </c>
      <c r="B5" s="112" t="s">
        <v>1634</v>
      </c>
      <c r="C5" s="112" t="s">
        <v>1667</v>
      </c>
      <c r="D5" s="112" t="s">
        <v>69</v>
      </c>
    </row>
    <row r="6" spans="1:4" ht="16.5" customHeight="1">
      <c r="A6" s="113" t="s">
        <v>1455</v>
      </c>
      <c r="B6" s="113" t="str">
        <f>'Master Recipes'!A10</f>
        <v>RCP-Frsh-00007</v>
      </c>
      <c r="C6" s="110" t="s">
        <v>1454</v>
      </c>
      <c r="D6" s="113" t="s">
        <v>1668</v>
      </c>
    </row>
    <row r="7" spans="1:4" ht="14.25" customHeight="1">
      <c r="A7" s="113" t="s">
        <v>1455</v>
      </c>
      <c r="B7" s="113" t="str">
        <f>'Master Recipes'!A14</f>
        <v>RCP-Frsh-00011</v>
      </c>
      <c r="C7" s="108" t="s">
        <v>1471</v>
      </c>
      <c r="D7" s="113" t="s">
        <v>1668</v>
      </c>
    </row>
    <row r="8" spans="1:4" ht="14.25" customHeight="1">
      <c r="A8" s="113" t="s">
        <v>1455</v>
      </c>
      <c r="B8" s="113" t="str">
        <f>'Master Recipes'!A15</f>
        <v>RCP-Frsh-00012</v>
      </c>
      <c r="C8" s="110" t="s">
        <v>1473</v>
      </c>
      <c r="D8" s="113" t="s">
        <v>1573</v>
      </c>
    </row>
    <row r="9" spans="1:4" ht="14.25" customHeight="1">
      <c r="A9" s="113" t="s">
        <v>1455</v>
      </c>
      <c r="B9" s="113" t="str">
        <f>'Master Recipes'!A11</f>
        <v>RCP-Frsh-00008</v>
      </c>
      <c r="C9" s="110" t="s">
        <v>1458</v>
      </c>
      <c r="D9" s="113" t="s">
        <v>1668</v>
      </c>
    </row>
    <row r="10" spans="1:4" ht="14.25" customHeight="1">
      <c r="A10" s="113" t="s">
        <v>1455</v>
      </c>
      <c r="B10" s="113" t="str">
        <f>'Master Recipes'!A16</f>
        <v>RCP-Frsh-00013</v>
      </c>
      <c r="C10" s="108" t="s">
        <v>1475</v>
      </c>
      <c r="D10" s="113" t="s">
        <v>1573</v>
      </c>
    </row>
    <row r="11" spans="1:4" ht="15" customHeight="1">
      <c r="A11" s="113" t="s">
        <v>1455</v>
      </c>
      <c r="B11" s="113" t="str">
        <f>'Master Recipes'!A17</f>
        <v>RCP-Frsh-00014</v>
      </c>
      <c r="C11" s="108" t="s">
        <v>1479</v>
      </c>
      <c r="D11" s="113" t="s">
        <v>1668</v>
      </c>
    </row>
    <row r="12" spans="1:4" ht="15" customHeight="1">
      <c r="A12" s="113" t="s">
        <v>1455</v>
      </c>
      <c r="B12" s="113" t="str">
        <f>'Master Recipes'!A13</f>
        <v>RCP-Frsh-00010</v>
      </c>
      <c r="C12" s="108" t="s">
        <v>1465</v>
      </c>
      <c r="D12" s="113" t="s">
        <v>1573</v>
      </c>
    </row>
    <row r="13" spans="1:4" ht="15" customHeight="1">
      <c r="A13" s="113" t="s">
        <v>1455</v>
      </c>
      <c r="B13" s="113" t="str">
        <f>'Master Recipes'!A12</f>
        <v>RCP-Frsh-00009</v>
      </c>
      <c r="C13" s="108" t="s">
        <v>1460</v>
      </c>
      <c r="D13" s="113" t="s">
        <v>1668</v>
      </c>
    </row>
    <row r="14" spans="1:4" ht="15" customHeight="1">
      <c r="A14" s="113" t="s">
        <v>1455</v>
      </c>
      <c r="B14" s="113" t="str">
        <f>'Master Recipes'!A46</f>
        <v>RCP-Frsh-00042</v>
      </c>
      <c r="C14" s="109" t="s">
        <v>1590</v>
      </c>
      <c r="D14" s="113" t="s">
        <v>1574</v>
      </c>
    </row>
    <row r="15" spans="1:4" ht="15" customHeight="1">
      <c r="A15" s="113" t="s">
        <v>1455</v>
      </c>
      <c r="B15" s="113" t="str">
        <f>'Master Recipes'!A48</f>
        <v>RCP-Frsh-00044</v>
      </c>
      <c r="C15" s="109" t="s">
        <v>1592</v>
      </c>
      <c r="D15" s="113" t="s">
        <v>1574</v>
      </c>
    </row>
    <row r="16" spans="1:4" ht="15" customHeight="1">
      <c r="A16" s="113" t="s">
        <v>1455</v>
      </c>
      <c r="B16" s="113" t="str">
        <f>'Master Recipes'!A49</f>
        <v>RCP-Frsh-00045</v>
      </c>
      <c r="C16" s="109" t="s">
        <v>1594</v>
      </c>
      <c r="D16" s="113" t="s">
        <v>1574</v>
      </c>
    </row>
    <row r="17" spans="1:4" ht="15" customHeight="1">
      <c r="A17" s="113" t="s">
        <v>1455</v>
      </c>
      <c r="B17" s="113" t="str">
        <f>'Master Recipes'!A47</f>
        <v>RCP-Frsh-00043</v>
      </c>
      <c r="C17" s="109" t="s">
        <v>1635</v>
      </c>
      <c r="D17" s="113" t="s">
        <v>1574</v>
      </c>
    </row>
    <row r="18" spans="1:4" ht="15" customHeight="1">
      <c r="A18" s="113" t="s">
        <v>1455</v>
      </c>
      <c r="B18" s="113" t="str">
        <f>'Master Recipes'!A50</f>
        <v>RCP-Frsh-00046</v>
      </c>
      <c r="C18" s="109" t="s">
        <v>1636</v>
      </c>
      <c r="D18" s="113" t="s">
        <v>1574</v>
      </c>
    </row>
    <row r="19" spans="1:4" ht="15" customHeight="1">
      <c r="A19" s="113" t="s">
        <v>1455</v>
      </c>
      <c r="B19" s="113" t="str">
        <f>'Master Recipes'!A45</f>
        <v>RCP-Frsh-00041</v>
      </c>
      <c r="C19" s="109" t="s">
        <v>1637</v>
      </c>
      <c r="D19" s="113" t="s">
        <v>1574</v>
      </c>
    </row>
    <row r="20" spans="1:4" ht="14.25" customHeight="1">
      <c r="A20" s="113" t="s">
        <v>1455</v>
      </c>
      <c r="B20" s="113" t="str">
        <f>'Master Recipes'!A39</f>
        <v>RCP-Frsh-00047</v>
      </c>
      <c r="C20" s="109" t="s">
        <v>1575</v>
      </c>
      <c r="D20" s="113" t="s">
        <v>1638</v>
      </c>
    </row>
    <row r="21" spans="1:4" ht="14.25" customHeight="1">
      <c r="A21" s="113" t="s">
        <v>1455</v>
      </c>
      <c r="B21" s="113" t="str">
        <f>'Master Recipes'!A43</f>
        <v>RCP-Frsh-00039</v>
      </c>
      <c r="C21" s="109" t="s">
        <v>1585</v>
      </c>
      <c r="D21" s="113" t="s">
        <v>1638</v>
      </c>
    </row>
    <row r="22" spans="1:4" ht="14.25" customHeight="1">
      <c r="A22" s="113" t="s">
        <v>1455</v>
      </c>
      <c r="B22" s="113" t="str">
        <f>'Master Recipes'!A44</f>
        <v>RCP-Frsh-00040</v>
      </c>
      <c r="C22" s="109" t="s">
        <v>1587</v>
      </c>
      <c r="D22" s="113" t="s">
        <v>1638</v>
      </c>
    </row>
    <row r="23" spans="1:4" ht="14.25" customHeight="1">
      <c r="A23" s="113" t="s">
        <v>1455</v>
      </c>
      <c r="B23" s="113" t="str">
        <f>'Master Recipes'!A40</f>
        <v>RCP-Frsh-00036</v>
      </c>
      <c r="C23" s="109" t="s">
        <v>1579</v>
      </c>
      <c r="D23" s="113" t="s">
        <v>1638</v>
      </c>
    </row>
    <row r="24" spans="1:4" ht="14.25" customHeight="1">
      <c r="A24" s="113" t="s">
        <v>1455</v>
      </c>
      <c r="B24" s="113" t="str">
        <f>'Master Recipes'!A41</f>
        <v>RCP-Frsh-00037</v>
      </c>
      <c r="C24" s="109" t="s">
        <v>1666</v>
      </c>
      <c r="D24" s="113" t="s">
        <v>1638</v>
      </c>
    </row>
    <row r="25" spans="1:4" ht="14.25" customHeight="1">
      <c r="A25" s="113" t="s">
        <v>1455</v>
      </c>
      <c r="B25" s="113" t="str">
        <f>'Master Recipes'!A42</f>
        <v>RCP-Frsh-00038</v>
      </c>
      <c r="C25" s="109" t="s">
        <v>1665</v>
      </c>
      <c r="D25" s="113" t="s">
        <v>1638</v>
      </c>
    </row>
    <row r="26" spans="1:4" ht="15" customHeight="1">
      <c r="A26" s="113" t="s">
        <v>1485</v>
      </c>
      <c r="B26" s="113" t="str">
        <f>'Master Recipes'!A20</f>
        <v>RCP-Frsh-00017</v>
      </c>
      <c r="C26" s="108" t="s">
        <v>1639</v>
      </c>
      <c r="D26" s="113" t="s">
        <v>1668</v>
      </c>
    </row>
    <row r="27" spans="1:4" ht="15" customHeight="1">
      <c r="A27" s="113" t="s">
        <v>1485</v>
      </c>
      <c r="B27" s="113" t="str">
        <f>'Master Recipes'!A21</f>
        <v>RCP-Frsh-00018</v>
      </c>
      <c r="C27" s="109" t="s">
        <v>1640</v>
      </c>
      <c r="D27" s="113" t="s">
        <v>1573</v>
      </c>
    </row>
    <row r="28" spans="1:4" ht="15" customHeight="1">
      <c r="A28" s="113" t="s">
        <v>1485</v>
      </c>
      <c r="B28" s="113" t="str">
        <f>'Master Recipes'!A19</f>
        <v>RCP-Frsh-00016</v>
      </c>
      <c r="C28" s="109" t="s">
        <v>1641</v>
      </c>
      <c r="D28" s="113" t="s">
        <v>1668</v>
      </c>
    </row>
    <row r="29" spans="1:4" ht="15" customHeight="1">
      <c r="A29" s="113" t="s">
        <v>1485</v>
      </c>
      <c r="B29" s="113" t="str">
        <f>'Master Recipes'!A6</f>
        <v>RCP-Frsh-00003</v>
      </c>
      <c r="C29" s="110" t="s">
        <v>1435</v>
      </c>
      <c r="D29" s="113" t="s">
        <v>1668</v>
      </c>
    </row>
    <row r="30" spans="1:4" ht="14.25" customHeight="1">
      <c r="A30" s="113" t="s">
        <v>1485</v>
      </c>
      <c r="B30" s="113" t="str">
        <f>'Master Recipes'!A22</f>
        <v>RCP-Frsh-00019</v>
      </c>
      <c r="C30" s="109" t="s">
        <v>1642</v>
      </c>
      <c r="D30" s="113" t="s">
        <v>1573</v>
      </c>
    </row>
    <row r="31" spans="1:4" ht="14.25" customHeight="1">
      <c r="A31" s="113" t="s">
        <v>1485</v>
      </c>
      <c r="B31" s="113" t="str">
        <f>'Master Recipes'!A38</f>
        <v>RCP-Frsh-00035</v>
      </c>
      <c r="C31" s="110" t="s">
        <v>1643</v>
      </c>
      <c r="D31" s="113" t="s">
        <v>1573</v>
      </c>
    </row>
    <row r="32" spans="1:4" ht="14.25" customHeight="1">
      <c r="A32" s="113" t="s">
        <v>1485</v>
      </c>
      <c r="B32" s="113" t="str">
        <f>'Master Recipes'!A23</f>
        <v>RCP-Frsh-00020</v>
      </c>
      <c r="C32" s="108" t="s">
        <v>1503</v>
      </c>
      <c r="D32" s="113" t="s">
        <v>1573</v>
      </c>
    </row>
    <row r="33" spans="1:4" ht="14.25" customHeight="1">
      <c r="A33" s="113" t="s">
        <v>1485</v>
      </c>
      <c r="B33" s="113" t="str">
        <f>'Master Recipes'!A18</f>
        <v>RCP-Frsh-00015</v>
      </c>
      <c r="C33" s="108" t="s">
        <v>1644</v>
      </c>
      <c r="D33" s="113" t="s">
        <v>1668</v>
      </c>
    </row>
    <row r="34" spans="1:4" ht="14.25" customHeight="1">
      <c r="A34" s="113" t="s">
        <v>1485</v>
      </c>
      <c r="B34" s="113" t="str">
        <f t="shared" ref="B34:B45" si="0">B14</f>
        <v>RCP-Frsh-00042</v>
      </c>
      <c r="C34" s="109" t="s">
        <v>1590</v>
      </c>
      <c r="D34" s="113" t="s">
        <v>1574</v>
      </c>
    </row>
    <row r="35" spans="1:4" ht="14.25" customHeight="1">
      <c r="A35" s="113" t="s">
        <v>1485</v>
      </c>
      <c r="B35" s="113" t="str">
        <f t="shared" si="0"/>
        <v>RCP-Frsh-00044</v>
      </c>
      <c r="C35" s="109" t="s">
        <v>1592</v>
      </c>
      <c r="D35" s="113" t="s">
        <v>1574</v>
      </c>
    </row>
    <row r="36" spans="1:4" ht="14.25" customHeight="1">
      <c r="A36" s="113" t="s">
        <v>1485</v>
      </c>
      <c r="B36" s="113" t="str">
        <f t="shared" si="0"/>
        <v>RCP-Frsh-00045</v>
      </c>
      <c r="C36" s="109" t="s">
        <v>1594</v>
      </c>
      <c r="D36" s="113" t="s">
        <v>1574</v>
      </c>
    </row>
    <row r="37" spans="1:4" ht="14.25" customHeight="1">
      <c r="A37" s="113" t="s">
        <v>1485</v>
      </c>
      <c r="B37" s="113" t="str">
        <f t="shared" si="0"/>
        <v>RCP-Frsh-00043</v>
      </c>
      <c r="C37" s="109" t="s">
        <v>1635</v>
      </c>
      <c r="D37" s="113" t="s">
        <v>1574</v>
      </c>
    </row>
    <row r="38" spans="1:4" ht="14.25" customHeight="1">
      <c r="A38" s="113" t="s">
        <v>1485</v>
      </c>
      <c r="B38" s="113" t="str">
        <f t="shared" si="0"/>
        <v>RCP-Frsh-00046</v>
      </c>
      <c r="C38" s="109" t="s">
        <v>1636</v>
      </c>
      <c r="D38" s="113" t="s">
        <v>1574</v>
      </c>
    </row>
    <row r="39" spans="1:4" ht="14.25" customHeight="1">
      <c r="A39" s="113" t="s">
        <v>1485</v>
      </c>
      <c r="B39" s="113" t="str">
        <f t="shared" si="0"/>
        <v>RCP-Frsh-00041</v>
      </c>
      <c r="C39" s="109" t="s">
        <v>1637</v>
      </c>
      <c r="D39" s="113" t="s">
        <v>1574</v>
      </c>
    </row>
    <row r="40" spans="1:4" ht="14.25" customHeight="1">
      <c r="A40" s="113" t="s">
        <v>1485</v>
      </c>
      <c r="B40" s="113" t="str">
        <f t="shared" si="0"/>
        <v>RCP-Frsh-00047</v>
      </c>
      <c r="C40" s="109" t="s">
        <v>1575</v>
      </c>
      <c r="D40" s="113" t="s">
        <v>1638</v>
      </c>
    </row>
    <row r="41" spans="1:4" ht="14.25" customHeight="1">
      <c r="A41" s="113" t="s">
        <v>1485</v>
      </c>
      <c r="B41" s="113" t="str">
        <f t="shared" si="0"/>
        <v>RCP-Frsh-00039</v>
      </c>
      <c r="C41" s="109" t="s">
        <v>1585</v>
      </c>
      <c r="D41" s="113" t="s">
        <v>1638</v>
      </c>
    </row>
    <row r="42" spans="1:4" ht="14.25" customHeight="1">
      <c r="A42" s="113" t="s">
        <v>1485</v>
      </c>
      <c r="B42" s="113" t="str">
        <f t="shared" si="0"/>
        <v>RCP-Frsh-00040</v>
      </c>
      <c r="C42" s="109" t="s">
        <v>1587</v>
      </c>
      <c r="D42" s="113" t="s">
        <v>1638</v>
      </c>
    </row>
    <row r="43" spans="1:4" ht="14.25" customHeight="1">
      <c r="A43" s="113" t="s">
        <v>1485</v>
      </c>
      <c r="B43" s="113" t="str">
        <f t="shared" si="0"/>
        <v>RCP-Frsh-00036</v>
      </c>
      <c r="C43" s="109" t="s">
        <v>1579</v>
      </c>
      <c r="D43" s="113" t="s">
        <v>1638</v>
      </c>
    </row>
    <row r="44" spans="1:4" ht="14.25" customHeight="1">
      <c r="A44" s="113" t="s">
        <v>1485</v>
      </c>
      <c r="B44" s="113" t="str">
        <f t="shared" si="0"/>
        <v>RCP-Frsh-00037</v>
      </c>
      <c r="C44" s="109" t="s">
        <v>1666</v>
      </c>
      <c r="D44" s="113" t="s">
        <v>1638</v>
      </c>
    </row>
    <row r="45" spans="1:4" ht="14.25" customHeight="1">
      <c r="A45" s="113" t="s">
        <v>1485</v>
      </c>
      <c r="B45" s="113" t="str">
        <f t="shared" si="0"/>
        <v>RCP-Frsh-00038</v>
      </c>
      <c r="C45" s="109" t="s">
        <v>1665</v>
      </c>
      <c r="D45" s="113" t="s">
        <v>1638</v>
      </c>
    </row>
    <row r="46" spans="1:4" ht="14.25" customHeight="1">
      <c r="A46" s="113" t="s">
        <v>1510</v>
      </c>
      <c r="B46" s="113" t="str">
        <f>'Master Recipes'!A24</f>
        <v>RCP-Frsh-00021</v>
      </c>
      <c r="C46" s="110" t="s">
        <v>1511</v>
      </c>
      <c r="D46" s="113" t="s">
        <v>1668</v>
      </c>
    </row>
    <row r="47" spans="1:4" ht="14.25" customHeight="1">
      <c r="A47" s="113" t="s">
        <v>1510</v>
      </c>
      <c r="B47" s="113" t="str">
        <f>'Master Recipes'!A25</f>
        <v>RCP-Frsh-00022</v>
      </c>
      <c r="C47" s="110" t="s">
        <v>1645</v>
      </c>
      <c r="D47" s="113" t="s">
        <v>1668</v>
      </c>
    </row>
    <row r="48" spans="1:4" ht="14.25" customHeight="1">
      <c r="A48" s="113" t="s">
        <v>1510</v>
      </c>
      <c r="B48" s="113" t="str">
        <f>'Master Recipes'!A27</f>
        <v>RCP-Frsh-00024</v>
      </c>
      <c r="C48" s="110" t="s">
        <v>1646</v>
      </c>
      <c r="D48" s="113" t="s">
        <v>1668</v>
      </c>
    </row>
    <row r="49" spans="1:4" ht="14.25" customHeight="1">
      <c r="A49" s="113" t="s">
        <v>1510</v>
      </c>
      <c r="B49" s="113" t="str">
        <f>'Master Recipes'!A9</f>
        <v>RCP-Frsh-00006</v>
      </c>
      <c r="C49" s="108" t="s">
        <v>1647</v>
      </c>
      <c r="D49" s="113" t="s">
        <v>1668</v>
      </c>
    </row>
    <row r="50" spans="1:4" ht="14.25" customHeight="1">
      <c r="A50" s="113" t="s">
        <v>1510</v>
      </c>
      <c r="B50" s="113" t="str">
        <f>'Master Recipes'!A26</f>
        <v>RCP-Frsh-00023</v>
      </c>
      <c r="C50" s="110" t="s">
        <v>1648</v>
      </c>
      <c r="D50" s="113" t="s">
        <v>1573</v>
      </c>
    </row>
    <row r="51" spans="1:4" ht="14.25" customHeight="1">
      <c r="A51" s="113" t="s">
        <v>1510</v>
      </c>
      <c r="B51" s="113" t="str">
        <f>'Master Recipes'!A7</f>
        <v>RCP-Frsh-00004</v>
      </c>
      <c r="C51" s="110" t="s">
        <v>1441</v>
      </c>
      <c r="D51" s="113" t="s">
        <v>1573</v>
      </c>
    </row>
    <row r="52" spans="1:4" ht="14.25" customHeight="1">
      <c r="A52" s="113" t="s">
        <v>1510</v>
      </c>
      <c r="B52" s="113" t="str">
        <f>'Master Recipes'!A28</f>
        <v>RCP-Frsh-00025</v>
      </c>
      <c r="C52" s="108" t="s">
        <v>1649</v>
      </c>
      <c r="D52" s="113" t="s">
        <v>1573</v>
      </c>
    </row>
    <row r="53" spans="1:4" ht="14.25" customHeight="1">
      <c r="A53" s="113" t="s">
        <v>1510</v>
      </c>
      <c r="B53" s="113" t="str">
        <f t="shared" ref="B53:B64" si="1">B34</f>
        <v>RCP-Frsh-00042</v>
      </c>
      <c r="C53" s="109" t="s">
        <v>1590</v>
      </c>
      <c r="D53" s="113" t="s">
        <v>1574</v>
      </c>
    </row>
    <row r="54" spans="1:4" ht="14.25" customHeight="1">
      <c r="A54" s="113" t="s">
        <v>1510</v>
      </c>
      <c r="B54" s="113" t="str">
        <f t="shared" si="1"/>
        <v>RCP-Frsh-00044</v>
      </c>
      <c r="C54" s="109" t="s">
        <v>1592</v>
      </c>
      <c r="D54" s="113" t="s">
        <v>1574</v>
      </c>
    </row>
    <row r="55" spans="1:4" ht="14.25" customHeight="1">
      <c r="A55" s="113" t="s">
        <v>1510</v>
      </c>
      <c r="B55" s="113" t="str">
        <f t="shared" si="1"/>
        <v>RCP-Frsh-00045</v>
      </c>
      <c r="C55" s="109" t="s">
        <v>1594</v>
      </c>
      <c r="D55" s="113" t="s">
        <v>1574</v>
      </c>
    </row>
    <row r="56" spans="1:4" ht="14.25" customHeight="1">
      <c r="A56" s="113" t="s">
        <v>1510</v>
      </c>
      <c r="B56" s="113" t="str">
        <f t="shared" si="1"/>
        <v>RCP-Frsh-00043</v>
      </c>
      <c r="C56" s="109" t="s">
        <v>1635</v>
      </c>
      <c r="D56" s="113" t="s">
        <v>1574</v>
      </c>
    </row>
    <row r="57" spans="1:4" ht="14.25" customHeight="1">
      <c r="A57" s="113" t="s">
        <v>1510</v>
      </c>
      <c r="B57" s="113" t="str">
        <f t="shared" si="1"/>
        <v>RCP-Frsh-00046</v>
      </c>
      <c r="C57" s="109" t="s">
        <v>1636</v>
      </c>
      <c r="D57" s="113" t="s">
        <v>1574</v>
      </c>
    </row>
    <row r="58" spans="1:4" ht="14.25" customHeight="1">
      <c r="A58" s="113" t="s">
        <v>1510</v>
      </c>
      <c r="B58" s="113" t="str">
        <f t="shared" si="1"/>
        <v>RCP-Frsh-00041</v>
      </c>
      <c r="C58" s="109" t="s">
        <v>1637</v>
      </c>
      <c r="D58" s="113" t="s">
        <v>1574</v>
      </c>
    </row>
    <row r="59" spans="1:4" ht="14.25" customHeight="1">
      <c r="A59" s="113" t="s">
        <v>1510</v>
      </c>
      <c r="B59" s="113" t="str">
        <f t="shared" si="1"/>
        <v>RCP-Frsh-00047</v>
      </c>
      <c r="C59" s="109" t="s">
        <v>1575</v>
      </c>
      <c r="D59" s="113" t="s">
        <v>1638</v>
      </c>
    </row>
    <row r="60" spans="1:4" ht="14.25" customHeight="1">
      <c r="A60" s="113" t="s">
        <v>1510</v>
      </c>
      <c r="B60" s="113" t="str">
        <f t="shared" si="1"/>
        <v>RCP-Frsh-00039</v>
      </c>
      <c r="C60" s="109" t="s">
        <v>1585</v>
      </c>
      <c r="D60" s="113" t="s">
        <v>1638</v>
      </c>
    </row>
    <row r="61" spans="1:4" ht="14.25" customHeight="1">
      <c r="A61" s="113" t="s">
        <v>1510</v>
      </c>
      <c r="B61" s="113" t="str">
        <f t="shared" si="1"/>
        <v>RCP-Frsh-00040</v>
      </c>
      <c r="C61" s="109" t="s">
        <v>1587</v>
      </c>
      <c r="D61" s="113" t="s">
        <v>1638</v>
      </c>
    </row>
    <row r="62" spans="1:4" ht="14.25" customHeight="1">
      <c r="A62" s="113" t="s">
        <v>1510</v>
      </c>
      <c r="B62" s="113" t="str">
        <f t="shared" si="1"/>
        <v>RCP-Frsh-00036</v>
      </c>
      <c r="C62" s="109" t="s">
        <v>1579</v>
      </c>
      <c r="D62" s="113" t="s">
        <v>1638</v>
      </c>
    </row>
    <row r="63" spans="1:4" ht="14.25" customHeight="1">
      <c r="A63" s="113" t="s">
        <v>1510</v>
      </c>
      <c r="B63" s="113" t="str">
        <f t="shared" si="1"/>
        <v>RCP-Frsh-00037</v>
      </c>
      <c r="C63" s="109" t="s">
        <v>1666</v>
      </c>
      <c r="D63" s="113" t="s">
        <v>1638</v>
      </c>
    </row>
    <row r="64" spans="1:4" ht="14.25" customHeight="1">
      <c r="A64" s="113" t="s">
        <v>1510</v>
      </c>
      <c r="B64" s="113" t="str">
        <f t="shared" si="1"/>
        <v>RCP-Frsh-00038</v>
      </c>
      <c r="C64" s="109" t="s">
        <v>1665</v>
      </c>
      <c r="D64" s="113" t="s">
        <v>1638</v>
      </c>
    </row>
    <row r="65" spans="1:4" ht="14.25" customHeight="1">
      <c r="A65" s="113" t="s">
        <v>1532</v>
      </c>
      <c r="B65" s="113" t="str">
        <f>'Master Recipes'!A17</f>
        <v>RCP-Frsh-00014</v>
      </c>
      <c r="C65" s="110" t="s">
        <v>1533</v>
      </c>
      <c r="D65" s="113" t="s">
        <v>1668</v>
      </c>
    </row>
    <row r="66" spans="1:4" ht="14.25" customHeight="1">
      <c r="A66" s="113" t="s">
        <v>1532</v>
      </c>
      <c r="B66" s="113" t="str">
        <f>'Master Recipes'!A30</f>
        <v>RCP-Frsh-00027</v>
      </c>
      <c r="C66" s="110" t="s">
        <v>1536</v>
      </c>
      <c r="D66" s="113" t="s">
        <v>1573</v>
      </c>
    </row>
    <row r="67" spans="1:4" ht="14.25" customHeight="1">
      <c r="A67" s="113" t="s">
        <v>1532</v>
      </c>
      <c r="B67" s="113" t="str">
        <f>'Master Recipes'!A29</f>
        <v>RCP-Frsh-00026</v>
      </c>
      <c r="C67" s="110" t="s">
        <v>1650</v>
      </c>
      <c r="D67" s="113" t="s">
        <v>1668</v>
      </c>
    </row>
    <row r="68" spans="1:4" ht="14.25" customHeight="1">
      <c r="A68" s="113" t="s">
        <v>1532</v>
      </c>
      <c r="B68" s="113" t="str">
        <f>'Master Recipes'!A31</f>
        <v>RCP-Frsh-00028</v>
      </c>
      <c r="C68" s="108" t="s">
        <v>1539</v>
      </c>
      <c r="D68" s="113" t="s">
        <v>1668</v>
      </c>
    </row>
    <row r="69" spans="1:4" ht="14.25" customHeight="1">
      <c r="A69" s="113" t="s">
        <v>1532</v>
      </c>
      <c r="B69" s="113" t="str">
        <f>'Master Recipes'!A16</f>
        <v>RCP-Frsh-00013</v>
      </c>
      <c r="C69" s="110" t="s">
        <v>1534</v>
      </c>
      <c r="D69" s="113" t="s">
        <v>1573</v>
      </c>
    </row>
    <row r="70" spans="1:4" ht="14.25" customHeight="1">
      <c r="A70" s="113" t="s">
        <v>1532</v>
      </c>
      <c r="B70" s="113" t="str">
        <f>'Master Recipes'!A38</f>
        <v>RCP-Frsh-00035</v>
      </c>
      <c r="C70" s="110" t="s">
        <v>1643</v>
      </c>
      <c r="D70" s="113" t="s">
        <v>1573</v>
      </c>
    </row>
    <row r="71" spans="1:4" ht="14.25" customHeight="1">
      <c r="A71" s="113" t="s">
        <v>1532</v>
      </c>
      <c r="B71" s="113" t="str">
        <f>'Master Recipes'!A32</f>
        <v>RCP-Frsh-00029</v>
      </c>
      <c r="C71" s="110" t="s">
        <v>1540</v>
      </c>
      <c r="D71" s="113" t="s">
        <v>1668</v>
      </c>
    </row>
    <row r="72" spans="1:4" ht="14.25" customHeight="1">
      <c r="A72" s="113" t="s">
        <v>1532</v>
      </c>
      <c r="B72" s="113" t="str">
        <f>'Master Recipes'!A14</f>
        <v>RCP-Frsh-00011</v>
      </c>
      <c r="C72" s="108" t="s">
        <v>1471</v>
      </c>
      <c r="D72" s="113" t="s">
        <v>1668</v>
      </c>
    </row>
    <row r="73" spans="1:4" ht="14.25" customHeight="1">
      <c r="A73" s="113" t="s">
        <v>1532</v>
      </c>
      <c r="B73" s="113" t="str">
        <f t="shared" ref="B73:B84" si="2">B53</f>
        <v>RCP-Frsh-00042</v>
      </c>
      <c r="C73" s="109" t="s">
        <v>1590</v>
      </c>
      <c r="D73" s="113" t="s">
        <v>1574</v>
      </c>
    </row>
    <row r="74" spans="1:4" ht="14.25" customHeight="1">
      <c r="A74" s="113" t="s">
        <v>1532</v>
      </c>
      <c r="B74" s="113" t="str">
        <f t="shared" si="2"/>
        <v>RCP-Frsh-00044</v>
      </c>
      <c r="C74" s="109" t="s">
        <v>1592</v>
      </c>
      <c r="D74" s="113" t="s">
        <v>1574</v>
      </c>
    </row>
    <row r="75" spans="1:4" ht="14.25" customHeight="1">
      <c r="A75" s="113" t="s">
        <v>1532</v>
      </c>
      <c r="B75" s="113" t="str">
        <f t="shared" si="2"/>
        <v>RCP-Frsh-00045</v>
      </c>
      <c r="C75" s="109" t="s">
        <v>1594</v>
      </c>
      <c r="D75" s="113" t="s">
        <v>1574</v>
      </c>
    </row>
    <row r="76" spans="1:4" ht="14.25" customHeight="1">
      <c r="A76" s="113" t="s">
        <v>1532</v>
      </c>
      <c r="B76" s="113" t="str">
        <f t="shared" si="2"/>
        <v>RCP-Frsh-00043</v>
      </c>
      <c r="C76" s="109" t="s">
        <v>1635</v>
      </c>
      <c r="D76" s="113" t="s">
        <v>1574</v>
      </c>
    </row>
    <row r="77" spans="1:4" ht="14.25" customHeight="1">
      <c r="A77" s="113" t="s">
        <v>1532</v>
      </c>
      <c r="B77" s="113" t="str">
        <f t="shared" si="2"/>
        <v>RCP-Frsh-00046</v>
      </c>
      <c r="C77" s="109" t="s">
        <v>1636</v>
      </c>
      <c r="D77" s="113" t="s">
        <v>1574</v>
      </c>
    </row>
    <row r="78" spans="1:4" ht="14.25" customHeight="1">
      <c r="A78" s="113" t="s">
        <v>1532</v>
      </c>
      <c r="B78" s="113" t="str">
        <f t="shared" si="2"/>
        <v>RCP-Frsh-00041</v>
      </c>
      <c r="C78" s="109" t="s">
        <v>1637</v>
      </c>
      <c r="D78" s="113" t="s">
        <v>1574</v>
      </c>
    </row>
    <row r="79" spans="1:4" ht="14.25" customHeight="1">
      <c r="A79" s="113" t="s">
        <v>1532</v>
      </c>
      <c r="B79" s="113" t="str">
        <f t="shared" si="2"/>
        <v>RCP-Frsh-00047</v>
      </c>
      <c r="C79" s="109" t="s">
        <v>1575</v>
      </c>
      <c r="D79" s="113" t="s">
        <v>1638</v>
      </c>
    </row>
    <row r="80" spans="1:4" ht="14.25" customHeight="1">
      <c r="A80" s="113" t="s">
        <v>1532</v>
      </c>
      <c r="B80" s="113" t="str">
        <f t="shared" si="2"/>
        <v>RCP-Frsh-00039</v>
      </c>
      <c r="C80" s="109" t="s">
        <v>1585</v>
      </c>
      <c r="D80" s="113" t="s">
        <v>1638</v>
      </c>
    </row>
    <row r="81" spans="1:4" ht="14.25" customHeight="1">
      <c r="A81" s="113" t="s">
        <v>1532</v>
      </c>
      <c r="B81" s="113" t="str">
        <f t="shared" si="2"/>
        <v>RCP-Frsh-00040</v>
      </c>
      <c r="C81" s="109" t="s">
        <v>1587</v>
      </c>
      <c r="D81" s="113" t="s">
        <v>1638</v>
      </c>
    </row>
    <row r="82" spans="1:4" ht="14.25" customHeight="1">
      <c r="A82" s="113" t="s">
        <v>1532</v>
      </c>
      <c r="B82" s="113" t="str">
        <f t="shared" si="2"/>
        <v>RCP-Frsh-00036</v>
      </c>
      <c r="C82" s="109" t="s">
        <v>1579</v>
      </c>
      <c r="D82" s="113" t="s">
        <v>1638</v>
      </c>
    </row>
    <row r="83" spans="1:4" ht="14.25" customHeight="1">
      <c r="A83" s="113" t="s">
        <v>1532</v>
      </c>
      <c r="B83" s="113" t="str">
        <f t="shared" si="2"/>
        <v>RCP-Frsh-00037</v>
      </c>
      <c r="C83" s="109" t="s">
        <v>1666</v>
      </c>
      <c r="D83" s="113" t="s">
        <v>1638</v>
      </c>
    </row>
    <row r="84" spans="1:4" ht="14.25" customHeight="1">
      <c r="A84" s="113" t="s">
        <v>1532</v>
      </c>
      <c r="B84" s="113" t="str">
        <f t="shared" si="2"/>
        <v>RCP-Frsh-00038</v>
      </c>
      <c r="C84" s="109" t="s">
        <v>1665</v>
      </c>
      <c r="D84" s="113" t="s">
        <v>1638</v>
      </c>
    </row>
    <row r="85" spans="1:4" ht="14.25" customHeight="1">
      <c r="A85" s="113" t="s">
        <v>1550</v>
      </c>
      <c r="B85" s="113" t="str">
        <f>'Master Recipes'!A33</f>
        <v>RCP-Frsh-00030</v>
      </c>
      <c r="C85" s="110" t="s">
        <v>1651</v>
      </c>
      <c r="D85" s="113" t="s">
        <v>1668</v>
      </c>
    </row>
    <row r="86" spans="1:4" ht="14.25" customHeight="1">
      <c r="A86" s="113" t="s">
        <v>1550</v>
      </c>
      <c r="B86" s="113" t="str">
        <f>'Master Recipes'!A35</f>
        <v>RCP-Frsh-00032</v>
      </c>
      <c r="C86" s="110" t="s">
        <v>1652</v>
      </c>
      <c r="D86" s="113" t="s">
        <v>1668</v>
      </c>
    </row>
    <row r="87" spans="1:4" ht="14.25" customHeight="1">
      <c r="A87" s="113" t="s">
        <v>1550</v>
      </c>
      <c r="B87" s="113" t="str">
        <f>'Master Recipes'!A36</f>
        <v>RCP-Frsh-00033</v>
      </c>
      <c r="C87" s="108" t="s">
        <v>1555</v>
      </c>
      <c r="D87" s="113" t="s">
        <v>1573</v>
      </c>
    </row>
    <row r="88" spans="1:4" ht="14.25" customHeight="1">
      <c r="A88" s="113" t="s">
        <v>1550</v>
      </c>
      <c r="B88" s="113" t="str">
        <f>'Master Recipes'!A34</f>
        <v>RCP-Frsh-00031</v>
      </c>
      <c r="C88" s="109" t="s">
        <v>1552</v>
      </c>
      <c r="D88" s="113" t="s">
        <v>1668</v>
      </c>
    </row>
    <row r="89" spans="1:4" ht="14.25" customHeight="1">
      <c r="A89" s="113" t="s">
        <v>1550</v>
      </c>
      <c r="B89" s="113" t="str">
        <f>'Master Recipes'!A20</f>
        <v>RCP-Frsh-00017</v>
      </c>
      <c r="C89" s="109" t="s">
        <v>1494</v>
      </c>
      <c r="D89" s="113" t="s">
        <v>1668</v>
      </c>
    </row>
    <row r="90" spans="1:4" ht="14.25" customHeight="1">
      <c r="A90" s="113" t="s">
        <v>1550</v>
      </c>
      <c r="B90" s="113" t="str">
        <f>'Master Recipes'!A21</f>
        <v>RCP-Frsh-00018</v>
      </c>
      <c r="C90" s="108" t="s">
        <v>1653</v>
      </c>
      <c r="D90" s="113" t="s">
        <v>1573</v>
      </c>
    </row>
    <row r="91" spans="1:4" ht="14.25" customHeight="1">
      <c r="A91" s="113" t="s">
        <v>1550</v>
      </c>
      <c r="B91" s="113" t="str">
        <f>'Master Recipes'!A23</f>
        <v>RCP-Frsh-00020</v>
      </c>
      <c r="C91" s="108" t="s">
        <v>1654</v>
      </c>
      <c r="D91" s="113" t="s">
        <v>1573</v>
      </c>
    </row>
    <row r="92" spans="1:4" ht="14.25" customHeight="1">
      <c r="A92" s="113" t="s">
        <v>1550</v>
      </c>
      <c r="B92" s="113" t="str">
        <f t="shared" ref="B92:B103" si="3">B73</f>
        <v>RCP-Frsh-00042</v>
      </c>
      <c r="C92" s="109" t="s">
        <v>1590</v>
      </c>
      <c r="D92" s="113" t="s">
        <v>1574</v>
      </c>
    </row>
    <row r="93" spans="1:4" ht="14.25" customHeight="1">
      <c r="A93" s="113" t="s">
        <v>1550</v>
      </c>
      <c r="B93" s="113" t="str">
        <f t="shared" si="3"/>
        <v>RCP-Frsh-00044</v>
      </c>
      <c r="C93" s="109" t="s">
        <v>1592</v>
      </c>
      <c r="D93" s="113" t="s">
        <v>1574</v>
      </c>
    </row>
    <row r="94" spans="1:4" ht="14.25" customHeight="1">
      <c r="A94" s="113" t="s">
        <v>1550</v>
      </c>
      <c r="B94" s="113" t="str">
        <f t="shared" si="3"/>
        <v>RCP-Frsh-00045</v>
      </c>
      <c r="C94" s="109" t="s">
        <v>1594</v>
      </c>
      <c r="D94" s="113" t="s">
        <v>1574</v>
      </c>
    </row>
    <row r="95" spans="1:4" ht="14.25" customHeight="1">
      <c r="A95" s="113" t="s">
        <v>1550</v>
      </c>
      <c r="B95" s="113" t="str">
        <f t="shared" si="3"/>
        <v>RCP-Frsh-00043</v>
      </c>
      <c r="C95" s="109" t="s">
        <v>1635</v>
      </c>
      <c r="D95" s="113" t="s">
        <v>1574</v>
      </c>
    </row>
    <row r="96" spans="1:4" ht="14.25" customHeight="1">
      <c r="A96" s="113" t="s">
        <v>1550</v>
      </c>
      <c r="B96" s="113" t="str">
        <f t="shared" si="3"/>
        <v>RCP-Frsh-00046</v>
      </c>
      <c r="C96" s="109" t="s">
        <v>1636</v>
      </c>
      <c r="D96" s="113" t="s">
        <v>1574</v>
      </c>
    </row>
    <row r="97" spans="1:4" ht="14.25" customHeight="1">
      <c r="A97" s="113" t="s">
        <v>1550</v>
      </c>
      <c r="B97" s="113" t="str">
        <f t="shared" si="3"/>
        <v>RCP-Frsh-00041</v>
      </c>
      <c r="C97" s="109" t="s">
        <v>1637</v>
      </c>
      <c r="D97" s="113" t="s">
        <v>1574</v>
      </c>
    </row>
    <row r="98" spans="1:4" ht="14.25" customHeight="1">
      <c r="A98" s="113" t="s">
        <v>1550</v>
      </c>
      <c r="B98" s="113" t="str">
        <f t="shared" si="3"/>
        <v>RCP-Frsh-00047</v>
      </c>
      <c r="C98" s="109" t="s">
        <v>1575</v>
      </c>
      <c r="D98" s="113" t="s">
        <v>1638</v>
      </c>
    </row>
    <row r="99" spans="1:4" ht="14.25" customHeight="1">
      <c r="A99" s="113" t="s">
        <v>1550</v>
      </c>
      <c r="B99" s="113" t="str">
        <f t="shared" si="3"/>
        <v>RCP-Frsh-00039</v>
      </c>
      <c r="C99" s="109" t="s">
        <v>1585</v>
      </c>
      <c r="D99" s="113" t="s">
        <v>1638</v>
      </c>
    </row>
    <row r="100" spans="1:4" ht="14.25" customHeight="1">
      <c r="A100" s="113" t="s">
        <v>1550</v>
      </c>
      <c r="B100" s="113" t="str">
        <f t="shared" si="3"/>
        <v>RCP-Frsh-00040</v>
      </c>
      <c r="C100" s="109" t="s">
        <v>1587</v>
      </c>
      <c r="D100" s="113" t="s">
        <v>1638</v>
      </c>
    </row>
    <row r="101" spans="1:4" ht="14.25" customHeight="1">
      <c r="A101" s="113" t="s">
        <v>1550</v>
      </c>
      <c r="B101" s="113" t="str">
        <f t="shared" si="3"/>
        <v>RCP-Frsh-00036</v>
      </c>
      <c r="C101" s="109" t="s">
        <v>1579</v>
      </c>
      <c r="D101" s="113" t="s">
        <v>1638</v>
      </c>
    </row>
    <row r="102" spans="1:4" ht="14.25" customHeight="1">
      <c r="A102" s="113" t="s">
        <v>1550</v>
      </c>
      <c r="B102" s="113" t="str">
        <f t="shared" si="3"/>
        <v>RCP-Frsh-00037</v>
      </c>
      <c r="C102" s="109" t="s">
        <v>1666</v>
      </c>
      <c r="D102" s="113" t="s">
        <v>1638</v>
      </c>
    </row>
    <row r="103" spans="1:4" ht="14.25" customHeight="1">
      <c r="A103" s="113" t="s">
        <v>1550</v>
      </c>
      <c r="B103" s="113" t="str">
        <f t="shared" si="3"/>
        <v>RCP-Frsh-00038</v>
      </c>
      <c r="C103" s="109" t="s">
        <v>1665</v>
      </c>
      <c r="D103" s="113" t="s">
        <v>1638</v>
      </c>
    </row>
    <row r="104" spans="1:4" ht="14.25" customHeight="1">
      <c r="A104" s="113" t="s">
        <v>1428</v>
      </c>
      <c r="B104" s="113" t="str">
        <f>'Master Recipes'!A9</f>
        <v>RCP-Frsh-00006</v>
      </c>
      <c r="C104" s="108" t="s">
        <v>1647</v>
      </c>
      <c r="D104" s="113" t="s">
        <v>1668</v>
      </c>
    </row>
    <row r="105" spans="1:4" ht="14.25" customHeight="1">
      <c r="A105" s="113" t="s">
        <v>1428</v>
      </c>
      <c r="B105" s="113" t="str">
        <f>'Master Recipes'!A5</f>
        <v>RCP-Frsh-00002</v>
      </c>
      <c r="C105" s="109" t="s">
        <v>1655</v>
      </c>
      <c r="D105" s="113" t="s">
        <v>1668</v>
      </c>
    </row>
    <row r="106" spans="1:4" ht="14.25" customHeight="1">
      <c r="A106" s="113" t="s">
        <v>1428</v>
      </c>
      <c r="B106" s="113" t="str">
        <f>'Master Recipes'!A6</f>
        <v>RCP-Frsh-00003</v>
      </c>
      <c r="C106" s="109" t="s">
        <v>1656</v>
      </c>
      <c r="D106" s="113" t="s">
        <v>1668</v>
      </c>
    </row>
    <row r="107" spans="1:4" ht="14.25" customHeight="1">
      <c r="A107" s="113" t="s">
        <v>1428</v>
      </c>
      <c r="B107" s="113" t="str">
        <f>'Master Recipes'!A7</f>
        <v>RCP-Frsh-00004</v>
      </c>
      <c r="C107" s="109" t="s">
        <v>1441</v>
      </c>
      <c r="D107" s="113" t="s">
        <v>1573</v>
      </c>
    </row>
    <row r="108" spans="1:4" ht="14.25" customHeight="1">
      <c r="A108" s="113" t="s">
        <v>1428</v>
      </c>
      <c r="B108" s="113" t="str">
        <f>'Master Recipes'!A4</f>
        <v>RCP-Frsh-00001</v>
      </c>
      <c r="C108" s="109" t="s">
        <v>1657</v>
      </c>
      <c r="D108" s="113" t="s">
        <v>1573</v>
      </c>
    </row>
    <row r="109" spans="1:4" ht="14.25" customHeight="1">
      <c r="A109" s="113" t="s">
        <v>1428</v>
      </c>
      <c r="B109" s="113" t="str">
        <f>'Master Recipes'!A22</f>
        <v>RCP-Frsh-00019</v>
      </c>
      <c r="C109" s="109" t="s">
        <v>1658</v>
      </c>
      <c r="D109" s="113" t="s">
        <v>1573</v>
      </c>
    </row>
    <row r="110" spans="1:4" ht="14.25" customHeight="1">
      <c r="A110" s="113" t="s">
        <v>1428</v>
      </c>
      <c r="B110" s="113" t="str">
        <f>'Master Recipes'!A8</f>
        <v>RCP-Frsh-00005</v>
      </c>
      <c r="C110" s="109" t="s">
        <v>1444</v>
      </c>
      <c r="D110" s="113" t="s">
        <v>1668</v>
      </c>
    </row>
    <row r="111" spans="1:4" ht="14.25" customHeight="1">
      <c r="A111" s="113" t="s">
        <v>1428</v>
      </c>
      <c r="B111" s="113" t="str">
        <f t="shared" ref="B111:B122" si="4">B92</f>
        <v>RCP-Frsh-00042</v>
      </c>
      <c r="C111" s="109" t="s">
        <v>1590</v>
      </c>
      <c r="D111" s="113" t="s">
        <v>1574</v>
      </c>
    </row>
    <row r="112" spans="1:4" ht="14.25" customHeight="1">
      <c r="A112" s="113" t="s">
        <v>1428</v>
      </c>
      <c r="B112" s="113" t="str">
        <f t="shared" si="4"/>
        <v>RCP-Frsh-00044</v>
      </c>
      <c r="C112" s="109" t="s">
        <v>1592</v>
      </c>
      <c r="D112" s="113" t="s">
        <v>1574</v>
      </c>
    </row>
    <row r="113" spans="1:4" ht="14.25" customHeight="1">
      <c r="A113" s="113" t="s">
        <v>1428</v>
      </c>
      <c r="B113" s="113" t="str">
        <f t="shared" si="4"/>
        <v>RCP-Frsh-00045</v>
      </c>
      <c r="C113" s="109" t="s">
        <v>1594</v>
      </c>
      <c r="D113" s="113" t="s">
        <v>1574</v>
      </c>
    </row>
    <row r="114" spans="1:4" ht="14.25" customHeight="1">
      <c r="A114" s="113" t="s">
        <v>1428</v>
      </c>
      <c r="B114" s="113" t="str">
        <f t="shared" si="4"/>
        <v>RCP-Frsh-00043</v>
      </c>
      <c r="C114" s="109" t="s">
        <v>1635</v>
      </c>
      <c r="D114" s="113" t="s">
        <v>1574</v>
      </c>
    </row>
    <row r="115" spans="1:4" ht="14.25" customHeight="1">
      <c r="A115" s="113" t="s">
        <v>1428</v>
      </c>
      <c r="B115" s="113" t="str">
        <f t="shared" si="4"/>
        <v>RCP-Frsh-00046</v>
      </c>
      <c r="C115" s="109" t="s">
        <v>1636</v>
      </c>
      <c r="D115" s="113" t="s">
        <v>1574</v>
      </c>
    </row>
    <row r="116" spans="1:4" ht="14.25" customHeight="1">
      <c r="A116" s="113" t="s">
        <v>1428</v>
      </c>
      <c r="B116" s="113" t="str">
        <f t="shared" si="4"/>
        <v>RCP-Frsh-00041</v>
      </c>
      <c r="C116" s="109" t="s">
        <v>1637</v>
      </c>
      <c r="D116" s="113" t="s">
        <v>1574</v>
      </c>
    </row>
    <row r="117" spans="1:4" ht="14.25" customHeight="1">
      <c r="A117" s="113" t="s">
        <v>1428</v>
      </c>
      <c r="B117" s="113" t="str">
        <f t="shared" si="4"/>
        <v>RCP-Frsh-00047</v>
      </c>
      <c r="C117" s="109" t="s">
        <v>1575</v>
      </c>
      <c r="D117" s="113" t="s">
        <v>1638</v>
      </c>
    </row>
    <row r="118" spans="1:4" ht="14.25" customHeight="1">
      <c r="A118" s="113" t="s">
        <v>1428</v>
      </c>
      <c r="B118" s="113" t="str">
        <f t="shared" si="4"/>
        <v>RCP-Frsh-00039</v>
      </c>
      <c r="C118" s="109" t="s">
        <v>1585</v>
      </c>
      <c r="D118" s="113" t="s">
        <v>1638</v>
      </c>
    </row>
    <row r="119" spans="1:4" ht="14.25" customHeight="1">
      <c r="A119" s="113" t="s">
        <v>1428</v>
      </c>
      <c r="B119" s="113" t="str">
        <f t="shared" si="4"/>
        <v>RCP-Frsh-00040</v>
      </c>
      <c r="C119" s="109" t="s">
        <v>1587</v>
      </c>
      <c r="D119" s="113" t="s">
        <v>1638</v>
      </c>
    </row>
    <row r="120" spans="1:4" ht="14.25" customHeight="1">
      <c r="A120" s="113" t="s">
        <v>1428</v>
      </c>
      <c r="B120" s="113" t="str">
        <f t="shared" si="4"/>
        <v>RCP-Frsh-00036</v>
      </c>
      <c r="C120" s="109" t="s">
        <v>1579</v>
      </c>
      <c r="D120" s="113" t="s">
        <v>1638</v>
      </c>
    </row>
    <row r="121" spans="1:4" ht="14.25" customHeight="1">
      <c r="A121" s="113" t="s">
        <v>1428</v>
      </c>
      <c r="B121" s="113" t="str">
        <f t="shared" si="4"/>
        <v>RCP-Frsh-00037</v>
      </c>
      <c r="C121" s="109" t="s">
        <v>1666</v>
      </c>
      <c r="D121" s="113" t="s">
        <v>1638</v>
      </c>
    </row>
    <row r="122" spans="1:4" ht="14.25" customHeight="1">
      <c r="A122" s="113" t="s">
        <v>1428</v>
      </c>
      <c r="B122" s="113" t="str">
        <f t="shared" si="4"/>
        <v>RCP-Frsh-00038</v>
      </c>
      <c r="C122" s="109" t="s">
        <v>1665</v>
      </c>
      <c r="D122" s="113" t="s">
        <v>1638</v>
      </c>
    </row>
    <row r="123" spans="1:4" ht="14.25" customHeight="1">
      <c r="C123" s="106"/>
    </row>
    <row r="124" spans="1:4" ht="14.25" customHeight="1"/>
    <row r="125" spans="1:4" ht="14.25" customHeight="1"/>
    <row r="126" spans="1:4" ht="14.25" customHeight="1"/>
    <row r="127" spans="1:4" ht="14.25" customHeight="1"/>
    <row r="128" spans="1:4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autoFilter ref="A5:D122" xr:uid="{D9008088-885F-4469-A9BA-13081E68BD0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5B9BD5"/>
  </sheetPr>
  <dimension ref="A1:AA50"/>
  <sheetViews>
    <sheetView showGridLines="0" topLeftCell="A3" workbookViewId="0">
      <pane ySplit="1" topLeftCell="A8" activePane="bottomLeft" state="frozen"/>
      <selection activeCell="A3" sqref="A3"/>
      <selection pane="bottomLeft" activeCell="B9" sqref="B9"/>
    </sheetView>
  </sheetViews>
  <sheetFormatPr defaultColWidth="8.83984375" defaultRowHeight="14.4"/>
  <cols>
    <col min="1" max="1" width="18.41796875" style="1" customWidth="1"/>
    <col min="2" max="2" width="25" style="1" bestFit="1" customWidth="1"/>
    <col min="3" max="3" width="8.68359375" style="1" bestFit="1" customWidth="1"/>
    <col min="4" max="4" width="7.41796875" style="1" bestFit="1" customWidth="1"/>
    <col min="5" max="5" width="11.15625" style="1" bestFit="1" customWidth="1"/>
    <col min="6" max="6" width="11.68359375" style="1" customWidth="1"/>
    <col min="7" max="7" width="10.68359375" style="1" customWidth="1"/>
    <col min="8" max="8" width="5.83984375" style="1" bestFit="1" customWidth="1"/>
    <col min="9" max="9" width="6.578125" style="1" bestFit="1" customWidth="1"/>
    <col min="10" max="10" width="8.26171875" style="1" bestFit="1" customWidth="1"/>
    <col min="11" max="11" width="20.68359375" style="1" bestFit="1" customWidth="1"/>
    <col min="12" max="12" width="13" style="1" bestFit="1" customWidth="1"/>
    <col min="13" max="13" width="12.68359375" style="1" customWidth="1"/>
    <col min="14" max="14" width="8.26171875" style="1" bestFit="1" customWidth="1"/>
    <col min="15" max="15" width="7.578125" style="1" bestFit="1" customWidth="1"/>
    <col min="16" max="17" width="10.68359375" style="1" customWidth="1"/>
    <col min="18" max="18" width="8.83984375" style="1" customWidth="1"/>
    <col min="19" max="16384" width="8.83984375" style="1"/>
  </cols>
  <sheetData>
    <row r="1" spans="1:27" ht="28.15" customHeight="1">
      <c r="A1" s="63" t="s">
        <v>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>
      <c r="A2" s="31"/>
    </row>
    <row r="3" spans="1:27" ht="36" customHeight="1">
      <c r="A3" s="29" t="s">
        <v>67</v>
      </c>
      <c r="B3" s="30" t="s">
        <v>1</v>
      </c>
      <c r="C3" s="30" t="s">
        <v>68</v>
      </c>
      <c r="D3" s="30" t="s">
        <v>0</v>
      </c>
      <c r="E3" s="30" t="s">
        <v>69</v>
      </c>
      <c r="F3" s="29" t="s">
        <v>70</v>
      </c>
      <c r="G3" s="29" t="s">
        <v>71</v>
      </c>
      <c r="H3" s="29" t="s">
        <v>72</v>
      </c>
      <c r="I3" s="29" t="s">
        <v>73</v>
      </c>
      <c r="J3" s="29" t="s">
        <v>74</v>
      </c>
      <c r="K3" s="29" t="s">
        <v>75</v>
      </c>
      <c r="L3" s="29" t="s">
        <v>76</v>
      </c>
      <c r="M3" s="29" t="s">
        <v>77</v>
      </c>
      <c r="N3" s="29" t="s">
        <v>78</v>
      </c>
      <c r="O3" s="29" t="s">
        <v>79</v>
      </c>
      <c r="P3" s="29" t="s">
        <v>80</v>
      </c>
      <c r="Q3" s="29" t="s">
        <v>81</v>
      </c>
      <c r="R3" s="29" t="s">
        <v>82</v>
      </c>
      <c r="S3" s="29" t="s">
        <v>83</v>
      </c>
      <c r="T3" s="29" t="s">
        <v>84</v>
      </c>
      <c r="U3" s="29" t="s">
        <v>85</v>
      </c>
      <c r="V3" s="29" t="s">
        <v>86</v>
      </c>
      <c r="W3" s="29" t="s">
        <v>87</v>
      </c>
      <c r="X3" s="29" t="s">
        <v>88</v>
      </c>
      <c r="Y3" s="29" t="s">
        <v>89</v>
      </c>
      <c r="Z3" s="29" t="s">
        <v>90</v>
      </c>
      <c r="AA3" s="29" t="s">
        <v>8</v>
      </c>
    </row>
    <row r="4" spans="1:27" hidden="1">
      <c r="A4" s="13" t="str" cm="1">
        <f t="array" ref="A4:A50">_xlfn.UNIQUE('Recipe Ingredients'!A5:A838)</f>
        <v>RCP-Frsh-00001</v>
      </c>
      <c r="B4" s="12" t="str">
        <f>VLOOKUP(A4,'Recipe Ingredients'!$A$5:$D$838,4,0)</f>
        <v>Avocado egg Ranch</v>
      </c>
      <c r="C4" s="12"/>
      <c r="D4" s="12"/>
      <c r="E4" s="12"/>
      <c r="F4" s="18"/>
      <c r="G4" s="18"/>
      <c r="H4" s="18"/>
      <c r="I4" s="28"/>
      <c r="J4" s="16"/>
      <c r="K4" s="16"/>
      <c r="L4" s="64"/>
      <c r="M4" s="18"/>
      <c r="N4" s="17"/>
      <c r="O4" s="15"/>
      <c r="P4" s="15"/>
      <c r="Q4" s="77"/>
      <c r="R4" s="73"/>
      <c r="S4" s="73"/>
      <c r="T4" s="73"/>
      <c r="U4" s="73"/>
      <c r="V4" s="73"/>
      <c r="W4" s="73"/>
      <c r="X4" s="69"/>
      <c r="Y4" s="73"/>
      <c r="Z4" s="73"/>
      <c r="AA4" s="17"/>
    </row>
    <row r="5" spans="1:27" hidden="1">
      <c r="A5" s="13" t="str">
        <v>RCP-Frsh-00002</v>
      </c>
      <c r="B5" s="12" t="str">
        <f>VLOOKUP(A5,'Recipe Ingredients'!$A$5:$D$838,4,0)</f>
        <v>Spinach steak</v>
      </c>
      <c r="C5" s="12"/>
      <c r="D5" s="12"/>
      <c r="E5" s="12"/>
      <c r="F5" s="18"/>
      <c r="G5" s="18"/>
      <c r="H5" s="18"/>
      <c r="I5" s="28"/>
      <c r="J5" s="16"/>
      <c r="K5" s="16"/>
      <c r="L5" s="64"/>
      <c r="M5" s="18"/>
      <c r="N5" s="17"/>
      <c r="O5" s="15"/>
      <c r="P5" s="15"/>
      <c r="Q5" s="77"/>
      <c r="R5" s="73"/>
      <c r="S5" s="73"/>
      <c r="T5" s="73"/>
      <c r="U5" s="73"/>
      <c r="V5" s="73"/>
      <c r="W5" s="73"/>
      <c r="X5" s="69"/>
      <c r="Y5" s="73"/>
      <c r="Z5" s="73"/>
      <c r="AA5" s="17"/>
    </row>
    <row r="6" spans="1:27" hidden="1">
      <c r="A6" s="13" t="str">
        <v>RCP-Frsh-00003</v>
      </c>
      <c r="B6" s="12" t="str">
        <f>VLOOKUP(A6,'Recipe Ingredients'!$A$5:$D$838,4,0)</f>
        <v>Misto chicken broccoli</v>
      </c>
      <c r="C6" s="12"/>
      <c r="D6" s="12"/>
      <c r="E6" s="12"/>
      <c r="F6" s="18"/>
      <c r="G6" s="18"/>
      <c r="H6" s="18"/>
      <c r="I6" s="28"/>
      <c r="J6" s="16"/>
      <c r="K6" s="16"/>
      <c r="L6" s="64"/>
      <c r="M6" s="18"/>
      <c r="N6" s="17"/>
      <c r="O6" s="15"/>
      <c r="P6" s="15"/>
      <c r="Q6" s="77"/>
      <c r="R6" s="73"/>
      <c r="S6" s="73"/>
      <c r="T6" s="73"/>
      <c r="U6" s="73"/>
      <c r="V6" s="73"/>
      <c r="W6" s="73"/>
      <c r="X6" s="69"/>
      <c r="Y6" s="73"/>
      <c r="Z6" s="73"/>
      <c r="AA6" s="17"/>
    </row>
    <row r="7" spans="1:27" hidden="1">
      <c r="A7" s="13" t="str">
        <v>RCP-Frsh-00004</v>
      </c>
      <c r="B7" s="12" t="str">
        <f>VLOOKUP(A7,'Recipe Ingredients'!$A$5:$D$838,4,0)</f>
        <v>Honey Pecan Halloumi</v>
      </c>
      <c r="C7" s="12"/>
      <c r="D7" s="12"/>
      <c r="E7" s="12"/>
      <c r="F7" s="18"/>
      <c r="G7" s="18"/>
      <c r="H7" s="18"/>
      <c r="I7" s="28"/>
      <c r="J7" s="16"/>
      <c r="K7" s="16"/>
      <c r="L7" s="64"/>
      <c r="M7" s="18"/>
      <c r="N7" s="17"/>
      <c r="O7" s="15"/>
      <c r="P7" s="15"/>
      <c r="Q7" s="77"/>
      <c r="R7" s="73"/>
      <c r="S7" s="73"/>
      <c r="T7" s="73"/>
      <c r="U7" s="73"/>
      <c r="V7" s="73"/>
      <c r="W7" s="73"/>
      <c r="X7" s="69"/>
      <c r="Y7" s="73"/>
      <c r="Z7" s="73"/>
      <c r="AA7" s="17"/>
    </row>
    <row r="8" spans="1:27">
      <c r="A8" s="13" t="str">
        <v>RCP-Frsh-00005</v>
      </c>
      <c r="B8" s="12" t="str">
        <f>VLOOKUP(A8,'Recipe Ingredients'!$A$5:$D$838,4,0)</f>
        <v>Pasta Creamy Potato</v>
      </c>
      <c r="C8" s="12"/>
      <c r="D8" s="12"/>
      <c r="E8" s="12"/>
      <c r="F8" s="18"/>
      <c r="G8" s="18"/>
      <c r="H8" s="18"/>
      <c r="I8" s="28"/>
      <c r="J8" s="16"/>
      <c r="K8" s="16"/>
      <c r="L8" s="64"/>
      <c r="M8" s="18"/>
      <c r="N8" s="17"/>
      <c r="O8" s="15"/>
      <c r="P8" s="15"/>
      <c r="Q8" s="77"/>
      <c r="R8" s="73"/>
      <c r="S8" s="73"/>
      <c r="T8" s="73"/>
      <c r="U8" s="73"/>
      <c r="V8" s="73"/>
      <c r="W8" s="73"/>
      <c r="X8" s="69"/>
      <c r="Y8" s="73"/>
      <c r="Z8" s="73"/>
      <c r="AA8" s="17"/>
    </row>
    <row r="9" spans="1:27" hidden="1">
      <c r="A9" s="13" t="str">
        <v>RCP-Frsh-00006</v>
      </c>
      <c r="B9" s="12" t="str">
        <f>VLOOKUP(A9,'Recipe Ingredients'!$A$5:$D$838,4,0)</f>
        <v>Chicken creamy lemon</v>
      </c>
      <c r="C9" s="12"/>
      <c r="D9" s="12"/>
      <c r="E9" s="12"/>
      <c r="F9" s="18"/>
      <c r="G9" s="18"/>
      <c r="H9" s="18"/>
      <c r="I9" s="28"/>
      <c r="J9" s="16"/>
      <c r="K9" s="16"/>
      <c r="L9" s="64"/>
      <c r="M9" s="18"/>
      <c r="N9" s="17"/>
      <c r="O9" s="15"/>
      <c r="P9" s="15"/>
      <c r="Q9" s="77"/>
      <c r="R9" s="73"/>
      <c r="S9" s="73"/>
      <c r="T9" s="73"/>
      <c r="U9" s="73"/>
      <c r="V9" s="73"/>
      <c r="W9" s="73"/>
      <c r="X9" s="69"/>
      <c r="Y9" s="73"/>
      <c r="Z9" s="73"/>
      <c r="AA9" s="17"/>
    </row>
    <row r="10" spans="1:27" hidden="1">
      <c r="A10" s="13" t="str">
        <v>RCP-Frsh-00007</v>
      </c>
      <c r="B10" s="12" t="str">
        <f>VLOOKUP(A10,'Recipe Ingredients'!$A$5:$D$838,4,0)</f>
        <v>Curry nomi Pasta</v>
      </c>
      <c r="C10" s="12"/>
      <c r="D10" s="12"/>
      <c r="E10" s="12"/>
      <c r="F10" s="18"/>
      <c r="G10" s="18"/>
      <c r="H10" s="18"/>
      <c r="I10" s="28"/>
      <c r="J10" s="16"/>
      <c r="K10" s="16"/>
      <c r="L10" s="64"/>
      <c r="M10" s="18"/>
      <c r="N10" s="17"/>
      <c r="O10" s="15"/>
      <c r="P10" s="15"/>
      <c r="Q10" s="77"/>
      <c r="R10" s="73"/>
      <c r="S10" s="73"/>
      <c r="T10" s="73"/>
      <c r="U10" s="73"/>
      <c r="V10" s="73"/>
      <c r="W10" s="73"/>
      <c r="X10" s="69"/>
      <c r="Y10" s="73"/>
      <c r="Z10" s="73"/>
      <c r="AA10" s="17"/>
    </row>
    <row r="11" spans="1:27" hidden="1">
      <c r="A11" s="13" t="str">
        <v>RCP-Frsh-00008</v>
      </c>
      <c r="B11" s="12" t="str">
        <f>VLOOKUP(A11,'Recipe Ingredients'!$A$5:$D$838,4,0)</f>
        <v>Black Lemon Steak</v>
      </c>
      <c r="C11" s="12"/>
      <c r="D11" s="12"/>
      <c r="E11" s="12"/>
      <c r="F11" s="18"/>
      <c r="G11" s="18"/>
      <c r="H11" s="18"/>
      <c r="I11" s="28"/>
      <c r="J11" s="16"/>
      <c r="K11" s="16"/>
      <c r="L11" s="64"/>
      <c r="M11" s="18"/>
      <c r="N11" s="17"/>
      <c r="O11" s="15"/>
      <c r="P11" s="15"/>
      <c r="Q11" s="77"/>
      <c r="R11" s="73"/>
      <c r="S11" s="73"/>
      <c r="T11" s="73"/>
      <c r="U11" s="73"/>
      <c r="V11" s="73"/>
      <c r="W11" s="73"/>
      <c r="X11" s="69"/>
      <c r="Y11" s="73"/>
      <c r="Z11" s="73"/>
      <c r="AA11" s="17"/>
    </row>
    <row r="12" spans="1:27" hidden="1">
      <c r="A12" s="13" t="str">
        <v>RCP-Frsh-00009</v>
      </c>
      <c r="B12" s="12" t="str">
        <f>VLOOKUP(A12,'Recipe Ingredients'!$A$5:$D$838,4,0)</f>
        <v>Musakhan chicken</v>
      </c>
      <c r="C12" s="12"/>
      <c r="D12" s="12"/>
      <c r="E12" s="12"/>
      <c r="F12" s="18"/>
      <c r="G12" s="18"/>
      <c r="H12" s="18"/>
      <c r="I12" s="28"/>
      <c r="J12" s="16"/>
      <c r="K12" s="16"/>
      <c r="L12" s="64"/>
      <c r="M12" s="18"/>
      <c r="N12" s="17"/>
      <c r="O12" s="15"/>
      <c r="P12" s="15"/>
      <c r="Q12" s="77"/>
      <c r="R12" s="73"/>
      <c r="S12" s="73"/>
      <c r="T12" s="73"/>
      <c r="U12" s="73"/>
      <c r="V12" s="73"/>
      <c r="W12" s="73"/>
      <c r="X12" s="69"/>
      <c r="Y12" s="73"/>
      <c r="Z12" s="73"/>
      <c r="AA12" s="17"/>
    </row>
    <row r="13" spans="1:27" hidden="1">
      <c r="A13" s="13" t="str">
        <v>RCP-Frsh-00010</v>
      </c>
      <c r="B13" s="12" t="str">
        <f>VLOOKUP(A13,'Recipe Ingredients'!$A$5:$D$838,4,0)</f>
        <v>Philly steak mushroom</v>
      </c>
      <c r="C13" s="12"/>
      <c r="D13" s="12"/>
      <c r="E13" s="12"/>
      <c r="F13" s="18"/>
      <c r="G13" s="18"/>
      <c r="H13" s="18"/>
      <c r="I13" s="28"/>
      <c r="J13" s="16"/>
      <c r="K13" s="16"/>
      <c r="L13" s="64"/>
      <c r="M13" s="18"/>
      <c r="N13" s="17"/>
      <c r="O13" s="15"/>
      <c r="P13" s="15"/>
      <c r="Q13" s="77"/>
      <c r="R13" s="73"/>
      <c r="S13" s="73"/>
      <c r="T13" s="73"/>
      <c r="U13" s="73"/>
      <c r="V13" s="73"/>
      <c r="W13" s="73"/>
      <c r="X13" s="69"/>
      <c r="Y13" s="73"/>
      <c r="Z13" s="73"/>
      <c r="AA13" s="17"/>
    </row>
    <row r="14" spans="1:27" hidden="1">
      <c r="A14" s="13" t="str">
        <v>RCP-Frsh-00011</v>
      </c>
      <c r="B14" s="12" t="str">
        <f>VLOOKUP(A14,'Recipe Ingredients'!$A$5:$D$838,4,0)</f>
        <v>Chicken Molokheya</v>
      </c>
      <c r="C14" s="12"/>
      <c r="D14" s="12"/>
      <c r="E14" s="12"/>
      <c r="F14" s="18"/>
      <c r="G14" s="18"/>
      <c r="H14" s="18"/>
      <c r="I14" s="28"/>
      <c r="J14" s="16"/>
      <c r="K14" s="16"/>
      <c r="L14" s="64"/>
      <c r="M14" s="18"/>
      <c r="N14" s="17"/>
      <c r="O14" s="15"/>
      <c r="P14" s="15"/>
      <c r="Q14" s="77"/>
      <c r="R14" s="73"/>
      <c r="S14" s="73"/>
      <c r="T14" s="73"/>
      <c r="U14" s="73"/>
      <c r="V14" s="73"/>
      <c r="W14" s="73"/>
      <c r="X14" s="69"/>
      <c r="Y14" s="73"/>
      <c r="Z14" s="73"/>
      <c r="AA14" s="17"/>
    </row>
    <row r="15" spans="1:27" hidden="1">
      <c r="A15" s="13" t="str">
        <v>RCP-Frsh-00012</v>
      </c>
      <c r="B15" s="12" t="str">
        <f>VLOOKUP(A15,'Recipe Ingredients'!$A$5:$D$838,4,0)</f>
        <v>Egg avocado Truffle</v>
      </c>
      <c r="C15" s="12"/>
      <c r="D15" s="12"/>
      <c r="E15" s="12"/>
      <c r="F15" s="18"/>
      <c r="G15" s="18"/>
      <c r="H15" s="18"/>
      <c r="I15" s="28"/>
      <c r="J15" s="16"/>
      <c r="K15" s="16"/>
      <c r="L15" s="64"/>
      <c r="M15" s="18"/>
      <c r="N15" s="17"/>
      <c r="O15" s="15"/>
      <c r="P15" s="15"/>
      <c r="Q15" s="77"/>
      <c r="R15" s="73"/>
      <c r="S15" s="73"/>
      <c r="T15" s="73"/>
      <c r="U15" s="73"/>
      <c r="V15" s="73"/>
      <c r="W15" s="73"/>
      <c r="X15" s="69"/>
      <c r="Y15" s="73"/>
      <c r="Z15" s="73"/>
      <c r="AA15" s="17"/>
    </row>
    <row r="16" spans="1:27" hidden="1">
      <c r="A16" s="13" t="str">
        <v>RCP-Frsh-00013</v>
      </c>
      <c r="B16" s="12" t="str">
        <f>VLOOKUP(A16,'Recipe Ingredients'!$A$5:$D$838,4,0)</f>
        <v>Tuna truffle</v>
      </c>
      <c r="C16" s="12"/>
      <c r="D16" s="12"/>
      <c r="E16" s="12"/>
      <c r="F16" s="18"/>
      <c r="G16" s="18"/>
      <c r="H16" s="18"/>
      <c r="I16" s="28"/>
      <c r="J16" s="16"/>
      <c r="K16" s="16"/>
      <c r="L16" s="64"/>
      <c r="M16" s="18"/>
      <c r="N16" s="17"/>
      <c r="O16" s="15"/>
      <c r="P16" s="15"/>
      <c r="Q16" s="77"/>
      <c r="R16" s="73"/>
      <c r="S16" s="73"/>
      <c r="T16" s="73"/>
      <c r="U16" s="73"/>
      <c r="V16" s="73"/>
      <c r="W16" s="73"/>
      <c r="X16" s="69"/>
      <c r="Y16" s="73"/>
      <c r="Z16" s="73"/>
      <c r="AA16" s="17"/>
    </row>
    <row r="17" spans="1:27" hidden="1">
      <c r="A17" s="13" t="str">
        <v>RCP-Frsh-00014</v>
      </c>
      <c r="B17" s="12" t="str">
        <f>VLOOKUP(A17,'Recipe Ingredients'!$A$5:$D$838,4,0)</f>
        <v>Chicken pumpkin</v>
      </c>
      <c r="C17" s="12"/>
      <c r="D17" s="12"/>
      <c r="E17" s="12"/>
      <c r="F17" s="18"/>
      <c r="G17" s="18"/>
      <c r="H17" s="18"/>
      <c r="I17" s="28"/>
      <c r="J17" s="16"/>
      <c r="K17" s="16"/>
      <c r="L17" s="64"/>
      <c r="M17" s="18"/>
      <c r="N17" s="17"/>
      <c r="O17" s="15"/>
      <c r="P17" s="15"/>
      <c r="Q17" s="77"/>
      <c r="R17" s="73"/>
      <c r="S17" s="73"/>
      <c r="T17" s="73"/>
      <c r="U17" s="73"/>
      <c r="V17" s="73"/>
      <c r="W17" s="73"/>
      <c r="X17" s="69"/>
      <c r="Y17" s="73"/>
      <c r="Z17" s="73"/>
      <c r="AA17" s="17"/>
    </row>
    <row r="18" spans="1:27" hidden="1">
      <c r="A18" s="13" t="str">
        <v>RCP-Frsh-00015</v>
      </c>
      <c r="B18" s="12" t="str">
        <f>VLOOKUP(A18,'Recipe Ingredients'!$A$5:$D$838,4,0)</f>
        <v>Chicken creamy mint</v>
      </c>
      <c r="C18" s="12"/>
      <c r="D18" s="12"/>
      <c r="E18" s="12"/>
      <c r="F18" s="18"/>
      <c r="G18" s="18"/>
      <c r="H18" s="18"/>
      <c r="I18" s="28"/>
      <c r="J18" s="16"/>
      <c r="K18" s="16"/>
      <c r="L18" s="64"/>
      <c r="M18" s="18"/>
      <c r="N18" s="17"/>
      <c r="O18" s="15"/>
      <c r="P18" s="15"/>
      <c r="Q18" s="77"/>
      <c r="R18" s="73"/>
      <c r="S18" s="73"/>
      <c r="T18" s="73"/>
      <c r="U18" s="73"/>
      <c r="V18" s="73"/>
      <c r="W18" s="73"/>
      <c r="X18" s="69"/>
      <c r="Y18" s="73"/>
      <c r="Z18" s="73"/>
      <c r="AA18" s="17"/>
    </row>
    <row r="19" spans="1:27" hidden="1">
      <c r="A19" s="13" t="str">
        <v>RCP-Frsh-00016</v>
      </c>
      <c r="B19" s="12" t="str">
        <f>VLOOKUP(A19,'Recipe Ingredients'!$A$5:$D$838,4,0)</f>
        <v>Rustic Ragu pasta</v>
      </c>
      <c r="C19" s="12"/>
      <c r="D19" s="12"/>
      <c r="E19" s="12"/>
      <c r="F19" s="18"/>
      <c r="G19" s="18"/>
      <c r="H19" s="18"/>
      <c r="I19" s="28"/>
      <c r="J19" s="16"/>
      <c r="K19" s="16"/>
      <c r="L19" s="64"/>
      <c r="M19" s="18"/>
      <c r="N19" s="17"/>
      <c r="O19" s="15"/>
      <c r="P19" s="15"/>
      <c r="Q19" s="77"/>
      <c r="R19" s="73"/>
      <c r="S19" s="73"/>
      <c r="T19" s="73"/>
      <c r="U19" s="73"/>
      <c r="V19" s="73"/>
      <c r="W19" s="73"/>
      <c r="X19" s="69"/>
      <c r="Y19" s="73"/>
      <c r="Z19" s="73"/>
      <c r="AA19" s="17"/>
    </row>
    <row r="20" spans="1:27" hidden="1">
      <c r="A20" s="13" t="str">
        <v>RCP-Frsh-00017</v>
      </c>
      <c r="B20" s="12" t="str">
        <f>VLOOKUP(A20,'Recipe Ingredients'!$A$5:$D$838,4,0)</f>
        <v>Egg Mashed potato</v>
      </c>
      <c r="C20" s="12"/>
      <c r="D20" s="12"/>
      <c r="E20" s="12"/>
      <c r="F20" s="18"/>
      <c r="G20" s="18"/>
      <c r="H20" s="18"/>
      <c r="I20" s="28"/>
      <c r="J20" s="16"/>
      <c r="K20" s="16"/>
      <c r="L20" s="64"/>
      <c r="M20" s="18"/>
      <c r="N20" s="17"/>
      <c r="O20" s="15"/>
      <c r="P20" s="15"/>
      <c r="Q20" s="77"/>
      <c r="R20" s="73"/>
      <c r="S20" s="73"/>
      <c r="T20" s="73"/>
      <c r="U20" s="73"/>
      <c r="V20" s="73"/>
      <c r="W20" s="73"/>
      <c r="X20" s="69"/>
      <c r="Y20" s="73"/>
      <c r="Z20" s="73"/>
      <c r="AA20" s="17"/>
    </row>
    <row r="21" spans="1:27" hidden="1">
      <c r="A21" s="13" t="str">
        <v>RCP-Frsh-00018</v>
      </c>
      <c r="B21" s="12" t="str">
        <f>VLOOKUP(A21,'Recipe Ingredients'!$A$5:$D$838,4,0)</f>
        <v>Caramelized PB Honey Crunch</v>
      </c>
      <c r="C21" s="12"/>
      <c r="D21" s="12"/>
      <c r="E21" s="12"/>
      <c r="F21" s="18"/>
      <c r="G21" s="18"/>
      <c r="H21" s="18"/>
      <c r="I21" s="28"/>
      <c r="J21" s="16"/>
      <c r="K21" s="16"/>
      <c r="L21" s="64"/>
      <c r="M21" s="18"/>
      <c r="N21" s="17"/>
      <c r="O21" s="15"/>
      <c r="P21" s="15"/>
      <c r="Q21" s="77"/>
      <c r="R21" s="73"/>
      <c r="S21" s="73"/>
      <c r="T21" s="73"/>
      <c r="U21" s="73"/>
      <c r="V21" s="73"/>
      <c r="W21" s="73"/>
      <c r="X21" s="69"/>
      <c r="Y21" s="73"/>
      <c r="Z21" s="73"/>
      <c r="AA21" s="17"/>
    </row>
    <row r="22" spans="1:27" hidden="1">
      <c r="A22" s="13" t="str">
        <v>RCP-Frsh-00019</v>
      </c>
      <c r="B22" s="12" t="str">
        <f>VLOOKUP(A22,'Recipe Ingredients'!$A$5:$D$838,4,0)</f>
        <v>Umami truffle steak</v>
      </c>
      <c r="C22" s="12"/>
      <c r="D22" s="12"/>
      <c r="E22" s="12"/>
      <c r="F22" s="18"/>
      <c r="G22" s="18"/>
      <c r="H22" s="18"/>
      <c r="I22" s="28"/>
      <c r="J22" s="16"/>
      <c r="K22" s="16"/>
      <c r="L22" s="64"/>
      <c r="M22" s="18"/>
      <c r="N22" s="17"/>
      <c r="O22" s="15"/>
      <c r="P22" s="15"/>
      <c r="Q22" s="77"/>
      <c r="R22" s="73"/>
      <c r="S22" s="73"/>
      <c r="T22" s="73"/>
      <c r="U22" s="73"/>
      <c r="V22" s="73"/>
      <c r="W22" s="73"/>
      <c r="X22" s="69"/>
      <c r="Y22" s="73"/>
      <c r="Z22" s="73"/>
      <c r="AA22" s="17"/>
    </row>
    <row r="23" spans="1:27" hidden="1">
      <c r="A23" s="7" t="str">
        <v>RCP-Frsh-00020</v>
      </c>
      <c r="B23" s="12" t="str">
        <f>VLOOKUP(A23,'Recipe Ingredients'!$A$5:$D$838,4,0)</f>
        <v>Tomato halloumi grilled</v>
      </c>
      <c r="C23" s="25"/>
      <c r="D23" s="25"/>
      <c r="E23" s="25"/>
      <c r="F23" s="23"/>
      <c r="G23" s="23"/>
      <c r="H23" s="23"/>
      <c r="I23" s="27"/>
      <c r="J23" s="26"/>
      <c r="K23" s="26"/>
      <c r="L23" s="66"/>
      <c r="M23" s="23"/>
      <c r="N23" s="22"/>
      <c r="O23" s="20"/>
      <c r="P23" s="20"/>
      <c r="Q23" s="78"/>
      <c r="R23" s="74"/>
      <c r="S23" s="74"/>
      <c r="T23" s="74"/>
      <c r="U23" s="74"/>
      <c r="V23" s="74"/>
      <c r="W23" s="74"/>
      <c r="X23" s="70"/>
      <c r="Y23" s="74"/>
      <c r="Z23" s="74"/>
      <c r="AA23" s="22"/>
    </row>
    <row r="24" spans="1:27" hidden="1">
      <c r="A24" s="13" t="str">
        <v>RCP-Frsh-00021</v>
      </c>
      <c r="B24" s="12" t="str">
        <f>VLOOKUP(A24,'Recipe Ingredients'!$A$5:$D$838,4,0)</f>
        <v>Chicken Creamy Potato</v>
      </c>
      <c r="C24" s="12"/>
      <c r="D24" s="12"/>
      <c r="E24" s="12"/>
      <c r="F24" s="18"/>
      <c r="G24" s="18"/>
      <c r="H24" s="18"/>
      <c r="I24" s="28"/>
      <c r="J24" s="16"/>
      <c r="K24" s="16"/>
      <c r="L24" s="64"/>
      <c r="M24" s="18"/>
      <c r="N24" s="17"/>
      <c r="O24" s="15"/>
      <c r="P24" s="15"/>
      <c r="Q24" s="77"/>
      <c r="R24" s="73"/>
      <c r="S24" s="73"/>
      <c r="T24" s="73"/>
      <c r="U24" s="73"/>
      <c r="V24" s="73"/>
      <c r="W24" s="73"/>
      <c r="X24" s="69"/>
      <c r="Y24" s="73"/>
      <c r="Z24" s="73"/>
      <c r="AA24" s="17"/>
    </row>
    <row r="25" spans="1:27" hidden="1">
      <c r="A25" s="7" t="str">
        <v>RCP-Frsh-00022</v>
      </c>
      <c r="B25" s="12" t="str">
        <f>VLOOKUP(A25,'Recipe Ingredients'!$A$5:$D$838,4,0)</f>
        <v>Aromi pasta chicken</v>
      </c>
      <c r="C25" s="25"/>
      <c r="D25" s="25"/>
      <c r="E25" s="25"/>
      <c r="F25" s="23"/>
      <c r="G25" s="23"/>
      <c r="H25" s="23"/>
      <c r="I25" s="27"/>
      <c r="J25" s="26"/>
      <c r="K25" s="26"/>
      <c r="L25" s="66"/>
      <c r="M25" s="23"/>
      <c r="N25" s="22"/>
      <c r="O25" s="20"/>
      <c r="P25" s="20"/>
      <c r="Q25" s="78"/>
      <c r="R25" s="74"/>
      <c r="S25" s="74"/>
      <c r="T25" s="74"/>
      <c r="U25" s="74"/>
      <c r="V25" s="74"/>
      <c r="W25" s="74"/>
      <c r="X25" s="70"/>
      <c r="Y25" s="74"/>
      <c r="Z25" s="74"/>
      <c r="AA25" s="22"/>
    </row>
    <row r="26" spans="1:27" hidden="1">
      <c r="A26" s="13" t="str">
        <v>RCP-Frsh-00023</v>
      </c>
      <c r="B26" s="12" t="str">
        <f>VLOOKUP(A26,'Recipe Ingredients'!$A$5:$D$838,4,0)</f>
        <v>Philly Steak Sandwich</v>
      </c>
      <c r="C26" s="12"/>
      <c r="D26" s="12"/>
      <c r="E26" s="12"/>
      <c r="F26" s="18"/>
      <c r="G26" s="18"/>
      <c r="H26" s="18"/>
      <c r="I26" s="19"/>
      <c r="J26" s="16"/>
      <c r="K26" s="16"/>
      <c r="L26" s="64"/>
      <c r="M26" s="18"/>
      <c r="N26" s="17"/>
      <c r="O26" s="15"/>
      <c r="P26" s="15"/>
      <c r="Q26" s="77"/>
      <c r="R26" s="73"/>
      <c r="S26" s="73"/>
      <c r="T26" s="73"/>
      <c r="U26" s="73"/>
      <c r="V26" s="73"/>
      <c r="W26" s="73"/>
      <c r="X26" s="69"/>
      <c r="Y26" s="73"/>
      <c r="Z26" s="73"/>
      <c r="AA26" s="17"/>
    </row>
    <row r="27" spans="1:27" hidden="1">
      <c r="A27" s="7" t="str">
        <v>RCP-Frsh-00024</v>
      </c>
      <c r="B27" s="12" t="str">
        <f>VLOOKUP(A27,'Recipe Ingredients'!$A$5:$D$838,4,0)</f>
        <v>Mushroom steak delight</v>
      </c>
      <c r="C27" s="25"/>
      <c r="D27" s="25"/>
      <c r="E27" s="25"/>
      <c r="F27" s="23"/>
      <c r="G27" s="23"/>
      <c r="H27" s="23"/>
      <c r="I27" s="24"/>
      <c r="J27" s="21"/>
      <c r="K27" s="21"/>
      <c r="L27" s="65"/>
      <c r="M27" s="23"/>
      <c r="N27" s="22"/>
      <c r="O27" s="20"/>
      <c r="P27" s="20"/>
      <c r="Q27" s="78"/>
      <c r="R27" s="74"/>
      <c r="S27" s="74"/>
      <c r="T27" s="74"/>
      <c r="U27" s="74"/>
      <c r="V27" s="74"/>
      <c r="W27" s="74"/>
      <c r="X27" s="70"/>
      <c r="Y27" s="74"/>
      <c r="Z27" s="74"/>
      <c r="AA27" s="22"/>
    </row>
    <row r="28" spans="1:27" hidden="1">
      <c r="A28" s="13" t="str">
        <v>RCP-Frsh-00025</v>
      </c>
      <c r="B28" s="12" t="str">
        <f>VLOOKUP(A28,'Recipe Ingredients'!$A$5:$D$838,4,0)</f>
        <v>Egg avocado with Glazy</v>
      </c>
      <c r="C28" s="12"/>
      <c r="D28" s="12"/>
      <c r="E28" s="12"/>
      <c r="F28" s="18"/>
      <c r="G28" s="18"/>
      <c r="H28" s="18"/>
      <c r="I28" s="19"/>
      <c r="J28" s="16"/>
      <c r="K28" s="16"/>
      <c r="L28" s="64"/>
      <c r="M28" s="18"/>
      <c r="N28" s="17"/>
      <c r="O28" s="15"/>
      <c r="P28" s="15"/>
      <c r="Q28" s="77"/>
      <c r="R28" s="73"/>
      <c r="S28" s="73"/>
      <c r="T28" s="73"/>
      <c r="U28" s="73"/>
      <c r="V28" s="73"/>
      <c r="W28" s="73"/>
      <c r="X28" s="69"/>
      <c r="Y28" s="73"/>
      <c r="Z28" s="73"/>
      <c r="AA28" s="17"/>
    </row>
    <row r="29" spans="1:27" hidden="1">
      <c r="A29" s="13" t="str">
        <v>RCP-Frsh-00026</v>
      </c>
      <c r="B29" s="12" t="str">
        <f>VLOOKUP(A29,'Recipe Ingredients'!$A$5:$D$838,4,0)</f>
        <v xml:space="preserve">Steak Mushroom Entrecoat </v>
      </c>
      <c r="C29" s="12"/>
      <c r="D29" s="12"/>
      <c r="E29" s="12"/>
      <c r="F29" s="10"/>
      <c r="G29" s="10"/>
      <c r="H29" s="10"/>
      <c r="I29" s="11"/>
      <c r="J29" s="9"/>
      <c r="K29" s="9"/>
      <c r="L29" s="64"/>
      <c r="M29" s="10"/>
      <c r="N29" s="10"/>
      <c r="O29" s="8"/>
      <c r="P29" s="8"/>
      <c r="Q29" s="79"/>
      <c r="R29" s="75"/>
      <c r="S29" s="75"/>
      <c r="T29" s="75"/>
      <c r="U29" s="75"/>
      <c r="V29" s="75"/>
      <c r="W29" s="75"/>
      <c r="X29" s="71"/>
      <c r="Y29" s="75"/>
      <c r="Z29" s="75"/>
      <c r="AA29" s="10"/>
    </row>
    <row r="30" spans="1:27" hidden="1">
      <c r="A30" s="7" t="str">
        <v>RCP-Frsh-00027</v>
      </c>
      <c r="B30" s="12" t="str">
        <f>VLOOKUP(A30,'Recipe Ingredients'!$A$5:$D$838,4,0)</f>
        <v>Avocado Egg Pesto</v>
      </c>
      <c r="C30" s="6"/>
      <c r="D30" s="6"/>
      <c r="E30" s="6"/>
      <c r="F30" s="4"/>
      <c r="G30" s="4"/>
      <c r="H30" s="4"/>
      <c r="I30" s="5"/>
      <c r="J30" s="3"/>
      <c r="K30" s="3"/>
      <c r="L30" s="67"/>
      <c r="M30" s="4"/>
      <c r="N30" s="4"/>
      <c r="O30" s="2"/>
      <c r="P30" s="2"/>
      <c r="Q30" s="80"/>
      <c r="R30" s="76"/>
      <c r="S30" s="76"/>
      <c r="T30" s="76"/>
      <c r="U30" s="76"/>
      <c r="V30" s="76"/>
      <c r="W30" s="76"/>
      <c r="X30" s="72"/>
      <c r="Y30" s="76"/>
      <c r="Z30" s="76"/>
      <c r="AA30" s="4"/>
    </row>
    <row r="31" spans="1:27" hidden="1">
      <c r="A31" s="13" t="str">
        <v>RCP-Frsh-00028</v>
      </c>
      <c r="B31" s="12" t="str">
        <f>VLOOKUP(A31,'Recipe Ingredients'!$A$5:$D$838,4,0)</f>
        <v>Chicken Creamy Dill</v>
      </c>
      <c r="C31" s="12"/>
      <c r="D31" s="12"/>
      <c r="E31" s="12"/>
      <c r="F31" s="10"/>
      <c r="G31" s="10"/>
      <c r="H31" s="10"/>
      <c r="I31" s="11"/>
      <c r="J31" s="9"/>
      <c r="K31" s="9"/>
      <c r="L31" s="64"/>
      <c r="M31" s="10"/>
      <c r="N31" s="10"/>
      <c r="O31" s="8"/>
      <c r="P31" s="8"/>
      <c r="Q31" s="79"/>
      <c r="R31" s="75"/>
      <c r="S31" s="75"/>
      <c r="T31" s="75"/>
      <c r="U31" s="75"/>
      <c r="V31" s="75"/>
      <c r="W31" s="75"/>
      <c r="X31" s="71"/>
      <c r="Y31" s="75"/>
      <c r="Z31" s="75"/>
      <c r="AA31" s="10"/>
    </row>
    <row r="32" spans="1:27" hidden="1">
      <c r="A32" s="7" t="str">
        <v>RCP-Frsh-00029</v>
      </c>
      <c r="B32" s="12" t="str">
        <f>VLOOKUP(A32,'Recipe Ingredients'!$A$5:$D$838,4,0)</f>
        <v>Pasta Black Lemon</v>
      </c>
      <c r="C32" s="6"/>
      <c r="D32" s="6"/>
      <c r="E32" s="6"/>
      <c r="F32" s="4"/>
      <c r="G32" s="4"/>
      <c r="H32" s="4"/>
      <c r="I32" s="14"/>
      <c r="J32" s="14"/>
      <c r="K32" s="14"/>
      <c r="L32" s="68"/>
      <c r="M32" s="4"/>
      <c r="N32" s="4"/>
      <c r="O32" s="2"/>
      <c r="P32" s="2"/>
      <c r="Q32" s="80"/>
      <c r="R32" s="76"/>
      <c r="S32" s="76"/>
      <c r="T32" s="76"/>
      <c r="U32" s="76"/>
      <c r="V32" s="76"/>
      <c r="W32" s="76"/>
      <c r="X32" s="72"/>
      <c r="Y32" s="76"/>
      <c r="Z32" s="76"/>
      <c r="AA32" s="4"/>
    </row>
    <row r="33" spans="1:27" hidden="1">
      <c r="A33" s="13" t="str">
        <v>RCP-Frsh-00030</v>
      </c>
      <c r="B33" s="12" t="str">
        <f>VLOOKUP(A33,'Recipe Ingredients'!$A$5:$D$838,4,0)</f>
        <v>Juicy Beef Pasta</v>
      </c>
      <c r="C33" s="12"/>
      <c r="D33" s="12"/>
      <c r="E33" s="12"/>
      <c r="F33" s="10"/>
      <c r="G33" s="10"/>
      <c r="H33" s="10"/>
      <c r="I33" s="11"/>
      <c r="J33" s="9"/>
      <c r="K33" s="9"/>
      <c r="L33" s="64"/>
      <c r="M33" s="10"/>
      <c r="N33" s="10"/>
      <c r="O33" s="8"/>
      <c r="P33" s="8"/>
      <c r="Q33" s="79"/>
      <c r="R33" s="75"/>
      <c r="S33" s="75"/>
      <c r="T33" s="75"/>
      <c r="U33" s="75"/>
      <c r="V33" s="75"/>
      <c r="W33" s="75"/>
      <c r="X33" s="71"/>
      <c r="Y33" s="75"/>
      <c r="Z33" s="75"/>
      <c r="AA33" s="10"/>
    </row>
    <row r="34" spans="1:27" hidden="1">
      <c r="A34" s="7" t="str">
        <v>RCP-Frsh-00031</v>
      </c>
      <c r="B34" s="12" t="str">
        <f>VLOOKUP(A34,'Recipe Ingredients'!$A$5:$D$838,4,0)</f>
        <v>Curry nomi</v>
      </c>
      <c r="C34" s="6"/>
      <c r="D34" s="6"/>
      <c r="E34" s="6"/>
      <c r="F34" s="4"/>
      <c r="G34" s="4"/>
      <c r="H34" s="4"/>
      <c r="I34" s="5"/>
      <c r="J34" s="3"/>
      <c r="K34" s="3"/>
      <c r="L34" s="67"/>
      <c r="M34" s="4"/>
      <c r="N34" s="4"/>
      <c r="O34" s="2"/>
      <c r="P34" s="2"/>
      <c r="Q34" s="80"/>
      <c r="R34" s="76"/>
      <c r="S34" s="76"/>
      <c r="T34" s="76"/>
      <c r="U34" s="76"/>
      <c r="V34" s="76"/>
      <c r="W34" s="76"/>
      <c r="X34" s="72"/>
      <c r="Y34" s="76"/>
      <c r="Z34" s="76"/>
      <c r="AA34" s="4"/>
    </row>
    <row r="35" spans="1:27" hidden="1">
      <c r="A35" s="7" t="str">
        <v>RCP-Frsh-00032</v>
      </c>
      <c r="B35" s="12" t="str">
        <f>VLOOKUP(A35,'Recipe Ingredients'!$A$5:$D$838,4,0)</f>
        <v>Chicken Creamy Sumac</v>
      </c>
      <c r="C35" s="6"/>
      <c r="D35" s="6"/>
      <c r="E35" s="6"/>
      <c r="F35" s="4"/>
      <c r="G35" s="4"/>
      <c r="H35" s="4"/>
      <c r="I35" s="5"/>
      <c r="J35" s="21"/>
      <c r="K35" s="21"/>
      <c r="L35" s="67"/>
      <c r="M35" s="4"/>
      <c r="N35" s="4"/>
      <c r="O35" s="2"/>
      <c r="P35" s="2"/>
      <c r="Q35" s="80"/>
      <c r="R35" s="76"/>
      <c r="S35" s="76"/>
      <c r="T35" s="76"/>
      <c r="U35" s="76"/>
      <c r="V35" s="76"/>
      <c r="W35" s="76"/>
      <c r="X35" s="72"/>
      <c r="Y35" s="76"/>
      <c r="Z35" s="76"/>
      <c r="AA35" s="4"/>
    </row>
    <row r="36" spans="1:27" hidden="1">
      <c r="A36" s="7" t="str">
        <v>RCP-Frsh-00033</v>
      </c>
      <c r="B36" s="12" t="str">
        <f>VLOOKUP(A36,'Recipe Ingredients'!$A$5:$D$838,4,0)</f>
        <v>Philly steak barbecue</v>
      </c>
      <c r="C36" s="6"/>
      <c r="D36" s="6"/>
      <c r="E36" s="6"/>
      <c r="F36" s="4"/>
      <c r="G36" s="4"/>
      <c r="H36" s="4"/>
      <c r="I36" s="5"/>
      <c r="J36" s="21"/>
      <c r="K36" s="21"/>
      <c r="L36" s="67"/>
      <c r="M36" s="4"/>
      <c r="N36" s="4"/>
      <c r="O36" s="2"/>
      <c r="P36" s="2"/>
      <c r="Q36" s="80"/>
      <c r="R36" s="76"/>
      <c r="S36" s="76"/>
      <c r="T36" s="76"/>
      <c r="U36" s="76"/>
      <c r="V36" s="76"/>
      <c r="W36" s="76"/>
      <c r="X36" s="72"/>
      <c r="Y36" s="76"/>
      <c r="Z36" s="76"/>
      <c r="AA36" s="4"/>
    </row>
    <row r="37" spans="1:27" hidden="1">
      <c r="A37" s="7" t="str">
        <v>RCP-Frsh-00034</v>
      </c>
      <c r="B37" s="12" t="str">
        <f>VLOOKUP(A37,'Recipe Ingredients'!$A$5:$D$838,4,0)</f>
        <v>Halloumi with pesto</v>
      </c>
      <c r="C37" s="6"/>
      <c r="D37" s="6"/>
      <c r="E37" s="6"/>
      <c r="F37" s="4"/>
      <c r="G37" s="4"/>
      <c r="H37" s="4"/>
      <c r="I37" s="5"/>
      <c r="J37" s="21"/>
      <c r="K37" s="21"/>
      <c r="L37" s="67"/>
      <c r="M37" s="4"/>
      <c r="N37" s="4"/>
      <c r="O37" s="2"/>
      <c r="P37" s="2"/>
      <c r="Q37" s="80"/>
      <c r="R37" s="76"/>
      <c r="S37" s="76"/>
      <c r="T37" s="76"/>
      <c r="U37" s="76"/>
      <c r="V37" s="76"/>
      <c r="W37" s="76"/>
      <c r="X37" s="72"/>
      <c r="Y37" s="76"/>
      <c r="Z37" s="76"/>
      <c r="AA37" s="4"/>
    </row>
    <row r="38" spans="1:27" hidden="1">
      <c r="A38" s="13" t="str">
        <v>RCP-Frsh-00035</v>
      </c>
      <c r="B38" s="12" t="str">
        <f>VLOOKUP(A38,'Recipe Ingredients'!$A$5:$D$838,4,0)</f>
        <v>Mix cheese</v>
      </c>
    </row>
    <row r="39" spans="1:27" hidden="1">
      <c r="A39" s="13" t="str">
        <v>RCP-Frsh-00047</v>
      </c>
      <c r="B39" s="12" t="str">
        <f>VLOOKUP(A39,'Recipe Ingredients'!$A$5:$D$838,4,0)</f>
        <v>Mango Oats</v>
      </c>
    </row>
    <row r="40" spans="1:27" hidden="1">
      <c r="A40" s="13" t="str">
        <v>RCP-Frsh-00036</v>
      </c>
      <c r="B40" s="12" t="str">
        <f>VLOOKUP(A40,'Recipe Ingredients'!$A$5:$D$838,4,0)</f>
        <v>Peanut Butter Oats</v>
      </c>
    </row>
    <row r="41" spans="1:27" hidden="1">
      <c r="A41" s="13" t="str">
        <v>RCP-Frsh-00037</v>
      </c>
      <c r="B41" s="12" t="str">
        <f>VLOOKUP(A41,'Recipe Ingredients'!$A$5:$D$838,4,0)</f>
        <v>Arabian Sesame Dates balls</v>
      </c>
    </row>
    <row r="42" spans="1:27" hidden="1">
      <c r="A42" s="13" t="str">
        <v>RCP-Frsh-00038</v>
      </c>
      <c r="B42" s="12" t="str">
        <f>VLOOKUP(A42,'Recipe Ingredients'!$A$5:$D$838,4,0)</f>
        <v>Chocolate Dates Balls</v>
      </c>
    </row>
    <row r="43" spans="1:27" hidden="1">
      <c r="A43" s="13" t="str">
        <v>RCP-Frsh-00039</v>
      </c>
      <c r="B43" s="12" t="str">
        <f>VLOOKUP(A43,'Recipe Ingredients'!$A$5:$D$838,4,0)</f>
        <v>Coconut Dates Balls</v>
      </c>
    </row>
    <row r="44" spans="1:27" hidden="1">
      <c r="A44" s="13" t="str">
        <v>RCP-Frsh-00040</v>
      </c>
      <c r="B44" s="12" t="str">
        <f>VLOOKUP(A44,'Recipe Ingredients'!$A$5:$D$838,4,0)</f>
        <v>Cinnamon Dates Balls</v>
      </c>
    </row>
    <row r="45" spans="1:27" hidden="1">
      <c r="A45" s="13" t="str">
        <v>RCP-Frsh-00041</v>
      </c>
      <c r="B45" s="12" t="str">
        <f>VLOOKUP(A45,'Recipe Ingredients'!$A$5:$D$838,4,0)</f>
        <v>Grilled Halloumi Salad</v>
      </c>
    </row>
    <row r="46" spans="1:27" hidden="1">
      <c r="A46" s="13" t="str">
        <v>RCP-Frsh-00042</v>
      </c>
      <c r="B46" s="12" t="str">
        <f>VLOOKUP(A46,'Recipe Ingredients'!$A$5:$D$838,4,0)</f>
        <v>Ranch Salad</v>
      </c>
    </row>
    <row r="47" spans="1:27" hidden="1">
      <c r="A47" s="13" t="str">
        <v>RCP-Frsh-00043</v>
      </c>
      <c r="B47" s="12" t="str">
        <f>VLOOKUP(A47,'Recipe Ingredients'!$A$5:$D$838,4,0)</f>
        <v>Grilled Chicken Ranch Salad</v>
      </c>
    </row>
    <row r="48" spans="1:27" hidden="1">
      <c r="A48" s="13" t="str">
        <v>RCP-Frsh-00044</v>
      </c>
      <c r="B48" s="12" t="str">
        <f>VLOOKUP(A48,'Recipe Ingredients'!$A$5:$D$838,4,0)</f>
        <v>Tuna Salad</v>
      </c>
    </row>
    <row r="49" spans="1:2" hidden="1">
      <c r="A49" s="13" t="str">
        <v>RCP-Frsh-00045</v>
      </c>
      <c r="B49" s="12" t="str">
        <f>VLOOKUP(A49,'Recipe Ingredients'!$A$5:$D$838,4,0)</f>
        <v>Beetroot Salad</v>
      </c>
    </row>
    <row r="50" spans="1:2" hidden="1">
      <c r="A50" s="13" t="str">
        <v>RCP-Frsh-00046</v>
      </c>
      <c r="B50" s="12" t="str">
        <f>VLOOKUP(A50,'Recipe Ingredients'!$A$5:$D$838,4,0)</f>
        <v>Red Beans Salad</v>
      </c>
    </row>
  </sheetData>
  <autoFilter ref="A3:AA50" xr:uid="{00000000-0009-0000-0000-000000000000}">
    <filterColumn colId="1">
      <filters>
        <filter val="Pasta Creamy Potato"/>
      </filters>
    </filterColumn>
  </autoFilter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A839"/>
  <sheetViews>
    <sheetView showGridLines="0" tabSelected="1" topLeftCell="N1" zoomScaleNormal="100" zoomScaleSheetLayoutView="100" workbookViewId="0">
      <pane ySplit="4" topLeftCell="A661" activePane="bottomLeft" state="frozen"/>
      <selection pane="bottomLeft" activeCell="AA676" sqref="AA676"/>
    </sheetView>
  </sheetViews>
  <sheetFormatPr defaultColWidth="8.83984375" defaultRowHeight="14.4"/>
  <cols>
    <col min="1" max="1" width="13.41796875" style="32" customWidth="1"/>
    <col min="2" max="2" width="12.3671875" style="32" customWidth="1"/>
    <col min="3" max="3" width="8.15625" style="32" customWidth="1"/>
    <col min="4" max="4" width="19.83984375" style="84" customWidth="1"/>
    <col min="5" max="5" width="9.3125" style="32" hidden="1" customWidth="1"/>
    <col min="6" max="6" width="13.3125" style="32" customWidth="1"/>
    <col min="7" max="8" width="11.68359375" style="32" customWidth="1"/>
    <col min="9" max="9" width="27.68359375" style="32" bestFit="1" customWidth="1"/>
    <col min="10" max="10" width="6.83984375" style="32" customWidth="1"/>
    <col min="11" max="11" width="8.68359375" style="32" customWidth="1"/>
    <col min="12" max="14" width="13.15625" style="88" customWidth="1"/>
    <col min="15" max="15" width="10.7890625" style="88" customWidth="1"/>
    <col min="16" max="24" width="11.41796875" style="32" customWidth="1"/>
    <col min="25" max="25" width="44.578125" style="32" customWidth="1"/>
    <col min="26" max="16384" width="8.83984375" style="32"/>
  </cols>
  <sheetData>
    <row r="1" spans="1:25" ht="28.15" customHeight="1">
      <c r="A1" s="81" t="s">
        <v>1420</v>
      </c>
      <c r="B1" s="81"/>
      <c r="C1" s="81"/>
      <c r="D1" s="83"/>
      <c r="E1" s="81"/>
      <c r="F1" s="81"/>
      <c r="G1" s="81"/>
      <c r="H1" s="81"/>
      <c r="I1" s="81"/>
      <c r="J1" s="81"/>
      <c r="K1" s="81"/>
      <c r="L1" s="87"/>
      <c r="M1" s="87"/>
      <c r="N1" s="87"/>
      <c r="O1" s="87"/>
      <c r="P1" s="81"/>
      <c r="Q1" s="81"/>
      <c r="R1" s="81"/>
      <c r="S1" s="81"/>
      <c r="T1" s="81"/>
      <c r="U1" s="81"/>
      <c r="V1" s="81"/>
      <c r="W1" s="81"/>
      <c r="X1" s="81"/>
      <c r="Y1" s="91"/>
    </row>
    <row r="2" spans="1:25">
      <c r="A2" s="36"/>
      <c r="B2" s="36"/>
      <c r="C2" s="36"/>
    </row>
    <row r="3" spans="1:25">
      <c r="A3" s="35" t="s">
        <v>1421</v>
      </c>
      <c r="B3" s="34"/>
      <c r="C3" s="34"/>
      <c r="D3" s="85"/>
      <c r="E3" s="34"/>
      <c r="F3" s="34"/>
      <c r="G3" s="34"/>
      <c r="H3" s="34"/>
      <c r="I3" s="34"/>
      <c r="J3" s="34"/>
      <c r="K3" s="34"/>
      <c r="L3" s="89"/>
      <c r="M3" s="89"/>
      <c r="N3" s="89"/>
      <c r="O3" s="89"/>
      <c r="P3" s="34"/>
      <c r="Q3" s="34"/>
      <c r="R3" s="34"/>
      <c r="S3" s="91"/>
      <c r="T3" s="91"/>
      <c r="U3" s="91"/>
      <c r="V3" s="91"/>
      <c r="W3" s="91"/>
      <c r="X3" s="91"/>
      <c r="Y3" s="91"/>
    </row>
    <row r="4" spans="1:25" ht="36" customHeight="1">
      <c r="A4" s="33" t="s">
        <v>1694</v>
      </c>
      <c r="B4" s="33" t="s">
        <v>69</v>
      </c>
      <c r="C4" s="33" t="s">
        <v>0</v>
      </c>
      <c r="D4" s="86" t="s">
        <v>1</v>
      </c>
      <c r="E4" s="33" t="s">
        <v>1429</v>
      </c>
      <c r="F4" s="33" t="s">
        <v>1626</v>
      </c>
      <c r="G4" s="33" t="s">
        <v>1614</v>
      </c>
      <c r="H4" s="33" t="s">
        <v>2</v>
      </c>
      <c r="I4" s="33" t="s">
        <v>3</v>
      </c>
      <c r="J4" s="33" t="s">
        <v>4</v>
      </c>
      <c r="K4" s="33" t="s">
        <v>1695</v>
      </c>
      <c r="L4" s="33" t="s">
        <v>1627</v>
      </c>
      <c r="M4" s="33" t="s">
        <v>1628</v>
      </c>
      <c r="N4" s="33" t="s">
        <v>1629</v>
      </c>
      <c r="O4" s="33" t="s">
        <v>5</v>
      </c>
      <c r="P4" s="33" t="s">
        <v>6</v>
      </c>
      <c r="Q4" s="33" t="s">
        <v>1696</v>
      </c>
      <c r="R4" s="92" t="s">
        <v>7</v>
      </c>
      <c r="S4" s="92" t="s">
        <v>1622</v>
      </c>
      <c r="T4" s="92" t="s">
        <v>1623</v>
      </c>
      <c r="U4" s="92" t="s">
        <v>1624</v>
      </c>
      <c r="V4" s="92" t="s">
        <v>84</v>
      </c>
      <c r="W4" s="92" t="s">
        <v>1684</v>
      </c>
      <c r="X4" s="92" t="s">
        <v>1625</v>
      </c>
      <c r="Y4" s="119" t="s">
        <v>1673</v>
      </c>
    </row>
    <row r="5" spans="1:25" s="90" customFormat="1">
      <c r="A5" s="95" t="s">
        <v>1422</v>
      </c>
      <c r="B5" s="95" t="s">
        <v>1631</v>
      </c>
      <c r="C5" s="95" t="s">
        <v>1427</v>
      </c>
      <c r="D5" s="96" t="s">
        <v>1423</v>
      </c>
      <c r="E5" s="95" t="s">
        <v>1428</v>
      </c>
      <c r="F5" s="95" t="s">
        <v>1669</v>
      </c>
      <c r="G5" s="97"/>
      <c r="H5" s="97" t="str">
        <f>IFERROR(VLOOKUP(I5,'Raw material list'!$A$3:$C$695,3,0),"")</f>
        <v>BKR1-1327</v>
      </c>
      <c r="I5" s="97" t="s">
        <v>118</v>
      </c>
      <c r="J5" s="95" t="s">
        <v>120</v>
      </c>
      <c r="K5" s="95" t="str">
        <f>IFERROR(VLOOKUP(I5,'Raw material list'!$A$3:$E$695,5,0),"")</f>
        <v>Slice</v>
      </c>
      <c r="L5" s="95">
        <v>10</v>
      </c>
      <c r="M5" s="98">
        <f>L5/N5*100</f>
        <v>10</v>
      </c>
      <c r="N5" s="98">
        <v>100</v>
      </c>
      <c r="O5" s="95">
        <v>10</v>
      </c>
      <c r="P5" s="98">
        <f t="shared" ref="P5:P82" si="0">IFERROR(L5/O5,0)</f>
        <v>1</v>
      </c>
      <c r="Q5" s="99">
        <f>IFERROR(VLOOKUP(I5,'Raw material list'!$A$3:$F$695,6,0),"")</f>
        <v>0.22222222222222221</v>
      </c>
      <c r="R5" s="100">
        <f t="shared" ref="R5:R37" si="1">IFERROR(Q5*P5,0)</f>
        <v>0.22222222222222221</v>
      </c>
      <c r="S5" s="94">
        <f>R5*10%</f>
        <v>2.2222222222222223E-2</v>
      </c>
      <c r="T5" s="94">
        <f>R5+S5</f>
        <v>0.24444444444444444</v>
      </c>
      <c r="U5" s="93">
        <f>T5*10%</f>
        <v>2.4444444444444446E-2</v>
      </c>
      <c r="V5" s="93">
        <f>T5*1%</f>
        <v>2.4444444444444444E-3</v>
      </c>
      <c r="W5" s="93">
        <f>T5*1%</f>
        <v>2.4444444444444444E-3</v>
      </c>
      <c r="X5" s="93">
        <f>T5+U5+V5+W5</f>
        <v>0.27377777777777784</v>
      </c>
      <c r="Y5" s="120"/>
    </row>
    <row r="6" spans="1:25" s="90" customFormat="1">
      <c r="A6" s="95" t="s">
        <v>1422</v>
      </c>
      <c r="B6" s="95" t="s">
        <v>1631</v>
      </c>
      <c r="C6" s="95" t="s">
        <v>1427</v>
      </c>
      <c r="D6" s="96" t="s">
        <v>1423</v>
      </c>
      <c r="E6" s="95" t="s">
        <v>1428</v>
      </c>
      <c r="F6" s="95" t="s">
        <v>1670</v>
      </c>
      <c r="G6" s="97"/>
      <c r="H6" s="97" t="str">
        <f>IFERROR(VLOOKUP(I6,'Raw material list'!$A$3:$C$695,3,0),"")</f>
        <v>PLT1-37</v>
      </c>
      <c r="I6" s="97" t="s">
        <v>843</v>
      </c>
      <c r="J6" s="95" t="s">
        <v>14</v>
      </c>
      <c r="K6" s="95" t="str">
        <f>IFERROR(VLOOKUP(I6,'Raw material list'!$A$3:$E$695,5,0),"")</f>
        <v>Each</v>
      </c>
      <c r="L6" s="95">
        <v>12</v>
      </c>
      <c r="M6" s="98">
        <f t="shared" ref="M6:M69" si="2">L6/N6*100</f>
        <v>12</v>
      </c>
      <c r="N6" s="98">
        <v>100</v>
      </c>
      <c r="O6" s="95">
        <v>10</v>
      </c>
      <c r="P6" s="98">
        <f t="shared" si="0"/>
        <v>1.2</v>
      </c>
      <c r="Q6" s="99">
        <f>IFERROR(VLOOKUP(I6,'Raw material list'!$A$3:$F$695,6,0),"")</f>
        <v>0.48299999999999998</v>
      </c>
      <c r="R6" s="100">
        <f t="shared" si="1"/>
        <v>0.5796</v>
      </c>
      <c r="S6" s="94">
        <f t="shared" ref="S6:S69" si="3">R6*10%</f>
        <v>5.7960000000000005E-2</v>
      </c>
      <c r="T6" s="94">
        <f t="shared" ref="T6:T69" si="4">R6+S6</f>
        <v>0.63756000000000002</v>
      </c>
      <c r="U6" s="93">
        <f t="shared" ref="U6:U69" si="5">T6*10%</f>
        <v>6.3756000000000007E-2</v>
      </c>
      <c r="V6" s="93">
        <f t="shared" ref="V6:V69" si="6">T6*1%</f>
        <v>6.3756000000000004E-3</v>
      </c>
      <c r="W6" s="93">
        <f t="shared" ref="W6:W69" si="7">T6*1%</f>
        <v>6.3756000000000004E-3</v>
      </c>
      <c r="X6" s="93">
        <f t="shared" ref="X6:X69" si="8">T6+U6+V6+W6</f>
        <v>0.71406720000000012</v>
      </c>
      <c r="Y6" s="120"/>
    </row>
    <row r="7" spans="1:25" s="90" customFormat="1">
      <c r="A7" s="95" t="s">
        <v>1422</v>
      </c>
      <c r="B7" s="95" t="s">
        <v>1631</v>
      </c>
      <c r="C7" s="95" t="s">
        <v>1427</v>
      </c>
      <c r="D7" s="96" t="s">
        <v>1423</v>
      </c>
      <c r="E7" s="95" t="s">
        <v>1428</v>
      </c>
      <c r="F7" s="95" t="s">
        <v>1670</v>
      </c>
      <c r="G7" s="97"/>
      <c r="H7" s="97" t="str">
        <f>IFERROR(VLOOKUP(I7,'Raw material list'!$A$3:$C$695,3,0),"")</f>
        <v>PRD1-4787</v>
      </c>
      <c r="I7" s="97" t="s">
        <v>959</v>
      </c>
      <c r="J7" s="95" t="s">
        <v>111</v>
      </c>
      <c r="K7" s="95" t="str">
        <f>IFERROR(VLOOKUP(I7,'Raw material list'!$A$3:$E$695,5,0),"")</f>
        <v xml:space="preserve">Gram </v>
      </c>
      <c r="L7" s="95">
        <v>61.12</v>
      </c>
      <c r="M7" s="98">
        <f t="shared" si="2"/>
        <v>150.29508196721309</v>
      </c>
      <c r="N7" s="98">
        <v>40.666666666666664</v>
      </c>
      <c r="O7" s="95">
        <v>10</v>
      </c>
      <c r="P7" s="98">
        <f t="shared" si="0"/>
        <v>6.1120000000000001</v>
      </c>
      <c r="Q7" s="99">
        <f>IFERROR(VLOOKUP(I7,'Raw material list'!$A$3:$F$695,6,0),"")</f>
        <v>7.8624078624078622E-2</v>
      </c>
      <c r="R7" s="100">
        <f t="shared" si="1"/>
        <v>0.48055036855036853</v>
      </c>
      <c r="S7" s="94">
        <f t="shared" si="3"/>
        <v>4.8055036855036856E-2</v>
      </c>
      <c r="T7" s="94">
        <f t="shared" si="4"/>
        <v>0.52860540540540535</v>
      </c>
      <c r="U7" s="93">
        <f t="shared" si="5"/>
        <v>5.286054054054054E-2</v>
      </c>
      <c r="V7" s="93">
        <f t="shared" si="6"/>
        <v>5.2860540540540539E-3</v>
      </c>
      <c r="W7" s="93">
        <f t="shared" si="7"/>
        <v>5.2860540540540539E-3</v>
      </c>
      <c r="X7" s="93">
        <f t="shared" si="8"/>
        <v>0.59203805405405396</v>
      </c>
      <c r="Y7" s="120"/>
    </row>
    <row r="8" spans="1:25" s="90" customFormat="1">
      <c r="A8" s="95" t="s">
        <v>1422</v>
      </c>
      <c r="B8" s="95" t="s">
        <v>1631</v>
      </c>
      <c r="C8" s="95" t="s">
        <v>1427</v>
      </c>
      <c r="D8" s="96" t="s">
        <v>1423</v>
      </c>
      <c r="E8" s="95" t="s">
        <v>1428</v>
      </c>
      <c r="F8" s="95" t="s">
        <v>1670</v>
      </c>
      <c r="G8" s="97"/>
      <c r="H8" s="97" t="str">
        <f>IFERROR(VLOOKUP(I8,'Raw material list'!$A$3:$C$695,3,0),"")</f>
        <v>DRS1-114</v>
      </c>
      <c r="I8" s="97" t="s">
        <v>279</v>
      </c>
      <c r="J8" s="95" t="s">
        <v>111</v>
      </c>
      <c r="K8" s="95" t="str">
        <f>IFERROR(VLOOKUP(I8,'Raw material list'!$A$3:$E$695,5,0),"")</f>
        <v xml:space="preserve">Gram </v>
      </c>
      <c r="L8" s="95">
        <v>3.5</v>
      </c>
      <c r="M8" s="98">
        <f t="shared" si="2"/>
        <v>3.5000000000000004</v>
      </c>
      <c r="N8" s="98">
        <v>100</v>
      </c>
      <c r="O8" s="95">
        <v>10</v>
      </c>
      <c r="P8" s="98">
        <f t="shared" si="0"/>
        <v>0.35</v>
      </c>
      <c r="Q8" s="99">
        <f>IFERROR(VLOOKUP(I8,'Raw material list'!$A$3:$F$695,6,0),"")</f>
        <v>4.7489823609226586E-3</v>
      </c>
      <c r="R8" s="100">
        <f t="shared" si="1"/>
        <v>1.6621438263229305E-3</v>
      </c>
      <c r="S8" s="94">
        <f t="shared" si="3"/>
        <v>1.6621438263229307E-4</v>
      </c>
      <c r="T8" s="94">
        <f t="shared" si="4"/>
        <v>1.8283582089552235E-3</v>
      </c>
      <c r="U8" s="93">
        <f t="shared" si="5"/>
        <v>1.8283582089552235E-4</v>
      </c>
      <c r="V8" s="93">
        <f t="shared" si="6"/>
        <v>1.8283582089552236E-5</v>
      </c>
      <c r="W8" s="93">
        <f t="shared" si="7"/>
        <v>1.8283582089552236E-5</v>
      </c>
      <c r="X8" s="93">
        <f t="shared" si="8"/>
        <v>2.0477611940298507E-3</v>
      </c>
      <c r="Y8" s="120"/>
    </row>
    <row r="9" spans="1:25" s="90" customFormat="1">
      <c r="A9" s="95" t="s">
        <v>1422</v>
      </c>
      <c r="B9" s="95" t="s">
        <v>1631</v>
      </c>
      <c r="C9" s="95" t="s">
        <v>1427</v>
      </c>
      <c r="D9" s="96" t="s">
        <v>1423</v>
      </c>
      <c r="E9" s="95" t="s">
        <v>1428</v>
      </c>
      <c r="F9" s="95" t="s">
        <v>1670</v>
      </c>
      <c r="G9" s="97"/>
      <c r="H9" s="97" t="str">
        <f>IFERROR(VLOOKUP(I9,'Raw material list'!$A$3:$C$695,3,0),"")</f>
        <v>DRS6-537</v>
      </c>
      <c r="I9" s="97" t="s">
        <v>25</v>
      </c>
      <c r="J9" s="95" t="s">
        <v>111</v>
      </c>
      <c r="K9" s="95" t="str">
        <f>IFERROR(VLOOKUP(I9,'Raw material list'!$A$3:$E$695,5,0),"")</f>
        <v xml:space="preserve">Gram </v>
      </c>
      <c r="L9" s="95">
        <v>0.85499999999999998</v>
      </c>
      <c r="M9" s="98">
        <f t="shared" si="2"/>
        <v>0.85499999999999998</v>
      </c>
      <c r="N9" s="98">
        <v>100</v>
      </c>
      <c r="O9" s="95">
        <v>10</v>
      </c>
      <c r="P9" s="98">
        <f t="shared" si="0"/>
        <v>8.5499999999999993E-2</v>
      </c>
      <c r="Q9" s="99">
        <f>IFERROR(VLOOKUP(I9,'Raw material list'!$A$3:$F$695,6,0),"")</f>
        <v>3.5000000000000003E-2</v>
      </c>
      <c r="R9" s="100">
        <f t="shared" si="1"/>
        <v>2.9924999999999999E-3</v>
      </c>
      <c r="S9" s="94">
        <f t="shared" si="3"/>
        <v>2.9925000000000004E-4</v>
      </c>
      <c r="T9" s="94">
        <f t="shared" si="4"/>
        <v>3.29175E-3</v>
      </c>
      <c r="U9" s="93">
        <f t="shared" si="5"/>
        <v>3.2917500000000002E-4</v>
      </c>
      <c r="V9" s="93">
        <f t="shared" si="6"/>
        <v>3.2917499999999998E-5</v>
      </c>
      <c r="W9" s="93">
        <f t="shared" si="7"/>
        <v>3.2917499999999998E-5</v>
      </c>
      <c r="X9" s="93">
        <f t="shared" si="8"/>
        <v>3.6867600000000003E-3</v>
      </c>
      <c r="Y9" s="120"/>
    </row>
    <row r="10" spans="1:25" s="90" customFormat="1">
      <c r="A10" s="95" t="s">
        <v>1422</v>
      </c>
      <c r="B10" s="95" t="s">
        <v>1631</v>
      </c>
      <c r="C10" s="95" t="s">
        <v>1427</v>
      </c>
      <c r="D10" s="96" t="s">
        <v>1423</v>
      </c>
      <c r="E10" s="95" t="s">
        <v>1428</v>
      </c>
      <c r="F10" s="95" t="s">
        <v>1670</v>
      </c>
      <c r="G10" s="97"/>
      <c r="H10" s="97" t="str">
        <f>IFERROR(VLOOKUP(I10,'Raw material list'!$A$3:$C$695,3,0),"")</f>
        <v>DRS6-309</v>
      </c>
      <c r="I10" s="97" t="s">
        <v>35</v>
      </c>
      <c r="J10" s="95" t="s">
        <v>111</v>
      </c>
      <c r="K10" s="95" t="str">
        <f>IFERROR(VLOOKUP(I10,'Raw material list'!$A$3:$E$695,5,0),"")</f>
        <v xml:space="preserve">Gram </v>
      </c>
      <c r="L10" s="95">
        <v>0.85499999999999998</v>
      </c>
      <c r="M10" s="98">
        <f t="shared" si="2"/>
        <v>0.85499999999999998</v>
      </c>
      <c r="N10" s="98">
        <v>100</v>
      </c>
      <c r="O10" s="95">
        <v>10</v>
      </c>
      <c r="P10" s="98">
        <f t="shared" si="0"/>
        <v>8.5499999999999993E-2</v>
      </c>
      <c r="Q10" s="99">
        <f>IFERROR(VLOOKUP(I10,'Raw material list'!$A$3:$F$695,6,0),"")</f>
        <v>2.8000000000000001E-2</v>
      </c>
      <c r="R10" s="100">
        <f t="shared" si="1"/>
        <v>2.3939999999999999E-3</v>
      </c>
      <c r="S10" s="94">
        <f t="shared" si="3"/>
        <v>2.3939999999999999E-4</v>
      </c>
      <c r="T10" s="94">
        <f t="shared" si="4"/>
        <v>2.6333999999999997E-3</v>
      </c>
      <c r="U10" s="93">
        <f t="shared" si="5"/>
        <v>2.6333999999999998E-4</v>
      </c>
      <c r="V10" s="93">
        <f t="shared" si="6"/>
        <v>2.6333999999999999E-5</v>
      </c>
      <c r="W10" s="93">
        <f t="shared" si="7"/>
        <v>2.6333999999999999E-5</v>
      </c>
      <c r="X10" s="93">
        <f t="shared" si="8"/>
        <v>2.9494079999999993E-3</v>
      </c>
      <c r="Y10" s="120"/>
    </row>
    <row r="11" spans="1:25" s="90" customFormat="1">
      <c r="A11" s="95" t="s">
        <v>1422</v>
      </c>
      <c r="B11" s="95" t="s">
        <v>1631</v>
      </c>
      <c r="C11" s="95" t="s">
        <v>1427</v>
      </c>
      <c r="D11" s="96" t="s">
        <v>1423</v>
      </c>
      <c r="E11" s="95" t="s">
        <v>1428</v>
      </c>
      <c r="F11" s="95" t="s">
        <v>1670</v>
      </c>
      <c r="G11" s="97"/>
      <c r="H11" s="97" t="str">
        <f>IFERROR(VLOOKUP(I11,'Raw material list'!$A$3:$C$695,3,0),"")</f>
        <v>DRS6-1570</v>
      </c>
      <c r="I11" s="97" t="s">
        <v>16</v>
      </c>
      <c r="J11" s="95" t="s">
        <v>111</v>
      </c>
      <c r="K11" s="95" t="str">
        <f>IFERROR(VLOOKUP(I11,'Raw material list'!$A$3:$E$695,5,0),"")</f>
        <v xml:space="preserve">Gram </v>
      </c>
      <c r="L11" s="95">
        <v>0.61099999999999999</v>
      </c>
      <c r="M11" s="98">
        <f t="shared" si="2"/>
        <v>0.61099999999999999</v>
      </c>
      <c r="N11" s="98">
        <v>100</v>
      </c>
      <c r="O11" s="95">
        <v>10</v>
      </c>
      <c r="P11" s="98">
        <f t="shared" si="0"/>
        <v>6.1100000000000002E-2</v>
      </c>
      <c r="Q11" s="99">
        <f>IFERROR(VLOOKUP(I11,'Raw material list'!$A$3:$F$695,6,0),"")</f>
        <v>2.8000000000000001E-2</v>
      </c>
      <c r="R11" s="100">
        <f t="shared" si="1"/>
        <v>1.7108000000000002E-3</v>
      </c>
      <c r="S11" s="94">
        <f t="shared" si="3"/>
        <v>1.7108000000000002E-4</v>
      </c>
      <c r="T11" s="94">
        <f t="shared" si="4"/>
        <v>1.8818800000000003E-3</v>
      </c>
      <c r="U11" s="93">
        <f t="shared" si="5"/>
        <v>1.8818800000000005E-4</v>
      </c>
      <c r="V11" s="93">
        <f t="shared" si="6"/>
        <v>1.8818800000000004E-5</v>
      </c>
      <c r="W11" s="93">
        <f t="shared" si="7"/>
        <v>1.8818800000000004E-5</v>
      </c>
      <c r="X11" s="93">
        <f t="shared" si="8"/>
        <v>2.1077056000000007E-3</v>
      </c>
      <c r="Y11" s="120"/>
    </row>
    <row r="12" spans="1:25" s="90" customFormat="1">
      <c r="A12" s="95" t="s">
        <v>1422</v>
      </c>
      <c r="B12" s="95" t="s">
        <v>1631</v>
      </c>
      <c r="C12" s="95" t="s">
        <v>1427</v>
      </c>
      <c r="D12" s="96" t="s">
        <v>1423</v>
      </c>
      <c r="E12" s="95" t="s">
        <v>1428</v>
      </c>
      <c r="F12" s="95" t="s">
        <v>1670</v>
      </c>
      <c r="G12" s="97" t="s">
        <v>1424</v>
      </c>
      <c r="H12" s="97" t="str">
        <f>IFERROR(VLOOKUP(I12,'Raw material list'!$A$3:$C$695,3,0),"")</f>
        <v>DRS1-1652</v>
      </c>
      <c r="I12" s="97" t="s">
        <v>1425</v>
      </c>
      <c r="J12" s="95" t="s">
        <v>111</v>
      </c>
      <c r="K12" s="95" t="str">
        <f>IFERROR(VLOOKUP(I12,'Raw material list'!$A$3:$E$695,5,0),"")</f>
        <v xml:space="preserve">Gram </v>
      </c>
      <c r="L12" s="95">
        <v>67.64</v>
      </c>
      <c r="M12" s="98">
        <f t="shared" si="2"/>
        <v>67.64</v>
      </c>
      <c r="N12" s="98">
        <v>100</v>
      </c>
      <c r="O12" s="95">
        <v>10</v>
      </c>
      <c r="P12" s="98">
        <f t="shared" si="0"/>
        <v>6.7640000000000002</v>
      </c>
      <c r="Q12" s="99">
        <f>IFERROR(VLOOKUP(I12,'Raw material list'!$A$3:$F$695,6,0),"")</f>
        <v>1.2800000000000001E-2</v>
      </c>
      <c r="R12" s="100">
        <f t="shared" si="1"/>
        <v>8.6579200000000009E-2</v>
      </c>
      <c r="S12" s="94">
        <f t="shared" si="3"/>
        <v>8.6579200000000012E-3</v>
      </c>
      <c r="T12" s="94">
        <f t="shared" si="4"/>
        <v>9.5237120000000008E-2</v>
      </c>
      <c r="U12" s="93">
        <f t="shared" si="5"/>
        <v>9.5237120000000019E-3</v>
      </c>
      <c r="V12" s="93">
        <f t="shared" si="6"/>
        <v>9.523712000000001E-4</v>
      </c>
      <c r="W12" s="93">
        <f t="shared" si="7"/>
        <v>9.523712000000001E-4</v>
      </c>
      <c r="X12" s="93">
        <f t="shared" si="8"/>
        <v>0.1066655744</v>
      </c>
      <c r="Y12" s="120"/>
    </row>
    <row r="13" spans="1:25" s="90" customFormat="1">
      <c r="A13" s="95" t="s">
        <v>1422</v>
      </c>
      <c r="B13" s="95" t="s">
        <v>1631</v>
      </c>
      <c r="C13" s="95" t="s">
        <v>1427</v>
      </c>
      <c r="D13" s="96" t="s">
        <v>1423</v>
      </c>
      <c r="E13" s="95" t="s">
        <v>1428</v>
      </c>
      <c r="F13" s="95" t="s">
        <v>1670</v>
      </c>
      <c r="G13" s="97" t="s">
        <v>1424</v>
      </c>
      <c r="H13" s="97" t="str">
        <f>IFERROR(VLOOKUP(I13,'Raw material list'!$A$3:$C$695,3,0),"")</f>
        <v>DRY1-1717</v>
      </c>
      <c r="I13" s="97" t="s">
        <v>303</v>
      </c>
      <c r="J13" s="95" t="s">
        <v>111</v>
      </c>
      <c r="K13" s="95" t="str">
        <f>IFERROR(VLOOKUP(I13,'Raw material list'!$A$3:$E$695,5,0),"")</f>
        <v xml:space="preserve">Gram </v>
      </c>
      <c r="L13" s="95">
        <v>33.82</v>
      </c>
      <c r="M13" s="98">
        <f t="shared" si="2"/>
        <v>33.82</v>
      </c>
      <c r="N13" s="98">
        <v>100</v>
      </c>
      <c r="O13" s="95">
        <v>10</v>
      </c>
      <c r="P13" s="98">
        <f t="shared" si="0"/>
        <v>3.3820000000000001</v>
      </c>
      <c r="Q13" s="99">
        <f>IFERROR(VLOOKUP(I13,'Raw material list'!$A$3:$F$695,6,0),"")</f>
        <v>3.6999999999999998E-2</v>
      </c>
      <c r="R13" s="100">
        <f t="shared" si="1"/>
        <v>0.125134</v>
      </c>
      <c r="S13" s="94">
        <f t="shared" si="3"/>
        <v>1.2513400000000001E-2</v>
      </c>
      <c r="T13" s="94">
        <f t="shared" si="4"/>
        <v>0.1376474</v>
      </c>
      <c r="U13" s="93">
        <f t="shared" si="5"/>
        <v>1.3764740000000001E-2</v>
      </c>
      <c r="V13" s="93">
        <f t="shared" si="6"/>
        <v>1.3764740000000001E-3</v>
      </c>
      <c r="W13" s="93">
        <f t="shared" si="7"/>
        <v>1.3764740000000001E-3</v>
      </c>
      <c r="X13" s="93">
        <f t="shared" si="8"/>
        <v>0.15416508799999998</v>
      </c>
      <c r="Y13" s="120"/>
    </row>
    <row r="14" spans="1:25" s="90" customFormat="1">
      <c r="A14" s="95" t="s">
        <v>1422</v>
      </c>
      <c r="B14" s="95" t="s">
        <v>1631</v>
      </c>
      <c r="C14" s="95" t="s">
        <v>1427</v>
      </c>
      <c r="D14" s="96" t="s">
        <v>1423</v>
      </c>
      <c r="E14" s="95" t="s">
        <v>1428</v>
      </c>
      <c r="F14" s="95" t="s">
        <v>1670</v>
      </c>
      <c r="G14" s="97" t="s">
        <v>1424</v>
      </c>
      <c r="H14" s="97" t="str">
        <f>IFERROR(VLOOKUP(I14,'Raw material list'!$A$3:$C$695,3,0),"")</f>
        <v>PRD1-209</v>
      </c>
      <c r="I14" s="97" t="s">
        <v>26</v>
      </c>
      <c r="J14" s="95" t="s">
        <v>111</v>
      </c>
      <c r="K14" s="95" t="str">
        <f>IFERROR(VLOOKUP(I14,'Raw material list'!$A$3:$E$695,5,0),"")</f>
        <v xml:space="preserve">Gram </v>
      </c>
      <c r="L14" s="95">
        <v>0.67</v>
      </c>
      <c r="M14" s="98">
        <f t="shared" si="2"/>
        <v>1.7631578947368423</v>
      </c>
      <c r="N14" s="98">
        <v>38</v>
      </c>
      <c r="O14" s="95">
        <v>10</v>
      </c>
      <c r="P14" s="98">
        <f t="shared" si="0"/>
        <v>6.7000000000000004E-2</v>
      </c>
      <c r="Q14" s="99">
        <f>IFERROR(VLOOKUP(I14,'Raw material list'!$A$3:$F$695,6,0),"")</f>
        <v>1.0088272383354351E-2</v>
      </c>
      <c r="R14" s="100">
        <f t="shared" si="1"/>
        <v>6.7591424968474153E-4</v>
      </c>
      <c r="S14" s="94">
        <f t="shared" si="3"/>
        <v>6.7591424968474159E-5</v>
      </c>
      <c r="T14" s="94">
        <f t="shared" si="4"/>
        <v>7.4350567465321566E-4</v>
      </c>
      <c r="U14" s="93">
        <f t="shared" si="5"/>
        <v>7.4350567465321577E-5</v>
      </c>
      <c r="V14" s="93">
        <f t="shared" si="6"/>
        <v>7.4350567465321567E-6</v>
      </c>
      <c r="W14" s="93">
        <f t="shared" si="7"/>
        <v>7.4350567465321567E-6</v>
      </c>
      <c r="X14" s="93">
        <f t="shared" si="8"/>
        <v>8.3272635561160158E-4</v>
      </c>
      <c r="Y14" s="120"/>
    </row>
    <row r="15" spans="1:25" s="90" customFormat="1">
      <c r="A15" s="95" t="s">
        <v>1422</v>
      </c>
      <c r="B15" s="95" t="s">
        <v>1631</v>
      </c>
      <c r="C15" s="95" t="s">
        <v>1427</v>
      </c>
      <c r="D15" s="96" t="s">
        <v>1423</v>
      </c>
      <c r="E15" s="95" t="s">
        <v>1428</v>
      </c>
      <c r="F15" s="95" t="s">
        <v>1670</v>
      </c>
      <c r="G15" s="97" t="s">
        <v>1424</v>
      </c>
      <c r="H15" s="97" t="str">
        <f>IFERROR(VLOOKUP(I15,'Raw material list'!$A$3:$C$695,3,0),"")</f>
        <v>DRS6-537</v>
      </c>
      <c r="I15" s="97" t="s">
        <v>25</v>
      </c>
      <c r="J15" s="95" t="s">
        <v>111</v>
      </c>
      <c r="K15" s="95" t="str">
        <f>IFERROR(VLOOKUP(I15,'Raw material list'!$A$3:$E$695,5,0),"")</f>
        <v xml:space="preserve">Gram </v>
      </c>
      <c r="L15" s="95">
        <v>0.27</v>
      </c>
      <c r="M15" s="98">
        <f t="shared" si="2"/>
        <v>0.27</v>
      </c>
      <c r="N15" s="98">
        <v>100</v>
      </c>
      <c r="O15" s="95">
        <v>10</v>
      </c>
      <c r="P15" s="98">
        <f t="shared" si="0"/>
        <v>2.7000000000000003E-2</v>
      </c>
      <c r="Q15" s="99">
        <f>IFERROR(VLOOKUP(I15,'Raw material list'!$A$3:$F$695,6,0),"")</f>
        <v>3.5000000000000003E-2</v>
      </c>
      <c r="R15" s="100">
        <f t="shared" si="1"/>
        <v>9.450000000000002E-4</v>
      </c>
      <c r="S15" s="94">
        <f t="shared" si="3"/>
        <v>9.450000000000002E-5</v>
      </c>
      <c r="T15" s="94">
        <f t="shared" si="4"/>
        <v>1.0395000000000003E-3</v>
      </c>
      <c r="U15" s="93">
        <f t="shared" si="5"/>
        <v>1.0395000000000003E-4</v>
      </c>
      <c r="V15" s="93">
        <f t="shared" si="6"/>
        <v>1.0395000000000003E-5</v>
      </c>
      <c r="W15" s="93">
        <f t="shared" si="7"/>
        <v>1.0395000000000003E-5</v>
      </c>
      <c r="X15" s="93">
        <f t="shared" si="8"/>
        <v>1.1642400000000004E-3</v>
      </c>
      <c r="Y15" s="120"/>
    </row>
    <row r="16" spans="1:25" s="90" customFormat="1">
      <c r="A16" s="95" t="s">
        <v>1422</v>
      </c>
      <c r="B16" s="95" t="s">
        <v>1631</v>
      </c>
      <c r="C16" s="95" t="s">
        <v>1427</v>
      </c>
      <c r="D16" s="96" t="s">
        <v>1423</v>
      </c>
      <c r="E16" s="95" t="s">
        <v>1428</v>
      </c>
      <c r="F16" s="95" t="s">
        <v>1670</v>
      </c>
      <c r="G16" s="97" t="s">
        <v>1424</v>
      </c>
      <c r="H16" s="97" t="str">
        <f>IFERROR(VLOOKUP(I16,'Raw material list'!$A$3:$C$695,3,0),"")</f>
        <v>DRS1-114</v>
      </c>
      <c r="I16" s="97" t="s">
        <v>279</v>
      </c>
      <c r="J16" s="95" t="s">
        <v>111</v>
      </c>
      <c r="K16" s="95" t="str">
        <f>IFERROR(VLOOKUP(I16,'Raw material list'!$A$3:$E$695,5,0),"")</f>
        <v xml:space="preserve">Gram </v>
      </c>
      <c r="L16" s="95">
        <v>0.27</v>
      </c>
      <c r="M16" s="98">
        <f t="shared" si="2"/>
        <v>0.27</v>
      </c>
      <c r="N16" s="98">
        <v>100</v>
      </c>
      <c r="O16" s="95">
        <v>10</v>
      </c>
      <c r="P16" s="98">
        <f t="shared" si="0"/>
        <v>2.7000000000000003E-2</v>
      </c>
      <c r="Q16" s="99">
        <f>IFERROR(VLOOKUP(I16,'Raw material list'!$A$3:$F$695,6,0),"")</f>
        <v>4.7489823609226586E-3</v>
      </c>
      <c r="R16" s="100">
        <f t="shared" si="1"/>
        <v>1.282225237449118E-4</v>
      </c>
      <c r="S16" s="94">
        <f t="shared" si="3"/>
        <v>1.282225237449118E-5</v>
      </c>
      <c r="T16" s="94">
        <f t="shared" si="4"/>
        <v>1.4104477611940298E-4</v>
      </c>
      <c r="U16" s="93">
        <f t="shared" si="5"/>
        <v>1.4104477611940298E-5</v>
      </c>
      <c r="V16" s="93">
        <f t="shared" si="6"/>
        <v>1.4104477611940298E-6</v>
      </c>
      <c r="W16" s="93">
        <f t="shared" si="7"/>
        <v>1.4104477611940298E-6</v>
      </c>
      <c r="X16" s="93">
        <f t="shared" si="8"/>
        <v>1.5797014925373134E-4</v>
      </c>
      <c r="Y16" s="120"/>
    </row>
    <row r="17" spans="1:25" s="90" customFormat="1">
      <c r="A17" s="95" t="s">
        <v>1422</v>
      </c>
      <c r="B17" s="95" t="s">
        <v>1631</v>
      </c>
      <c r="C17" s="95" t="s">
        <v>1427</v>
      </c>
      <c r="D17" s="96" t="s">
        <v>1423</v>
      </c>
      <c r="E17" s="95" t="s">
        <v>1428</v>
      </c>
      <c r="F17" s="95" t="s">
        <v>1670</v>
      </c>
      <c r="G17" s="97" t="s">
        <v>1424</v>
      </c>
      <c r="H17" s="97" t="str">
        <f>IFERROR(VLOOKUP(I17,'Raw material list'!$A$3:$C$695,3,0),"")</f>
        <v>WAT-001</v>
      </c>
      <c r="I17" s="97" t="s">
        <v>1406</v>
      </c>
      <c r="J17" s="95" t="s">
        <v>161</v>
      </c>
      <c r="K17" s="95" t="str">
        <f>IFERROR(VLOOKUP(I17,'Raw material list'!$A$3:$E$695,5,0),"")</f>
        <v>Ml</v>
      </c>
      <c r="L17" s="95">
        <v>6.76</v>
      </c>
      <c r="M17" s="98">
        <f t="shared" si="2"/>
        <v>6.76</v>
      </c>
      <c r="N17" s="98">
        <v>100</v>
      </c>
      <c r="O17" s="95">
        <v>10</v>
      </c>
      <c r="P17" s="98">
        <f t="shared" si="0"/>
        <v>0.67599999999999993</v>
      </c>
      <c r="Q17" s="99">
        <f>IFERROR(VLOOKUP(I17,'Raw material list'!$A$3:$F$695,6,0),"")</f>
        <v>8.0000000000000007E-5</v>
      </c>
      <c r="R17" s="100">
        <f t="shared" si="1"/>
        <v>5.4079999999999997E-5</v>
      </c>
      <c r="S17" s="94">
        <f t="shared" si="3"/>
        <v>5.4079999999999997E-6</v>
      </c>
      <c r="T17" s="94">
        <f t="shared" si="4"/>
        <v>5.9487999999999997E-5</v>
      </c>
      <c r="U17" s="93">
        <f t="shared" si="5"/>
        <v>5.9487999999999997E-6</v>
      </c>
      <c r="V17" s="93">
        <f t="shared" si="6"/>
        <v>5.9487999999999999E-7</v>
      </c>
      <c r="W17" s="93">
        <f t="shared" si="7"/>
        <v>5.9487999999999999E-7</v>
      </c>
      <c r="X17" s="93">
        <f t="shared" si="8"/>
        <v>6.662655999999998E-5</v>
      </c>
      <c r="Y17" s="120"/>
    </row>
    <row r="18" spans="1:25" s="90" customFormat="1">
      <c r="A18" s="95" t="s">
        <v>1422</v>
      </c>
      <c r="B18" s="95" t="s">
        <v>1631</v>
      </c>
      <c r="C18" s="95" t="s">
        <v>1427</v>
      </c>
      <c r="D18" s="96" t="s">
        <v>1423</v>
      </c>
      <c r="E18" s="95" t="s">
        <v>1428</v>
      </c>
      <c r="F18" s="95" t="s">
        <v>1670</v>
      </c>
      <c r="G18" s="97" t="s">
        <v>1424</v>
      </c>
      <c r="H18" s="97" t="str">
        <f>IFERROR(VLOOKUP(I18,'Raw material list'!$A$3:$C$695,3,0),"")</f>
        <v>DRS1-5273</v>
      </c>
      <c r="I18" s="97" t="s">
        <v>773</v>
      </c>
      <c r="J18" s="95" t="s">
        <v>161</v>
      </c>
      <c r="K18" s="95" t="str">
        <f>IFERROR(VLOOKUP(I18,'Raw material list'!$A$3:$E$695,5,0),"")</f>
        <v>Ml</v>
      </c>
      <c r="L18" s="95">
        <v>1.35</v>
      </c>
      <c r="M18" s="98">
        <f t="shared" si="2"/>
        <v>1.35</v>
      </c>
      <c r="N18" s="98">
        <v>100</v>
      </c>
      <c r="O18" s="95">
        <v>10</v>
      </c>
      <c r="P18" s="98">
        <f t="shared" si="0"/>
        <v>0.13500000000000001</v>
      </c>
      <c r="Q18" s="99">
        <f>IFERROR(VLOOKUP(I18,'Raw material list'!$A$3:$F$695,6,0),"")</f>
        <v>1.8518518518518521E-2</v>
      </c>
      <c r="R18" s="100">
        <f t="shared" si="1"/>
        <v>2.5000000000000005E-3</v>
      </c>
      <c r="S18" s="94">
        <f t="shared" si="3"/>
        <v>2.5000000000000006E-4</v>
      </c>
      <c r="T18" s="94">
        <f t="shared" si="4"/>
        <v>2.7500000000000007E-3</v>
      </c>
      <c r="U18" s="93">
        <f t="shared" si="5"/>
        <v>2.7500000000000007E-4</v>
      </c>
      <c r="V18" s="93">
        <f t="shared" si="6"/>
        <v>2.7500000000000008E-5</v>
      </c>
      <c r="W18" s="93">
        <f t="shared" si="7"/>
        <v>2.7500000000000008E-5</v>
      </c>
      <c r="X18" s="93">
        <f t="shared" si="8"/>
        <v>3.0800000000000011E-3</v>
      </c>
      <c r="Y18" s="120"/>
    </row>
    <row r="19" spans="1:25" s="90" customFormat="1">
      <c r="A19" s="95" t="s">
        <v>1422</v>
      </c>
      <c r="B19" s="95" t="s">
        <v>1631</v>
      </c>
      <c r="C19" s="95" t="s">
        <v>1427</v>
      </c>
      <c r="D19" s="96" t="s">
        <v>1423</v>
      </c>
      <c r="E19" s="95" t="s">
        <v>1428</v>
      </c>
      <c r="F19" s="95" t="s">
        <v>1670</v>
      </c>
      <c r="G19" s="97" t="s">
        <v>1424</v>
      </c>
      <c r="H19" s="97" t="str">
        <f>IFERROR(VLOOKUP(I19,'Raw material list'!$A$3:$C$695,3,0),"")</f>
        <v>DRS1-5269</v>
      </c>
      <c r="I19" s="97" t="s">
        <v>248</v>
      </c>
      <c r="J19" s="95" t="s">
        <v>161</v>
      </c>
      <c r="K19" s="95" t="str">
        <f>IFERROR(VLOOKUP(I19,'Raw material list'!$A$3:$E$695,5,0),"")</f>
        <v>Ml</v>
      </c>
      <c r="L19" s="95">
        <v>1.35</v>
      </c>
      <c r="M19" s="98">
        <f t="shared" si="2"/>
        <v>1.35</v>
      </c>
      <c r="N19" s="98">
        <v>100</v>
      </c>
      <c r="O19" s="95">
        <v>10</v>
      </c>
      <c r="P19" s="98">
        <f t="shared" si="0"/>
        <v>0.13500000000000001</v>
      </c>
      <c r="Q19" s="99">
        <f>IFERROR(VLOOKUP(I19,'Raw material list'!$A$3:$F$695,6,0),"")</f>
        <v>0.1066666666666667</v>
      </c>
      <c r="R19" s="100">
        <f t="shared" si="1"/>
        <v>1.4400000000000005E-2</v>
      </c>
      <c r="S19" s="94">
        <f t="shared" si="3"/>
        <v>1.4400000000000005E-3</v>
      </c>
      <c r="T19" s="94">
        <f t="shared" si="4"/>
        <v>1.5840000000000007E-2</v>
      </c>
      <c r="U19" s="93">
        <f t="shared" si="5"/>
        <v>1.5840000000000008E-3</v>
      </c>
      <c r="V19" s="93">
        <f t="shared" si="6"/>
        <v>1.5840000000000008E-4</v>
      </c>
      <c r="W19" s="93">
        <f t="shared" si="7"/>
        <v>1.5840000000000008E-4</v>
      </c>
      <c r="X19" s="93">
        <f t="shared" si="8"/>
        <v>1.7740800000000008E-2</v>
      </c>
      <c r="Y19" s="120"/>
    </row>
    <row r="20" spans="1:25" s="90" customFormat="1">
      <c r="A20" s="95" t="s">
        <v>1422</v>
      </c>
      <c r="B20" s="95" t="s">
        <v>1631</v>
      </c>
      <c r="C20" s="95" t="s">
        <v>1427</v>
      </c>
      <c r="D20" s="96" t="s">
        <v>1423</v>
      </c>
      <c r="E20" s="95" t="s">
        <v>1428</v>
      </c>
      <c r="F20" s="95" t="s">
        <v>1670</v>
      </c>
      <c r="G20" s="97" t="s">
        <v>1424</v>
      </c>
      <c r="H20" s="97" t="str">
        <f>IFERROR(VLOOKUP(I20,'Raw material list'!$A$3:$C$695,3,0),"")</f>
        <v>DRY2-1858</v>
      </c>
      <c r="I20" s="97" t="s">
        <v>42</v>
      </c>
      <c r="J20" s="95" t="s">
        <v>161</v>
      </c>
      <c r="K20" s="95" t="str">
        <f>IFERROR(VLOOKUP(I20,'Raw material list'!$A$3:$E$695,5,0),"")</f>
        <v>Ml</v>
      </c>
      <c r="L20" s="95">
        <v>6.76</v>
      </c>
      <c r="M20" s="98">
        <f t="shared" si="2"/>
        <v>6.76</v>
      </c>
      <c r="N20" s="98">
        <v>100</v>
      </c>
      <c r="O20" s="95">
        <v>10</v>
      </c>
      <c r="P20" s="98">
        <f t="shared" si="0"/>
        <v>0.67599999999999993</v>
      </c>
      <c r="Q20" s="99">
        <f>IFERROR(VLOOKUP(I20,'Raw material list'!$A$3:$F$695,6,0),"")</f>
        <v>9.8800000000000016E-3</v>
      </c>
      <c r="R20" s="100">
        <f t="shared" si="1"/>
        <v>6.6788800000000008E-3</v>
      </c>
      <c r="S20" s="94">
        <f t="shared" si="3"/>
        <v>6.6788800000000016E-4</v>
      </c>
      <c r="T20" s="94">
        <f t="shared" si="4"/>
        <v>7.3467680000000009E-3</v>
      </c>
      <c r="U20" s="93">
        <f t="shared" si="5"/>
        <v>7.3467680000000013E-4</v>
      </c>
      <c r="V20" s="93">
        <f t="shared" si="6"/>
        <v>7.3467680000000013E-5</v>
      </c>
      <c r="W20" s="93">
        <f t="shared" si="7"/>
        <v>7.3467680000000013E-5</v>
      </c>
      <c r="X20" s="93">
        <f t="shared" si="8"/>
        <v>8.2283801599999998E-3</v>
      </c>
      <c r="Y20" s="120"/>
    </row>
    <row r="21" spans="1:25" s="90" customFormat="1">
      <c r="A21" s="95" t="s">
        <v>1422</v>
      </c>
      <c r="B21" s="95" t="s">
        <v>1631</v>
      </c>
      <c r="C21" s="95" t="s">
        <v>1427</v>
      </c>
      <c r="D21" s="96" t="s">
        <v>1423</v>
      </c>
      <c r="E21" s="95" t="s">
        <v>1428</v>
      </c>
      <c r="F21" s="95" t="s">
        <v>1670</v>
      </c>
      <c r="G21" s="97" t="s">
        <v>1424</v>
      </c>
      <c r="H21" s="97" t="str">
        <f>IFERROR(VLOOKUP(I21,'Raw material list'!$A$3:$C$695,3,0),"")</f>
        <v>PRD1-221</v>
      </c>
      <c r="I21" s="97" t="s">
        <v>1022</v>
      </c>
      <c r="J21" s="95" t="s">
        <v>111</v>
      </c>
      <c r="K21" s="95" t="str">
        <f>IFERROR(VLOOKUP(I21,'Raw material list'!$A$3:$E$695,5,0),"")</f>
        <v xml:space="preserve">Gram </v>
      </c>
      <c r="L21" s="95">
        <v>1.0820000000000001</v>
      </c>
      <c r="M21" s="98">
        <f t="shared" si="2"/>
        <v>1.8612385321100915</v>
      </c>
      <c r="N21" s="98">
        <v>58.13333333333334</v>
      </c>
      <c r="O21" s="95">
        <v>10</v>
      </c>
      <c r="P21" s="98">
        <f t="shared" si="0"/>
        <v>0.1082</v>
      </c>
      <c r="Q21" s="99">
        <f>IFERROR(VLOOKUP(I21,'Raw material list'!$A$3:$F$695,6,0),"")</f>
        <v>6.8846815834767653E-3</v>
      </c>
      <c r="R21" s="100">
        <f t="shared" si="1"/>
        <v>7.4492254733218605E-4</v>
      </c>
      <c r="S21" s="94">
        <f t="shared" si="3"/>
        <v>7.4492254733218613E-5</v>
      </c>
      <c r="T21" s="94">
        <f t="shared" si="4"/>
        <v>8.1941480206540462E-4</v>
      </c>
      <c r="U21" s="93">
        <f t="shared" si="5"/>
        <v>8.1941480206540473E-5</v>
      </c>
      <c r="V21" s="93">
        <f t="shared" si="6"/>
        <v>8.194148020654046E-6</v>
      </c>
      <c r="W21" s="93">
        <f t="shared" si="7"/>
        <v>8.194148020654046E-6</v>
      </c>
      <c r="X21" s="93">
        <f t="shared" si="8"/>
        <v>9.1774457831325304E-4</v>
      </c>
      <c r="Y21" s="120"/>
    </row>
    <row r="22" spans="1:25" s="90" customFormat="1">
      <c r="A22" s="95" t="s">
        <v>1422</v>
      </c>
      <c r="B22" s="95" t="s">
        <v>1631</v>
      </c>
      <c r="C22" s="95" t="s">
        <v>1427</v>
      </c>
      <c r="D22" s="96" t="s">
        <v>1423</v>
      </c>
      <c r="E22" s="95" t="s">
        <v>1428</v>
      </c>
      <c r="F22" s="95" t="s">
        <v>1669</v>
      </c>
      <c r="G22" s="97" t="s">
        <v>1426</v>
      </c>
      <c r="H22" s="97" t="str">
        <f>IFERROR(VLOOKUP(I22,'Raw material list'!$A$3:$C$695,3,0),"")</f>
        <v>PRD1-235</v>
      </c>
      <c r="I22" s="97" t="s">
        <v>1048</v>
      </c>
      <c r="J22" s="95" t="s">
        <v>111</v>
      </c>
      <c r="K22" s="95" t="str">
        <f>IFERROR(VLOOKUP(I22,'Raw material list'!$A$3:$E$695,5,0),"")</f>
        <v xml:space="preserve">Gram </v>
      </c>
      <c r="L22" s="95">
        <v>30</v>
      </c>
      <c r="M22" s="98">
        <f t="shared" si="2"/>
        <v>92.783505154639187</v>
      </c>
      <c r="N22" s="98">
        <v>32.333333333333329</v>
      </c>
      <c r="O22" s="95">
        <v>10</v>
      </c>
      <c r="P22" s="98">
        <f t="shared" si="0"/>
        <v>3</v>
      </c>
      <c r="Q22" s="99">
        <f>IFERROR(VLOOKUP(I22,'Raw material list'!$A$3:$F$695,6,0),"")</f>
        <v>1.238390092879257E-2</v>
      </c>
      <c r="R22" s="100">
        <f t="shared" si="1"/>
        <v>3.7151702786377708E-2</v>
      </c>
      <c r="S22" s="94">
        <f t="shared" si="3"/>
        <v>3.7151702786377711E-3</v>
      </c>
      <c r="T22" s="94">
        <f t="shared" si="4"/>
        <v>4.0866873065015477E-2</v>
      </c>
      <c r="U22" s="93">
        <f t="shared" si="5"/>
        <v>4.0866873065015475E-3</v>
      </c>
      <c r="V22" s="93">
        <f t="shared" si="6"/>
        <v>4.086687306501548E-4</v>
      </c>
      <c r="W22" s="93">
        <f t="shared" si="7"/>
        <v>4.086687306501548E-4</v>
      </c>
      <c r="X22" s="93">
        <f t="shared" si="8"/>
        <v>4.5770897832817327E-2</v>
      </c>
      <c r="Y22" s="120"/>
    </row>
    <row r="23" spans="1:25" s="90" customFormat="1">
      <c r="A23" s="95" t="s">
        <v>1434</v>
      </c>
      <c r="B23" s="95" t="s">
        <v>1668</v>
      </c>
      <c r="C23" s="95" t="s">
        <v>1427</v>
      </c>
      <c r="D23" s="101" t="s">
        <v>1430</v>
      </c>
      <c r="E23" s="95" t="s">
        <v>1428</v>
      </c>
      <c r="F23" s="95" t="s">
        <v>1671</v>
      </c>
      <c r="G23" s="97" t="s">
        <v>1617</v>
      </c>
      <c r="H23" s="97" t="str">
        <f>IFERROR(VLOOKUP(I23,'Raw material list'!$A$3:$C$695,3,0),"")</f>
        <v>MET2-1051</v>
      </c>
      <c r="I23" s="97" t="s">
        <v>882</v>
      </c>
      <c r="J23" s="95" t="s">
        <v>111</v>
      </c>
      <c r="K23" s="95" t="str">
        <f>IFERROR(VLOOKUP(I23,'Raw material list'!$A$3:$E$695,5,0),"")</f>
        <v xml:space="preserve">Gram </v>
      </c>
      <c r="L23" s="95">
        <v>1500</v>
      </c>
      <c r="M23" s="98">
        <f t="shared" si="2"/>
        <v>2918.2879377431905</v>
      </c>
      <c r="N23" s="98">
        <v>51.4</v>
      </c>
      <c r="O23" s="95">
        <v>10</v>
      </c>
      <c r="P23" s="98">
        <f t="shared" si="0"/>
        <v>150</v>
      </c>
      <c r="Q23" s="99">
        <f>IFERROR(VLOOKUP(I23,'Raw material list'!$A$3:$F$695,6,0),"")</f>
        <v>8.4705882352941173E-2</v>
      </c>
      <c r="R23" s="100">
        <f t="shared" si="1"/>
        <v>12.705882352941176</v>
      </c>
      <c r="S23" s="94">
        <f t="shared" si="3"/>
        <v>1.2705882352941176</v>
      </c>
      <c r="T23" s="94">
        <f t="shared" si="4"/>
        <v>13.976470588235294</v>
      </c>
      <c r="U23" s="93">
        <f t="shared" si="5"/>
        <v>1.3976470588235295</v>
      </c>
      <c r="V23" s="93">
        <f t="shared" si="6"/>
        <v>0.13976470588235296</v>
      </c>
      <c r="W23" s="93">
        <f t="shared" si="7"/>
        <v>0.13976470588235296</v>
      </c>
      <c r="X23" s="93">
        <f t="shared" si="8"/>
        <v>15.65364705882353</v>
      </c>
      <c r="Y23" s="126" t="s">
        <v>1679</v>
      </c>
    </row>
    <row r="24" spans="1:25" s="90" customFormat="1">
      <c r="A24" s="95" t="s">
        <v>1434</v>
      </c>
      <c r="B24" s="95" t="s">
        <v>1668</v>
      </c>
      <c r="C24" s="95" t="s">
        <v>1427</v>
      </c>
      <c r="D24" s="101" t="s">
        <v>1430</v>
      </c>
      <c r="E24" s="95" t="s">
        <v>1428</v>
      </c>
      <c r="F24" s="95" t="s">
        <v>1671</v>
      </c>
      <c r="G24" s="97" t="s">
        <v>1617</v>
      </c>
      <c r="H24" s="97" t="str">
        <f>IFERROR(VLOOKUP(I24,'Raw material list'!$A$3:$C$695,3,0),"")</f>
        <v>DRS1-1142</v>
      </c>
      <c r="I24" s="97" t="s">
        <v>775</v>
      </c>
      <c r="J24" s="95" t="s">
        <v>111</v>
      </c>
      <c r="K24" s="95" t="str">
        <f>IFERROR(VLOOKUP(I24,'Raw material list'!$A$3:$E$695,5,0),"")</f>
        <v>Ml</v>
      </c>
      <c r="L24" s="95">
        <v>100</v>
      </c>
      <c r="M24" s="98">
        <f t="shared" si="2"/>
        <v>100</v>
      </c>
      <c r="N24" s="98">
        <v>100</v>
      </c>
      <c r="O24" s="95">
        <v>10</v>
      </c>
      <c r="P24" s="98">
        <f t="shared" ref="P24:P29" si="9">IFERROR(L24/O24,0)</f>
        <v>10</v>
      </c>
      <c r="Q24" s="99">
        <f>IFERROR(VLOOKUP(I24,'Raw material list'!$A$3:$F$695,6,0),"")</f>
        <v>2.358E-2</v>
      </c>
      <c r="R24" s="100">
        <f t="shared" ref="R24:R29" si="10">IFERROR(Q24*P24,0)</f>
        <v>0.23580000000000001</v>
      </c>
      <c r="S24" s="94">
        <f t="shared" si="3"/>
        <v>2.3580000000000004E-2</v>
      </c>
      <c r="T24" s="94">
        <f t="shared" si="4"/>
        <v>0.25938</v>
      </c>
      <c r="U24" s="93">
        <f t="shared" si="5"/>
        <v>2.5938000000000003E-2</v>
      </c>
      <c r="V24" s="93">
        <f t="shared" si="6"/>
        <v>2.5937999999999998E-3</v>
      </c>
      <c r="W24" s="93">
        <f t="shared" si="7"/>
        <v>2.5937999999999998E-3</v>
      </c>
      <c r="X24" s="93">
        <f t="shared" si="8"/>
        <v>0.29050559999999997</v>
      </c>
      <c r="Y24" s="114"/>
    </row>
    <row r="25" spans="1:25" s="90" customFormat="1">
      <c r="A25" s="95" t="s">
        <v>1434</v>
      </c>
      <c r="B25" s="95" t="s">
        <v>1668</v>
      </c>
      <c r="C25" s="95" t="s">
        <v>1427</v>
      </c>
      <c r="D25" s="101" t="s">
        <v>1430</v>
      </c>
      <c r="E25" s="95" t="s">
        <v>1428</v>
      </c>
      <c r="F25" s="95" t="s">
        <v>1671</v>
      </c>
      <c r="G25" s="97" t="s">
        <v>1617</v>
      </c>
      <c r="H25" s="97" t="str">
        <f>IFERROR(VLOOKUP(I25,'Raw material list'!$A$3:$C$695,3,0),"")</f>
        <v>PRD1-4327</v>
      </c>
      <c r="I25" s="97" t="s">
        <v>11</v>
      </c>
      <c r="J25" s="95" t="s">
        <v>111</v>
      </c>
      <c r="K25" s="95" t="str">
        <f>IFERROR(VLOOKUP(I25,'Raw material list'!$A$3:$E$695,5,0),"")</f>
        <v xml:space="preserve">Gram </v>
      </c>
      <c r="L25" s="95">
        <v>10</v>
      </c>
      <c r="M25" s="98">
        <f t="shared" si="2"/>
        <v>12.5</v>
      </c>
      <c r="N25" s="133">
        <v>80</v>
      </c>
      <c r="O25" s="95">
        <v>10</v>
      </c>
      <c r="P25" s="98">
        <f t="shared" si="9"/>
        <v>1</v>
      </c>
      <c r="Q25" s="99">
        <f>IFERROR(VLOOKUP(I25,'Raw material list'!$A$3:$F$695,6,0),"")</f>
        <v>1.2999999999999999E-2</v>
      </c>
      <c r="R25" s="100">
        <f t="shared" si="10"/>
        <v>1.2999999999999999E-2</v>
      </c>
      <c r="S25" s="94">
        <f t="shared" si="3"/>
        <v>1.2999999999999999E-3</v>
      </c>
      <c r="T25" s="94">
        <f t="shared" si="4"/>
        <v>1.43E-2</v>
      </c>
      <c r="U25" s="93">
        <f t="shared" si="5"/>
        <v>1.4300000000000001E-3</v>
      </c>
      <c r="V25" s="93">
        <f t="shared" si="6"/>
        <v>1.4300000000000001E-4</v>
      </c>
      <c r="W25" s="93">
        <f t="shared" si="7"/>
        <v>1.4300000000000001E-4</v>
      </c>
      <c r="X25" s="93">
        <f t="shared" si="8"/>
        <v>1.6016000000000002E-2</v>
      </c>
      <c r="Y25" s="114"/>
    </row>
    <row r="26" spans="1:25" s="90" customFormat="1">
      <c r="A26" s="95" t="s">
        <v>1434</v>
      </c>
      <c r="B26" s="95" t="s">
        <v>1668</v>
      </c>
      <c r="C26" s="95" t="s">
        <v>1427</v>
      </c>
      <c r="D26" s="101" t="s">
        <v>1430</v>
      </c>
      <c r="E26" s="95" t="s">
        <v>1428</v>
      </c>
      <c r="F26" s="95" t="s">
        <v>1671</v>
      </c>
      <c r="G26" s="97" t="s">
        <v>1617</v>
      </c>
      <c r="H26" s="97" t="str">
        <f>IFERROR(VLOOKUP(I26,'Raw material list'!$A$3:$C$695,3,0),"")</f>
        <v>PRD1-209</v>
      </c>
      <c r="I26" s="97" t="s">
        <v>26</v>
      </c>
      <c r="J26" s="95" t="s">
        <v>111</v>
      </c>
      <c r="K26" s="95" t="str">
        <f>IFERROR(VLOOKUP(I26,'Raw material list'!$A$3:$E$695,5,0),"")</f>
        <v xml:space="preserve">Gram </v>
      </c>
      <c r="L26" s="95">
        <v>15</v>
      </c>
      <c r="M26" s="98">
        <f t="shared" si="2"/>
        <v>39.473684210526315</v>
      </c>
      <c r="N26" s="98">
        <v>38</v>
      </c>
      <c r="O26" s="95">
        <v>10</v>
      </c>
      <c r="P26" s="98">
        <f t="shared" si="9"/>
        <v>1.5</v>
      </c>
      <c r="Q26" s="99">
        <f>IFERROR(VLOOKUP(I26,'Raw material list'!$A$3:$F$695,6,0),"")</f>
        <v>1.0088272383354351E-2</v>
      </c>
      <c r="R26" s="100">
        <f t="shared" si="10"/>
        <v>1.5132408575031526E-2</v>
      </c>
      <c r="S26" s="94">
        <f t="shared" si="3"/>
        <v>1.5132408575031526E-3</v>
      </c>
      <c r="T26" s="94">
        <f t="shared" si="4"/>
        <v>1.664564943253468E-2</v>
      </c>
      <c r="U26" s="93">
        <f t="shared" si="5"/>
        <v>1.6645649432534681E-3</v>
      </c>
      <c r="V26" s="93">
        <f t="shared" si="6"/>
        <v>1.6645649432534682E-4</v>
      </c>
      <c r="W26" s="93">
        <f t="shared" si="7"/>
        <v>1.6645649432534682E-4</v>
      </c>
      <c r="X26" s="93">
        <f t="shared" si="8"/>
        <v>1.8643127364438843E-2</v>
      </c>
      <c r="Y26" s="114"/>
    </row>
    <row r="27" spans="1:25" s="90" customFormat="1">
      <c r="A27" s="95" t="s">
        <v>1434</v>
      </c>
      <c r="B27" s="95" t="s">
        <v>1668</v>
      </c>
      <c r="C27" s="95" t="s">
        <v>1427</v>
      </c>
      <c r="D27" s="101" t="s">
        <v>1430</v>
      </c>
      <c r="E27" s="95" t="s">
        <v>1428</v>
      </c>
      <c r="F27" s="95" t="s">
        <v>1671</v>
      </c>
      <c r="G27" s="97" t="s">
        <v>1617</v>
      </c>
      <c r="H27" s="97" t="str">
        <f>IFERROR(VLOOKUP(I27,'Raw material list'!$A$3:$C$695,3,0),"")</f>
        <v>DRS6-537</v>
      </c>
      <c r="I27" s="97" t="s">
        <v>25</v>
      </c>
      <c r="J27" s="95" t="s">
        <v>111</v>
      </c>
      <c r="K27" s="95" t="str">
        <f>IFERROR(VLOOKUP(I27,'Raw material list'!$A$3:$E$695,5,0),"")</f>
        <v xml:space="preserve">Gram </v>
      </c>
      <c r="L27" s="95">
        <v>1</v>
      </c>
      <c r="M27" s="98">
        <f t="shared" si="2"/>
        <v>1</v>
      </c>
      <c r="N27" s="98">
        <v>100</v>
      </c>
      <c r="O27" s="95">
        <v>10</v>
      </c>
      <c r="P27" s="98">
        <f t="shared" si="9"/>
        <v>0.1</v>
      </c>
      <c r="Q27" s="99">
        <f>IFERROR(VLOOKUP(I27,'Raw material list'!$A$3:$F$695,6,0),"")</f>
        <v>3.5000000000000003E-2</v>
      </c>
      <c r="R27" s="100">
        <f t="shared" si="10"/>
        <v>3.5000000000000005E-3</v>
      </c>
      <c r="S27" s="94">
        <f t="shared" si="3"/>
        <v>3.5000000000000005E-4</v>
      </c>
      <c r="T27" s="94">
        <f t="shared" si="4"/>
        <v>3.8500000000000006E-3</v>
      </c>
      <c r="U27" s="93">
        <f t="shared" si="5"/>
        <v>3.8500000000000009E-4</v>
      </c>
      <c r="V27" s="93">
        <f t="shared" si="6"/>
        <v>3.8500000000000007E-5</v>
      </c>
      <c r="W27" s="93">
        <f t="shared" si="7"/>
        <v>3.8500000000000007E-5</v>
      </c>
      <c r="X27" s="93">
        <f t="shared" si="8"/>
        <v>4.3120000000000016E-3</v>
      </c>
      <c r="Y27" s="114"/>
    </row>
    <row r="28" spans="1:25" s="90" customFormat="1">
      <c r="A28" s="95" t="s">
        <v>1434</v>
      </c>
      <c r="B28" s="95" t="s">
        <v>1668</v>
      </c>
      <c r="C28" s="95" t="s">
        <v>1427</v>
      </c>
      <c r="D28" s="101" t="s">
        <v>1430</v>
      </c>
      <c r="E28" s="95" t="s">
        <v>1428</v>
      </c>
      <c r="F28" s="95" t="s">
        <v>1671</v>
      </c>
      <c r="G28" s="97" t="s">
        <v>1617</v>
      </c>
      <c r="H28" s="97" t="str">
        <f>IFERROR(VLOOKUP(I28,'Raw material list'!$A$3:$C$695,3,0),"")</f>
        <v>WAT-001</v>
      </c>
      <c r="I28" s="97" t="s">
        <v>1406</v>
      </c>
      <c r="J28" s="95" t="s">
        <v>111</v>
      </c>
      <c r="K28" s="95" t="str">
        <f>IFERROR(VLOOKUP(I28,'Raw material list'!$A$3:$E$695,5,0),"")</f>
        <v>Ml</v>
      </c>
      <c r="L28" s="95">
        <v>100</v>
      </c>
      <c r="M28" s="98">
        <f t="shared" si="2"/>
        <v>100</v>
      </c>
      <c r="N28" s="98">
        <v>100</v>
      </c>
      <c r="O28" s="95">
        <v>10</v>
      </c>
      <c r="P28" s="98">
        <f t="shared" si="9"/>
        <v>10</v>
      </c>
      <c r="Q28" s="99">
        <f>IFERROR(VLOOKUP(I28,'Raw material list'!$A$3:$F$695,6,0),"")</f>
        <v>8.0000000000000007E-5</v>
      </c>
      <c r="R28" s="100">
        <f t="shared" si="10"/>
        <v>8.0000000000000004E-4</v>
      </c>
      <c r="S28" s="94">
        <f t="shared" si="3"/>
        <v>8.0000000000000007E-5</v>
      </c>
      <c r="T28" s="94">
        <f t="shared" si="4"/>
        <v>8.8000000000000003E-4</v>
      </c>
      <c r="U28" s="93">
        <f t="shared" si="5"/>
        <v>8.8000000000000011E-5</v>
      </c>
      <c r="V28" s="93">
        <f t="shared" si="6"/>
        <v>8.8000000000000004E-6</v>
      </c>
      <c r="W28" s="93">
        <f t="shared" si="7"/>
        <v>8.8000000000000004E-6</v>
      </c>
      <c r="X28" s="93">
        <f t="shared" si="8"/>
        <v>9.856000000000001E-4</v>
      </c>
      <c r="Y28" s="114"/>
    </row>
    <row r="29" spans="1:25" s="90" customFormat="1">
      <c r="A29" s="95" t="s">
        <v>1434</v>
      </c>
      <c r="B29" s="95" t="s">
        <v>1668</v>
      </c>
      <c r="C29" s="95" t="s">
        <v>1427</v>
      </c>
      <c r="D29" s="101" t="s">
        <v>1430</v>
      </c>
      <c r="E29" s="95" t="s">
        <v>1428</v>
      </c>
      <c r="F29" s="95" t="s">
        <v>1671</v>
      </c>
      <c r="G29" s="97" t="s">
        <v>1617</v>
      </c>
      <c r="H29" s="97" t="str">
        <f>IFERROR(VLOOKUP(I29,'Raw material list'!$A$3:$C$695,3,0),"")</f>
        <v>PRD1-573</v>
      </c>
      <c r="I29" s="97" t="s">
        <v>1059</v>
      </c>
      <c r="J29" s="95" t="s">
        <v>111</v>
      </c>
      <c r="K29" s="95" t="str">
        <f>IFERROR(VLOOKUP(I29,'Raw material list'!$A$3:$E$695,5,0),"")</f>
        <v xml:space="preserve">Gram </v>
      </c>
      <c r="L29" s="95">
        <v>10</v>
      </c>
      <c r="M29" s="98">
        <f t="shared" si="2"/>
        <v>13.698630136986301</v>
      </c>
      <c r="N29" s="98">
        <v>73</v>
      </c>
      <c r="O29" s="95">
        <v>10</v>
      </c>
      <c r="P29" s="98">
        <f t="shared" si="9"/>
        <v>1</v>
      </c>
      <c r="Q29" s="99">
        <f>IFERROR(VLOOKUP(I29,'Raw material list'!$A$3:$F$695,6,0),"")</f>
        <v>5.4794520547945206E-3</v>
      </c>
      <c r="R29" s="100">
        <f t="shared" si="10"/>
        <v>5.4794520547945206E-3</v>
      </c>
      <c r="S29" s="94">
        <f t="shared" si="3"/>
        <v>5.4794520547945212E-4</v>
      </c>
      <c r="T29" s="94">
        <f t="shared" si="4"/>
        <v>6.0273972602739728E-3</v>
      </c>
      <c r="U29" s="93">
        <f t="shared" si="5"/>
        <v>6.027397260273973E-4</v>
      </c>
      <c r="V29" s="93">
        <f t="shared" si="6"/>
        <v>6.027397260273973E-5</v>
      </c>
      <c r="W29" s="93">
        <f t="shared" si="7"/>
        <v>6.027397260273973E-5</v>
      </c>
      <c r="X29" s="93">
        <f t="shared" si="8"/>
        <v>6.7506849315068507E-3</v>
      </c>
      <c r="Y29" s="114"/>
    </row>
    <row r="30" spans="1:25" s="90" customFormat="1">
      <c r="A30" s="95" t="s">
        <v>1434</v>
      </c>
      <c r="B30" s="95" t="s">
        <v>1668</v>
      </c>
      <c r="C30" s="95" t="s">
        <v>1427</v>
      </c>
      <c r="D30" s="101" t="s">
        <v>1430</v>
      </c>
      <c r="E30" s="95" t="s">
        <v>1428</v>
      </c>
      <c r="F30" s="95" t="s">
        <v>1670</v>
      </c>
      <c r="G30" s="101" t="s">
        <v>1431</v>
      </c>
      <c r="H30" s="97" t="str">
        <f>IFERROR(VLOOKUP(I30,'Raw material list'!$A$3:$C$695,3,0),"")</f>
        <v>PRD1-209</v>
      </c>
      <c r="I30" s="97" t="s">
        <v>26</v>
      </c>
      <c r="J30" s="95" t="s">
        <v>1621</v>
      </c>
      <c r="K30" s="95" t="s">
        <v>1621</v>
      </c>
      <c r="L30" s="95">
        <v>10</v>
      </c>
      <c r="M30" s="98">
        <f t="shared" si="2"/>
        <v>26.315789473684209</v>
      </c>
      <c r="N30" s="98">
        <v>38</v>
      </c>
      <c r="O30" s="95">
        <v>10</v>
      </c>
      <c r="P30" s="98">
        <f t="shared" si="0"/>
        <v>1</v>
      </c>
      <c r="Q30" s="99">
        <f>IFERROR(VLOOKUP(I30,'Raw material list'!$A$3:$F$695,6,0),"")</f>
        <v>1.0088272383354351E-2</v>
      </c>
      <c r="R30" s="100">
        <f t="shared" si="1"/>
        <v>1.0088272383354351E-2</v>
      </c>
      <c r="S30" s="94">
        <f t="shared" si="3"/>
        <v>1.0088272383354351E-3</v>
      </c>
      <c r="T30" s="94">
        <f t="shared" si="4"/>
        <v>1.1097099621689786E-2</v>
      </c>
      <c r="U30" s="93">
        <f t="shared" si="5"/>
        <v>1.1097099621689786E-3</v>
      </c>
      <c r="V30" s="93">
        <f t="shared" si="6"/>
        <v>1.1097099621689786E-4</v>
      </c>
      <c r="W30" s="93">
        <f t="shared" si="7"/>
        <v>1.1097099621689786E-4</v>
      </c>
      <c r="X30" s="93">
        <f t="shared" si="8"/>
        <v>1.2428751576292559E-2</v>
      </c>
      <c r="Y30" s="115"/>
    </row>
    <row r="31" spans="1:25" s="90" customFormat="1">
      <c r="A31" s="95" t="s">
        <v>1434</v>
      </c>
      <c r="B31" s="95" t="s">
        <v>1668</v>
      </c>
      <c r="C31" s="95" t="s">
        <v>1427</v>
      </c>
      <c r="D31" s="101" t="s">
        <v>1430</v>
      </c>
      <c r="E31" s="95" t="s">
        <v>1428</v>
      </c>
      <c r="F31" s="95" t="s">
        <v>1670</v>
      </c>
      <c r="G31" s="101" t="s">
        <v>1431</v>
      </c>
      <c r="H31" s="97" t="str">
        <f>IFERROR(VLOOKUP(I31,'Raw material list'!$A$3:$C$695,3,0),"")</f>
        <v>PRD1-194</v>
      </c>
      <c r="I31" s="97" t="s">
        <v>991</v>
      </c>
      <c r="J31" s="95" t="s">
        <v>111</v>
      </c>
      <c r="K31" s="95" t="str">
        <f>IFERROR(VLOOKUP(I31,'Raw material list'!$A$3:$E$695,5,0),"")</f>
        <v xml:space="preserve">Gram </v>
      </c>
      <c r="L31" s="95">
        <v>10</v>
      </c>
      <c r="M31" s="98">
        <f t="shared" si="2"/>
        <v>10.869565217391305</v>
      </c>
      <c r="N31" s="133">
        <v>92</v>
      </c>
      <c r="O31" s="95">
        <v>10</v>
      </c>
      <c r="P31" s="98">
        <f t="shared" si="0"/>
        <v>1</v>
      </c>
      <c r="Q31" s="99">
        <f>IFERROR(VLOOKUP(I31,'Raw material list'!$A$3:$F$695,6,0),"")</f>
        <v>0.11</v>
      </c>
      <c r="R31" s="100">
        <f t="shared" si="1"/>
        <v>0.11</v>
      </c>
      <c r="S31" s="94">
        <f t="shared" si="3"/>
        <v>1.1000000000000001E-2</v>
      </c>
      <c r="T31" s="94">
        <f t="shared" si="4"/>
        <v>0.121</v>
      </c>
      <c r="U31" s="93">
        <f t="shared" si="5"/>
        <v>1.21E-2</v>
      </c>
      <c r="V31" s="93">
        <f t="shared" si="6"/>
        <v>1.2099999999999999E-3</v>
      </c>
      <c r="W31" s="93">
        <f t="shared" si="7"/>
        <v>1.2099999999999999E-3</v>
      </c>
      <c r="X31" s="93">
        <f t="shared" si="8"/>
        <v>0.13551999999999997</v>
      </c>
      <c r="Y31" s="115"/>
    </row>
    <row r="32" spans="1:25" s="90" customFormat="1">
      <c r="A32" s="95" t="s">
        <v>1434</v>
      </c>
      <c r="B32" s="95" t="s">
        <v>1668</v>
      </c>
      <c r="C32" s="95" t="s">
        <v>1427</v>
      </c>
      <c r="D32" s="101" t="s">
        <v>1430</v>
      </c>
      <c r="E32" s="95" t="s">
        <v>1428</v>
      </c>
      <c r="F32" s="95" t="s">
        <v>1670</v>
      </c>
      <c r="G32" s="101" t="s">
        <v>1431</v>
      </c>
      <c r="H32" s="97" t="str">
        <f>IFERROR(VLOOKUP(I32,'Raw material list'!$A$3:$C$695,3,0),"")</f>
        <v>PRD3-5038</v>
      </c>
      <c r="I32" s="97" t="s">
        <v>955</v>
      </c>
      <c r="J32" s="95" t="s">
        <v>111</v>
      </c>
      <c r="K32" s="95" t="str">
        <f>IFERROR(VLOOKUP(I32,'Raw material list'!$A$3:$E$695,5,0),"")</f>
        <v xml:space="preserve">Gram </v>
      </c>
      <c r="L32" s="95">
        <v>50</v>
      </c>
      <c r="M32" s="98">
        <f t="shared" si="2"/>
        <v>50</v>
      </c>
      <c r="N32" s="98">
        <v>100</v>
      </c>
      <c r="O32" s="95">
        <v>10</v>
      </c>
      <c r="P32" s="98">
        <f t="shared" si="0"/>
        <v>5</v>
      </c>
      <c r="Q32" s="99">
        <f>IFERROR(VLOOKUP(I32,'Raw material list'!$A$3:$F$695,6,0),"")</f>
        <v>2.5999999999999999E-2</v>
      </c>
      <c r="R32" s="100">
        <f t="shared" si="1"/>
        <v>0.13</v>
      </c>
      <c r="S32" s="94">
        <f t="shared" si="3"/>
        <v>1.3000000000000001E-2</v>
      </c>
      <c r="T32" s="94">
        <f t="shared" si="4"/>
        <v>0.14300000000000002</v>
      </c>
      <c r="U32" s="93">
        <f t="shared" si="5"/>
        <v>1.4300000000000002E-2</v>
      </c>
      <c r="V32" s="93">
        <f t="shared" si="6"/>
        <v>1.4300000000000003E-3</v>
      </c>
      <c r="W32" s="93">
        <f t="shared" si="7"/>
        <v>1.4300000000000003E-3</v>
      </c>
      <c r="X32" s="93">
        <f t="shared" si="8"/>
        <v>0.16016</v>
      </c>
      <c r="Y32" s="115"/>
    </row>
    <row r="33" spans="1:25" s="90" customFormat="1">
      <c r="A33" s="95" t="s">
        <v>1434</v>
      </c>
      <c r="B33" s="95" t="s">
        <v>1668</v>
      </c>
      <c r="C33" s="95" t="s">
        <v>1427</v>
      </c>
      <c r="D33" s="101" t="s">
        <v>1430</v>
      </c>
      <c r="E33" s="95" t="s">
        <v>1428</v>
      </c>
      <c r="F33" s="95" t="s">
        <v>1670</v>
      </c>
      <c r="G33" s="101" t="s">
        <v>1432</v>
      </c>
      <c r="H33" s="97" t="str">
        <f>IFERROR(VLOOKUP(I33,'Raw material list'!$A$3:$C$695,3,0),"")</f>
        <v>PRD2-363</v>
      </c>
      <c r="I33" s="97" t="s">
        <v>937</v>
      </c>
      <c r="J33" s="95" t="s">
        <v>111</v>
      </c>
      <c r="K33" s="95" t="str">
        <f>IFERROR(VLOOKUP(I33,'Raw material list'!$A$3:$E$695,5,0),"")</f>
        <v xml:space="preserve">Gram </v>
      </c>
      <c r="L33" s="95">
        <v>638.97</v>
      </c>
      <c r="M33" s="98">
        <f t="shared" si="2"/>
        <v>638.97</v>
      </c>
      <c r="N33" s="98">
        <v>100</v>
      </c>
      <c r="O33" s="95">
        <v>10</v>
      </c>
      <c r="P33" s="98">
        <f t="shared" si="0"/>
        <v>63.897000000000006</v>
      </c>
      <c r="Q33" s="99">
        <f>IFERROR(VLOOKUP(I33,'Raw material list'!$A$3:$F$695,6,0),"")</f>
        <v>5.875E-3</v>
      </c>
      <c r="R33" s="100">
        <f t="shared" si="1"/>
        <v>0.37539487500000002</v>
      </c>
      <c r="S33" s="94">
        <f t="shared" si="3"/>
        <v>3.7539487500000003E-2</v>
      </c>
      <c r="T33" s="94">
        <f t="shared" si="4"/>
        <v>0.41293436250000004</v>
      </c>
      <c r="U33" s="93">
        <f t="shared" si="5"/>
        <v>4.129343625000001E-2</v>
      </c>
      <c r="V33" s="93">
        <f t="shared" si="6"/>
        <v>4.1293436250000003E-3</v>
      </c>
      <c r="W33" s="93">
        <f t="shared" si="7"/>
        <v>4.1293436250000003E-3</v>
      </c>
      <c r="X33" s="93">
        <f t="shared" si="8"/>
        <v>0.46248648600000009</v>
      </c>
      <c r="Y33" s="115"/>
    </row>
    <row r="34" spans="1:25" s="90" customFormat="1">
      <c r="A34" s="95" t="s">
        <v>1434</v>
      </c>
      <c r="B34" s="95" t="s">
        <v>1668</v>
      </c>
      <c r="C34" s="95" t="s">
        <v>1427</v>
      </c>
      <c r="D34" s="101" t="s">
        <v>1430</v>
      </c>
      <c r="E34" s="95" t="s">
        <v>1428</v>
      </c>
      <c r="F34" s="95" t="s">
        <v>1670</v>
      </c>
      <c r="G34" s="101" t="s">
        <v>1432</v>
      </c>
      <c r="H34" s="97" t="str">
        <f>IFERROR(VLOOKUP(I34,'Raw material list'!$A$3:$C$695,3,0),"")</f>
        <v>DRY2-1008</v>
      </c>
      <c r="I34" s="97" t="s">
        <v>21</v>
      </c>
      <c r="J34" s="95" t="s">
        <v>111</v>
      </c>
      <c r="K34" s="95" t="str">
        <f>IFERROR(VLOOKUP(I34,'Raw material list'!$A$3:$E$695,5,0),"")</f>
        <v xml:space="preserve">Gram </v>
      </c>
      <c r="L34" s="95">
        <v>63.89</v>
      </c>
      <c r="M34" s="98">
        <f t="shared" si="2"/>
        <v>63.89</v>
      </c>
      <c r="N34" s="98">
        <v>100</v>
      </c>
      <c r="O34" s="95">
        <v>10</v>
      </c>
      <c r="P34" s="98">
        <f t="shared" si="0"/>
        <v>6.3890000000000002</v>
      </c>
      <c r="Q34" s="99">
        <f>IFERROR(VLOOKUP(I34,'Raw material list'!$A$3:$F$695,6,0),"")</f>
        <v>3.7999999999999999E-2</v>
      </c>
      <c r="R34" s="100">
        <f t="shared" si="1"/>
        <v>0.242782</v>
      </c>
      <c r="S34" s="94">
        <f t="shared" si="3"/>
        <v>2.42782E-2</v>
      </c>
      <c r="T34" s="94">
        <f t="shared" si="4"/>
        <v>0.26706019999999997</v>
      </c>
      <c r="U34" s="93">
        <f t="shared" si="5"/>
        <v>2.6706019999999997E-2</v>
      </c>
      <c r="V34" s="93">
        <f t="shared" si="6"/>
        <v>2.6706019999999998E-3</v>
      </c>
      <c r="W34" s="93">
        <f t="shared" si="7"/>
        <v>2.6706019999999998E-3</v>
      </c>
      <c r="X34" s="93">
        <f t="shared" si="8"/>
        <v>0.29910742400000001</v>
      </c>
      <c r="Y34" s="115"/>
    </row>
    <row r="35" spans="1:25" s="90" customFormat="1">
      <c r="A35" s="95" t="s">
        <v>1434</v>
      </c>
      <c r="B35" s="95" t="s">
        <v>1668</v>
      </c>
      <c r="C35" s="95" t="s">
        <v>1427</v>
      </c>
      <c r="D35" s="101" t="s">
        <v>1430</v>
      </c>
      <c r="E35" s="95" t="s">
        <v>1428</v>
      </c>
      <c r="F35" s="95" t="s">
        <v>1670</v>
      </c>
      <c r="G35" s="101" t="s">
        <v>1432</v>
      </c>
      <c r="H35" s="97" t="str">
        <f>IFERROR(VLOOKUP(I35,'Raw material list'!$A$3:$C$695,3,0),"")</f>
        <v>PRD1-4265</v>
      </c>
      <c r="I35" s="97" t="s">
        <v>10</v>
      </c>
      <c r="J35" s="95" t="s">
        <v>111</v>
      </c>
      <c r="K35" s="95" t="str">
        <f>IFERROR(VLOOKUP(I35,'Raw material list'!$A$3:$E$695,5,0),"")</f>
        <v xml:space="preserve">Gram </v>
      </c>
      <c r="L35" s="95">
        <v>31.94</v>
      </c>
      <c r="M35" s="98">
        <f t="shared" si="2"/>
        <v>37.576470588235296</v>
      </c>
      <c r="N35" s="98">
        <v>85</v>
      </c>
      <c r="O35" s="95">
        <v>10</v>
      </c>
      <c r="P35" s="98">
        <f t="shared" si="0"/>
        <v>3.194</v>
      </c>
      <c r="Q35" s="99">
        <f>IFERROR(VLOOKUP(I35,'Raw material list'!$A$3:$F$695,6,0),"")</f>
        <v>3.529411764705882E-3</v>
      </c>
      <c r="R35" s="100">
        <f t="shared" si="1"/>
        <v>1.1272941176470586E-2</v>
      </c>
      <c r="S35" s="94">
        <f t="shared" si="3"/>
        <v>1.1272941176470586E-3</v>
      </c>
      <c r="T35" s="94">
        <f t="shared" si="4"/>
        <v>1.2400235294117644E-2</v>
      </c>
      <c r="U35" s="93">
        <f t="shared" si="5"/>
        <v>1.2400235294117645E-3</v>
      </c>
      <c r="V35" s="93">
        <f t="shared" si="6"/>
        <v>1.2400235294117646E-4</v>
      </c>
      <c r="W35" s="93">
        <f t="shared" si="7"/>
        <v>1.2400235294117646E-4</v>
      </c>
      <c r="X35" s="93">
        <f t="shared" si="8"/>
        <v>1.3888263529411761E-2</v>
      </c>
      <c r="Y35" s="115"/>
    </row>
    <row r="36" spans="1:25" s="90" customFormat="1">
      <c r="A36" s="95" t="s">
        <v>1434</v>
      </c>
      <c r="B36" s="95" t="s">
        <v>1668</v>
      </c>
      <c r="C36" s="95" t="s">
        <v>1427</v>
      </c>
      <c r="D36" s="101" t="s">
        <v>1430</v>
      </c>
      <c r="E36" s="95" t="s">
        <v>1428</v>
      </c>
      <c r="F36" s="95" t="s">
        <v>1670</v>
      </c>
      <c r="G36" s="101" t="s">
        <v>1432</v>
      </c>
      <c r="H36" s="97" t="str">
        <f>IFERROR(VLOOKUP(I36,'Raw material list'!$A$3:$C$695,3,0),"")</f>
        <v>PRD1-4327</v>
      </c>
      <c r="I36" s="97" t="s">
        <v>11</v>
      </c>
      <c r="J36" s="95" t="s">
        <v>111</v>
      </c>
      <c r="K36" s="95" t="str">
        <f>IFERROR(VLOOKUP(I36,'Raw material list'!$A$3:$E$695,5,0),"")</f>
        <v xml:space="preserve">Gram </v>
      </c>
      <c r="L36" s="95">
        <v>3.5</v>
      </c>
      <c r="M36" s="98">
        <f t="shared" si="2"/>
        <v>4.375</v>
      </c>
      <c r="N36" s="133">
        <v>80</v>
      </c>
      <c r="O36" s="95">
        <v>10</v>
      </c>
      <c r="P36" s="98">
        <f t="shared" si="0"/>
        <v>0.35</v>
      </c>
      <c r="Q36" s="99">
        <f>IFERROR(VLOOKUP(I36,'Raw material list'!$A$3:$F$695,6,0),"")</f>
        <v>1.2999999999999999E-2</v>
      </c>
      <c r="R36" s="100">
        <f t="shared" si="1"/>
        <v>4.5499999999999994E-3</v>
      </c>
      <c r="S36" s="94">
        <f t="shared" si="3"/>
        <v>4.5499999999999995E-4</v>
      </c>
      <c r="T36" s="94">
        <f t="shared" si="4"/>
        <v>5.004999999999999E-3</v>
      </c>
      <c r="U36" s="93">
        <f t="shared" si="5"/>
        <v>5.0049999999999997E-4</v>
      </c>
      <c r="V36" s="93">
        <f t="shared" si="6"/>
        <v>5.004999999999999E-5</v>
      </c>
      <c r="W36" s="93">
        <f t="shared" si="7"/>
        <v>5.004999999999999E-5</v>
      </c>
      <c r="X36" s="93">
        <f t="shared" si="8"/>
        <v>5.6055999999999996E-3</v>
      </c>
      <c r="Y36" s="115"/>
    </row>
    <row r="37" spans="1:25" s="90" customFormat="1">
      <c r="A37" s="95" t="s">
        <v>1434</v>
      </c>
      <c r="B37" s="95" t="s">
        <v>1668</v>
      </c>
      <c r="C37" s="95" t="s">
        <v>1427</v>
      </c>
      <c r="D37" s="101" t="s">
        <v>1430</v>
      </c>
      <c r="E37" s="95" t="s">
        <v>1428</v>
      </c>
      <c r="F37" s="95" t="s">
        <v>1670</v>
      </c>
      <c r="G37" s="101" t="s">
        <v>1432</v>
      </c>
      <c r="H37" s="97" t="str">
        <f>IFERROR(VLOOKUP(I37,'Raw material list'!$A$3:$C$695,3,0),"")</f>
        <v>DRS5-980</v>
      </c>
      <c r="I37" s="97" t="s">
        <v>410</v>
      </c>
      <c r="J37" s="95" t="s">
        <v>111</v>
      </c>
      <c r="K37" s="95" t="str">
        <f>IFERROR(VLOOKUP(I37,'Raw material list'!$A$3:$E$695,5,0),"")</f>
        <v xml:space="preserve">Gram </v>
      </c>
      <c r="L37" s="95">
        <v>12.77</v>
      </c>
      <c r="M37" s="98">
        <f t="shared" si="2"/>
        <v>12.770000000000001</v>
      </c>
      <c r="N37" s="98">
        <v>100</v>
      </c>
      <c r="O37" s="95">
        <v>10</v>
      </c>
      <c r="P37" s="98">
        <f t="shared" si="0"/>
        <v>1.2769999999999999</v>
      </c>
      <c r="Q37" s="99">
        <f>IFERROR(VLOOKUP(I37,'Raw material list'!$A$3:$F$695,6,0),"")</f>
        <v>1E-3</v>
      </c>
      <c r="R37" s="100">
        <f t="shared" si="1"/>
        <v>1.2769999999999999E-3</v>
      </c>
      <c r="S37" s="94">
        <f t="shared" si="3"/>
        <v>1.2769999999999999E-4</v>
      </c>
      <c r="T37" s="94">
        <f t="shared" si="4"/>
        <v>1.4046999999999998E-3</v>
      </c>
      <c r="U37" s="93">
        <f t="shared" si="5"/>
        <v>1.4046999999999999E-4</v>
      </c>
      <c r="V37" s="93">
        <f t="shared" si="6"/>
        <v>1.4046999999999998E-5</v>
      </c>
      <c r="W37" s="93">
        <f t="shared" si="7"/>
        <v>1.4046999999999998E-5</v>
      </c>
      <c r="X37" s="93">
        <f t="shared" si="8"/>
        <v>1.573264E-3</v>
      </c>
      <c r="Y37" s="115"/>
    </row>
    <row r="38" spans="1:25" s="90" customFormat="1">
      <c r="A38" s="95" t="s">
        <v>1434</v>
      </c>
      <c r="B38" s="95" t="s">
        <v>1668</v>
      </c>
      <c r="C38" s="95" t="s">
        <v>1427</v>
      </c>
      <c r="D38" s="101" t="s">
        <v>1430</v>
      </c>
      <c r="E38" s="95" t="s">
        <v>1428</v>
      </c>
      <c r="F38" s="95" t="s">
        <v>1670</v>
      </c>
      <c r="G38" s="101" t="s">
        <v>1432</v>
      </c>
      <c r="H38" s="97" t="str">
        <f>IFERROR(VLOOKUP(I38,'Raw material list'!$A$3:$C$695,3,0),"")</f>
        <v>DRY2-1858</v>
      </c>
      <c r="I38" s="97" t="s">
        <v>42</v>
      </c>
      <c r="J38" s="95" t="s">
        <v>161</v>
      </c>
      <c r="K38" s="95" t="str">
        <f>IFERROR(VLOOKUP(I38,'Raw material list'!$A$3:$E$695,5,0),"")</f>
        <v>Ml</v>
      </c>
      <c r="L38" s="95">
        <v>798.72</v>
      </c>
      <c r="M38" s="98">
        <f t="shared" si="2"/>
        <v>798.72</v>
      </c>
      <c r="N38" s="98">
        <v>100</v>
      </c>
      <c r="O38" s="95">
        <v>10</v>
      </c>
      <c r="P38" s="98">
        <f t="shared" si="0"/>
        <v>79.872</v>
      </c>
      <c r="Q38" s="99">
        <f>IFERROR(VLOOKUP(I38,'Raw material list'!$A$3:$F$695,6,0),"")</f>
        <v>9.8800000000000016E-3</v>
      </c>
      <c r="R38" s="100">
        <f t="shared" ref="R38:R69" si="11">IFERROR(Q38*P38,0)</f>
        <v>0.78913536000000017</v>
      </c>
      <c r="S38" s="94">
        <f t="shared" si="3"/>
        <v>7.891353600000002E-2</v>
      </c>
      <c r="T38" s="94">
        <f t="shared" si="4"/>
        <v>0.86804889600000024</v>
      </c>
      <c r="U38" s="93">
        <f t="shared" si="5"/>
        <v>8.6804889600000032E-2</v>
      </c>
      <c r="V38" s="93">
        <f t="shared" si="6"/>
        <v>8.6804889600000032E-3</v>
      </c>
      <c r="W38" s="93">
        <f t="shared" si="7"/>
        <v>8.6804889600000032E-3</v>
      </c>
      <c r="X38" s="93">
        <f t="shared" si="8"/>
        <v>0.97221476352000014</v>
      </c>
      <c r="Y38" s="115"/>
    </row>
    <row r="39" spans="1:25" s="90" customFormat="1">
      <c r="A39" s="95" t="s">
        <v>1434</v>
      </c>
      <c r="B39" s="95" t="s">
        <v>1668</v>
      </c>
      <c r="C39" s="95" t="s">
        <v>1427</v>
      </c>
      <c r="D39" s="101" t="s">
        <v>1430</v>
      </c>
      <c r="E39" s="95" t="s">
        <v>1428</v>
      </c>
      <c r="F39" s="95" t="s">
        <v>1670</v>
      </c>
      <c r="G39" s="101" t="s">
        <v>1432</v>
      </c>
      <c r="H39" s="97" t="str">
        <f>IFERROR(VLOOKUP(I39,'Raw material list'!$A$3:$C$695,3,0),"")</f>
        <v>DRS1-114</v>
      </c>
      <c r="I39" s="97" t="s">
        <v>279</v>
      </c>
      <c r="J39" s="95" t="s">
        <v>111</v>
      </c>
      <c r="K39" s="95" t="str">
        <f>IFERROR(VLOOKUP(I39,'Raw material list'!$A$3:$E$695,5,0),"")</f>
        <v xml:space="preserve">Gram </v>
      </c>
      <c r="L39" s="95">
        <v>3.99</v>
      </c>
      <c r="M39" s="98">
        <f t="shared" si="2"/>
        <v>3.9900000000000007</v>
      </c>
      <c r="N39" s="98">
        <v>100</v>
      </c>
      <c r="O39" s="95">
        <v>10</v>
      </c>
      <c r="P39" s="98">
        <f t="shared" si="0"/>
        <v>0.39900000000000002</v>
      </c>
      <c r="Q39" s="99">
        <f>IFERROR(VLOOKUP(I39,'Raw material list'!$A$3:$F$695,6,0),"")</f>
        <v>4.7489823609226586E-3</v>
      </c>
      <c r="R39" s="100">
        <f t="shared" si="11"/>
        <v>1.8948439620081409E-3</v>
      </c>
      <c r="S39" s="94">
        <f t="shared" si="3"/>
        <v>1.8948439620081409E-4</v>
      </c>
      <c r="T39" s="94">
        <f t="shared" si="4"/>
        <v>2.084328358208955E-3</v>
      </c>
      <c r="U39" s="93">
        <f t="shared" si="5"/>
        <v>2.084328358208955E-4</v>
      </c>
      <c r="V39" s="93">
        <f t="shared" si="6"/>
        <v>2.084328358208955E-5</v>
      </c>
      <c r="W39" s="93">
        <f t="shared" si="7"/>
        <v>2.084328358208955E-5</v>
      </c>
      <c r="X39" s="93">
        <f t="shared" si="8"/>
        <v>2.3344477611940296E-3</v>
      </c>
      <c r="Y39" s="115"/>
    </row>
    <row r="40" spans="1:25" s="90" customFormat="1">
      <c r="A40" s="95" t="s">
        <v>1434</v>
      </c>
      <c r="B40" s="95" t="s">
        <v>1668</v>
      </c>
      <c r="C40" s="95" t="s">
        <v>1427</v>
      </c>
      <c r="D40" s="101" t="s">
        <v>1430</v>
      </c>
      <c r="E40" s="95" t="s">
        <v>1428</v>
      </c>
      <c r="F40" s="95" t="s">
        <v>1670</v>
      </c>
      <c r="G40" s="101" t="s">
        <v>1432</v>
      </c>
      <c r="H40" s="97" t="str">
        <f>IFERROR(VLOOKUP(I40,'Raw material list'!$A$3:$C$695,3,0),"")</f>
        <v>DRS6-537</v>
      </c>
      <c r="I40" s="97" t="s">
        <v>25</v>
      </c>
      <c r="J40" s="95" t="s">
        <v>111</v>
      </c>
      <c r="K40" s="95" t="str">
        <f>IFERROR(VLOOKUP(I40,'Raw material list'!$A$3:$E$695,5,0),"")</f>
        <v xml:space="preserve">Gram </v>
      </c>
      <c r="L40" s="95">
        <v>2.39</v>
      </c>
      <c r="M40" s="98">
        <f t="shared" si="2"/>
        <v>2.39</v>
      </c>
      <c r="N40" s="98">
        <v>100</v>
      </c>
      <c r="O40" s="95">
        <v>10</v>
      </c>
      <c r="P40" s="98">
        <f t="shared" si="0"/>
        <v>0.23900000000000002</v>
      </c>
      <c r="Q40" s="99">
        <f>IFERROR(VLOOKUP(I40,'Raw material list'!$A$3:$F$695,6,0),"")</f>
        <v>3.5000000000000003E-2</v>
      </c>
      <c r="R40" s="100">
        <f t="shared" si="11"/>
        <v>8.3650000000000009E-3</v>
      </c>
      <c r="S40" s="94">
        <f t="shared" si="3"/>
        <v>8.3650000000000011E-4</v>
      </c>
      <c r="T40" s="94">
        <f t="shared" si="4"/>
        <v>9.2015000000000013E-3</v>
      </c>
      <c r="U40" s="93">
        <f t="shared" si="5"/>
        <v>9.2015000000000022E-4</v>
      </c>
      <c r="V40" s="93">
        <f t="shared" si="6"/>
        <v>9.2015000000000019E-5</v>
      </c>
      <c r="W40" s="93">
        <f t="shared" si="7"/>
        <v>9.2015000000000019E-5</v>
      </c>
      <c r="X40" s="93">
        <f t="shared" si="8"/>
        <v>1.0305680000000003E-2</v>
      </c>
      <c r="Y40" s="115"/>
    </row>
    <row r="41" spans="1:25" s="90" customFormat="1">
      <c r="A41" s="95" t="s">
        <v>1434</v>
      </c>
      <c r="B41" s="95" t="s">
        <v>1668</v>
      </c>
      <c r="C41" s="95" t="s">
        <v>1427</v>
      </c>
      <c r="D41" s="101" t="s">
        <v>1430</v>
      </c>
      <c r="E41" s="95" t="s">
        <v>1428</v>
      </c>
      <c r="F41" s="95" t="s">
        <v>1670</v>
      </c>
      <c r="G41" s="101" t="s">
        <v>1432</v>
      </c>
      <c r="H41" s="97" t="str">
        <f>IFERROR(VLOOKUP(I41,'Raw material list'!$A$3:$C$695,3,0),"")</f>
        <v>PRD1-209</v>
      </c>
      <c r="I41" s="97" t="s">
        <v>26</v>
      </c>
      <c r="J41" s="95" t="s">
        <v>111</v>
      </c>
      <c r="K41" s="95" t="str">
        <f>IFERROR(VLOOKUP(I41,'Raw material list'!$A$3:$E$695,5,0),"")</f>
        <v xml:space="preserve">Gram </v>
      </c>
      <c r="L41" s="95">
        <v>3.19</v>
      </c>
      <c r="M41" s="98">
        <f t="shared" si="2"/>
        <v>8.3947368421052637</v>
      </c>
      <c r="N41" s="98">
        <v>38</v>
      </c>
      <c r="O41" s="95">
        <v>10</v>
      </c>
      <c r="P41" s="98">
        <f t="shared" si="0"/>
        <v>0.31900000000000001</v>
      </c>
      <c r="Q41" s="99">
        <f>IFERROR(VLOOKUP(I41,'Raw material list'!$A$3:$F$695,6,0),"")</f>
        <v>1.0088272383354351E-2</v>
      </c>
      <c r="R41" s="100">
        <f t="shared" si="11"/>
        <v>3.2181588902900379E-3</v>
      </c>
      <c r="S41" s="94">
        <f t="shared" si="3"/>
        <v>3.2181588902900382E-4</v>
      </c>
      <c r="T41" s="94">
        <f t="shared" si="4"/>
        <v>3.5399747793190416E-3</v>
      </c>
      <c r="U41" s="93">
        <f t="shared" si="5"/>
        <v>3.5399747793190417E-4</v>
      </c>
      <c r="V41" s="93">
        <f t="shared" si="6"/>
        <v>3.5399747793190418E-5</v>
      </c>
      <c r="W41" s="93">
        <f t="shared" si="7"/>
        <v>3.5399747793190418E-5</v>
      </c>
      <c r="X41" s="93">
        <f t="shared" si="8"/>
        <v>3.9647717528373269E-3</v>
      </c>
      <c r="Y41" s="115"/>
    </row>
    <row r="42" spans="1:25" s="90" customFormat="1">
      <c r="A42" s="95" t="s">
        <v>1434</v>
      </c>
      <c r="B42" s="95" t="s">
        <v>1668</v>
      </c>
      <c r="C42" s="95" t="s">
        <v>1427</v>
      </c>
      <c r="D42" s="101" t="s">
        <v>1430</v>
      </c>
      <c r="E42" s="95" t="s">
        <v>1428</v>
      </c>
      <c r="F42" s="95" t="s">
        <v>1670</v>
      </c>
      <c r="G42" s="101" t="s">
        <v>1433</v>
      </c>
      <c r="H42" s="97" t="str">
        <f>IFERROR(VLOOKUP(I42,'Raw material list'!$A$3:$C$695,3,0),"")</f>
        <v>DRS4-498</v>
      </c>
      <c r="I42" s="97" t="s">
        <v>62</v>
      </c>
      <c r="J42" s="95" t="s">
        <v>111</v>
      </c>
      <c r="K42" s="95" t="str">
        <f>IFERROR(VLOOKUP(I42,'Raw material list'!$A$3:$E$695,5,0),"")</f>
        <v xml:space="preserve">Gram </v>
      </c>
      <c r="L42" s="95">
        <v>600</v>
      </c>
      <c r="M42" s="98">
        <f t="shared" si="2"/>
        <v>600</v>
      </c>
      <c r="N42" s="98">
        <v>100</v>
      </c>
      <c r="O42" s="95">
        <v>10</v>
      </c>
      <c r="P42" s="98">
        <f t="shared" si="0"/>
        <v>60</v>
      </c>
      <c r="Q42" s="99">
        <f>IFERROR(VLOOKUP(I42,'Raw material list'!$A$3:$F$695,6,0),"")</f>
        <v>5.7499999999999999E-3</v>
      </c>
      <c r="R42" s="100">
        <f t="shared" si="11"/>
        <v>0.34499999999999997</v>
      </c>
      <c r="S42" s="94">
        <f t="shared" si="3"/>
        <v>3.4499999999999996E-2</v>
      </c>
      <c r="T42" s="94">
        <f t="shared" si="4"/>
        <v>0.37949999999999995</v>
      </c>
      <c r="U42" s="93">
        <f t="shared" si="5"/>
        <v>3.7949999999999998E-2</v>
      </c>
      <c r="V42" s="93">
        <f t="shared" si="6"/>
        <v>3.7949999999999998E-3</v>
      </c>
      <c r="W42" s="93">
        <f t="shared" si="7"/>
        <v>3.7949999999999998E-3</v>
      </c>
      <c r="X42" s="93">
        <f t="shared" si="8"/>
        <v>0.42503999999999992</v>
      </c>
      <c r="Y42" s="115"/>
    </row>
    <row r="43" spans="1:25" s="90" customFormat="1">
      <c r="A43" s="95" t="s">
        <v>1434</v>
      </c>
      <c r="B43" s="95" t="s">
        <v>1668</v>
      </c>
      <c r="C43" s="95" t="s">
        <v>1427</v>
      </c>
      <c r="D43" s="101" t="s">
        <v>1430</v>
      </c>
      <c r="E43" s="95" t="s">
        <v>1428</v>
      </c>
      <c r="F43" s="95" t="s">
        <v>1670</v>
      </c>
      <c r="G43" s="101" t="s">
        <v>1433</v>
      </c>
      <c r="H43" s="97" t="str">
        <f>IFERROR(VLOOKUP(I43,'Raw material list'!$A$3:$C$695,3,0),"")</f>
        <v>WAT-001</v>
      </c>
      <c r="I43" s="97" t="s">
        <v>1406</v>
      </c>
      <c r="J43" s="95" t="s">
        <v>161</v>
      </c>
      <c r="K43" s="95" t="str">
        <f>IFERROR(VLOOKUP(I43,'Raw material list'!$A$3:$E$695,5,0),"")</f>
        <v>Ml</v>
      </c>
      <c r="L43" s="95">
        <v>1100</v>
      </c>
      <c r="M43" s="98">
        <f t="shared" si="2"/>
        <v>1100</v>
      </c>
      <c r="N43" s="98">
        <v>100</v>
      </c>
      <c r="O43" s="95">
        <v>10</v>
      </c>
      <c r="P43" s="98">
        <f t="shared" si="0"/>
        <v>110</v>
      </c>
      <c r="Q43" s="99">
        <f>IFERROR(VLOOKUP(I43,'Raw material list'!$A$3:$F$695,6,0),"")</f>
        <v>8.0000000000000007E-5</v>
      </c>
      <c r="R43" s="100">
        <f t="shared" si="11"/>
        <v>8.8000000000000005E-3</v>
      </c>
      <c r="S43" s="94">
        <f t="shared" si="3"/>
        <v>8.8000000000000014E-4</v>
      </c>
      <c r="T43" s="94">
        <f t="shared" si="4"/>
        <v>9.6800000000000011E-3</v>
      </c>
      <c r="U43" s="93">
        <f t="shared" si="5"/>
        <v>9.6800000000000011E-4</v>
      </c>
      <c r="V43" s="93">
        <f t="shared" si="6"/>
        <v>9.6800000000000008E-5</v>
      </c>
      <c r="W43" s="93">
        <f t="shared" si="7"/>
        <v>9.6800000000000008E-5</v>
      </c>
      <c r="X43" s="93">
        <f t="shared" si="8"/>
        <v>1.08416E-2</v>
      </c>
      <c r="Y43" s="115"/>
    </row>
    <row r="44" spans="1:25" s="90" customFormat="1">
      <c r="A44" s="95" t="s">
        <v>1434</v>
      </c>
      <c r="B44" s="95" t="s">
        <v>1668</v>
      </c>
      <c r="C44" s="95" t="s">
        <v>1427</v>
      </c>
      <c r="D44" s="101" t="s">
        <v>1430</v>
      </c>
      <c r="E44" s="95" t="s">
        <v>1428</v>
      </c>
      <c r="F44" s="95" t="s">
        <v>1670</v>
      </c>
      <c r="G44" s="101" t="s">
        <v>1433</v>
      </c>
      <c r="H44" s="97" t="str">
        <f>IFERROR(VLOOKUP(I44,'Raw material list'!$A$3:$C$695,3,0),"")</f>
        <v>DRS1-3880</v>
      </c>
      <c r="I44" s="97" t="s">
        <v>1398</v>
      </c>
      <c r="J44" s="95" t="s">
        <v>111</v>
      </c>
      <c r="K44" s="95" t="str">
        <f>IFERROR(VLOOKUP(I44,'Raw material list'!$A$3:$E$695,5,0),"")</f>
        <v xml:space="preserve">Gram </v>
      </c>
      <c r="L44" s="95">
        <v>14</v>
      </c>
      <c r="M44" s="98">
        <f t="shared" si="2"/>
        <v>14.000000000000002</v>
      </c>
      <c r="N44" s="98">
        <v>100</v>
      </c>
      <c r="O44" s="95">
        <v>10</v>
      </c>
      <c r="P44" s="98">
        <f t="shared" si="0"/>
        <v>1.4</v>
      </c>
      <c r="Q44" s="99">
        <f>IFERROR(VLOOKUP(I44,'Raw material list'!$A$3:$F$695,6,0),"")</f>
        <v>5.0000000000000001E-4</v>
      </c>
      <c r="R44" s="100">
        <f t="shared" si="11"/>
        <v>6.9999999999999999E-4</v>
      </c>
      <c r="S44" s="94">
        <f t="shared" si="3"/>
        <v>7.0000000000000007E-5</v>
      </c>
      <c r="T44" s="94">
        <f t="shared" si="4"/>
        <v>7.6999999999999996E-4</v>
      </c>
      <c r="U44" s="93">
        <f t="shared" si="5"/>
        <v>7.7000000000000001E-5</v>
      </c>
      <c r="V44" s="93">
        <f t="shared" si="6"/>
        <v>7.6999999999999991E-6</v>
      </c>
      <c r="W44" s="93">
        <f t="shared" si="7"/>
        <v>7.6999999999999991E-6</v>
      </c>
      <c r="X44" s="93">
        <f t="shared" si="8"/>
        <v>8.6240000000000004E-4</v>
      </c>
      <c r="Y44" s="115"/>
    </row>
    <row r="45" spans="1:25" s="90" customFormat="1">
      <c r="A45" s="95" t="s">
        <v>1434</v>
      </c>
      <c r="B45" s="95" t="s">
        <v>1668</v>
      </c>
      <c r="C45" s="95" t="s">
        <v>1427</v>
      </c>
      <c r="D45" s="101" t="s">
        <v>1430</v>
      </c>
      <c r="E45" s="95" t="s">
        <v>1428</v>
      </c>
      <c r="F45" s="95" t="s">
        <v>1670</v>
      </c>
      <c r="G45" s="101" t="s">
        <v>1433</v>
      </c>
      <c r="H45" s="97" t="str">
        <f>IFERROR(VLOOKUP(I45,'Raw material list'!$A$3:$C$695,3,0),"")</f>
        <v>DRS6-309</v>
      </c>
      <c r="I45" s="97" t="s">
        <v>35</v>
      </c>
      <c r="J45" s="95" t="s">
        <v>111</v>
      </c>
      <c r="K45" s="95" t="str">
        <f>IFERROR(VLOOKUP(I45,'Raw material list'!$A$3:$E$695,5,0),"")</f>
        <v xml:space="preserve">Gram </v>
      </c>
      <c r="L45" s="95">
        <v>1</v>
      </c>
      <c r="M45" s="98">
        <f t="shared" si="2"/>
        <v>1</v>
      </c>
      <c r="N45" s="98">
        <v>100</v>
      </c>
      <c r="O45" s="95">
        <v>10</v>
      </c>
      <c r="P45" s="98">
        <f t="shared" si="0"/>
        <v>0.1</v>
      </c>
      <c r="Q45" s="99">
        <f>IFERROR(VLOOKUP(I45,'Raw material list'!$A$3:$F$695,6,0),"")</f>
        <v>2.8000000000000001E-2</v>
      </c>
      <c r="R45" s="100">
        <f t="shared" si="11"/>
        <v>2.8000000000000004E-3</v>
      </c>
      <c r="S45" s="94">
        <f t="shared" si="3"/>
        <v>2.8000000000000003E-4</v>
      </c>
      <c r="T45" s="94">
        <f t="shared" si="4"/>
        <v>3.0800000000000003E-3</v>
      </c>
      <c r="U45" s="93">
        <f t="shared" si="5"/>
        <v>3.0800000000000006E-4</v>
      </c>
      <c r="V45" s="93">
        <f t="shared" si="6"/>
        <v>3.0800000000000003E-5</v>
      </c>
      <c r="W45" s="93">
        <f t="shared" si="7"/>
        <v>3.0800000000000003E-5</v>
      </c>
      <c r="X45" s="93">
        <f t="shared" si="8"/>
        <v>3.4496000000000006E-3</v>
      </c>
      <c r="Y45" s="115"/>
    </row>
    <row r="46" spans="1:25" s="90" customFormat="1">
      <c r="A46" s="95" t="s">
        <v>1434</v>
      </c>
      <c r="B46" s="95" t="s">
        <v>1668</v>
      </c>
      <c r="C46" s="95" t="s">
        <v>1427</v>
      </c>
      <c r="D46" s="101" t="s">
        <v>1430</v>
      </c>
      <c r="E46" s="95" t="s">
        <v>1428</v>
      </c>
      <c r="F46" s="95" t="s">
        <v>1670</v>
      </c>
      <c r="G46" s="101" t="s">
        <v>1433</v>
      </c>
      <c r="H46" s="97" t="str">
        <f>IFERROR(VLOOKUP(I46,'Raw material list'!$A$3:$C$695,3,0),"")</f>
        <v>DRS6-3593</v>
      </c>
      <c r="I46" s="97" t="s">
        <v>1417</v>
      </c>
      <c r="J46" s="95" t="s">
        <v>111</v>
      </c>
      <c r="K46" s="95" t="str">
        <f>IFERROR(VLOOKUP(I46,'Raw material list'!$A$3:$E$695,5,0),"")</f>
        <v xml:space="preserve">Gram </v>
      </c>
      <c r="L46" s="95">
        <v>1</v>
      </c>
      <c r="M46" s="98">
        <f t="shared" si="2"/>
        <v>1</v>
      </c>
      <c r="N46" s="98">
        <v>100</v>
      </c>
      <c r="O46" s="95">
        <v>10</v>
      </c>
      <c r="P46" s="98">
        <f t="shared" si="0"/>
        <v>0.1</v>
      </c>
      <c r="Q46" s="99">
        <f>IFERROR(VLOOKUP(I46,'Raw material list'!$A$3:$F$695,6,0),"")</f>
        <v>1.0500000000000001E-2</v>
      </c>
      <c r="R46" s="100">
        <f t="shared" si="11"/>
        <v>1.0500000000000002E-3</v>
      </c>
      <c r="S46" s="94">
        <f t="shared" si="3"/>
        <v>1.0500000000000002E-4</v>
      </c>
      <c r="T46" s="94">
        <f t="shared" si="4"/>
        <v>1.1550000000000002E-3</v>
      </c>
      <c r="U46" s="93">
        <f t="shared" si="5"/>
        <v>1.1550000000000003E-4</v>
      </c>
      <c r="V46" s="93">
        <f t="shared" si="6"/>
        <v>1.1550000000000003E-5</v>
      </c>
      <c r="W46" s="93">
        <f t="shared" si="7"/>
        <v>1.1550000000000003E-5</v>
      </c>
      <c r="X46" s="93">
        <f t="shared" si="8"/>
        <v>1.2936E-3</v>
      </c>
      <c r="Y46" s="115"/>
    </row>
    <row r="47" spans="1:25" s="90" customFormat="1">
      <c r="A47" s="95" t="s">
        <v>1434</v>
      </c>
      <c r="B47" s="95" t="s">
        <v>1668</v>
      </c>
      <c r="C47" s="95" t="s">
        <v>1427</v>
      </c>
      <c r="D47" s="101" t="s">
        <v>1430</v>
      </c>
      <c r="E47" s="95" t="s">
        <v>1428</v>
      </c>
      <c r="F47" s="95" t="s">
        <v>1670</v>
      </c>
      <c r="G47" s="101" t="s">
        <v>1433</v>
      </c>
      <c r="H47" s="97" t="str">
        <f>IFERROR(VLOOKUP(I47,'Raw material list'!$A$3:$C$695,3,0),"")</f>
        <v>DRS3-1813</v>
      </c>
      <c r="I47" s="97" t="s">
        <v>39</v>
      </c>
      <c r="J47" s="95" t="s">
        <v>161</v>
      </c>
      <c r="K47" s="95" t="str">
        <f>IFERROR(VLOOKUP(I47,'Raw material list'!$A$3:$E$695,5,0),"")</f>
        <v>Ml</v>
      </c>
      <c r="L47" s="95">
        <v>30</v>
      </c>
      <c r="M47" s="98">
        <f t="shared" si="2"/>
        <v>30</v>
      </c>
      <c r="N47" s="98">
        <v>100</v>
      </c>
      <c r="O47" s="95">
        <v>10</v>
      </c>
      <c r="P47" s="98">
        <f t="shared" si="0"/>
        <v>3</v>
      </c>
      <c r="Q47" s="99">
        <f>IFERROR(VLOOKUP(I47,'Raw material list'!$A$3:$F$695,6,0),"")</f>
        <v>8.0555555555555554E-3</v>
      </c>
      <c r="R47" s="100">
        <f t="shared" si="11"/>
        <v>2.4166666666666666E-2</v>
      </c>
      <c r="S47" s="94">
        <f t="shared" si="3"/>
        <v>2.4166666666666668E-3</v>
      </c>
      <c r="T47" s="94">
        <f t="shared" si="4"/>
        <v>2.6583333333333334E-2</v>
      </c>
      <c r="U47" s="93">
        <f t="shared" si="5"/>
        <v>2.6583333333333337E-3</v>
      </c>
      <c r="V47" s="93">
        <f t="shared" si="6"/>
        <v>2.6583333333333336E-4</v>
      </c>
      <c r="W47" s="93">
        <f t="shared" si="7"/>
        <v>2.6583333333333336E-4</v>
      </c>
      <c r="X47" s="93">
        <f t="shared" si="8"/>
        <v>2.9773333333333332E-2</v>
      </c>
      <c r="Y47" s="115"/>
    </row>
    <row r="48" spans="1:25" s="90" customFormat="1">
      <c r="A48" s="95" t="s">
        <v>1434</v>
      </c>
      <c r="B48" s="95" t="s">
        <v>1668</v>
      </c>
      <c r="C48" s="95" t="s">
        <v>1427</v>
      </c>
      <c r="D48" s="101" t="s">
        <v>1430</v>
      </c>
      <c r="E48" s="95" t="s">
        <v>1428</v>
      </c>
      <c r="F48" s="95" t="s">
        <v>1670</v>
      </c>
      <c r="G48" s="101" t="s">
        <v>1433</v>
      </c>
      <c r="H48" s="97" t="str">
        <f>IFERROR(VLOOKUP(I48,'Raw material list'!$A$3:$C$695,3,0),"")</f>
        <v>DRS6-539</v>
      </c>
      <c r="I48" s="97" t="s">
        <v>717</v>
      </c>
      <c r="J48" s="95" t="s">
        <v>111</v>
      </c>
      <c r="K48" s="95" t="str">
        <f>IFERROR(VLOOKUP(I48,'Raw material list'!$A$3:$E$695,5,0),"")</f>
        <v xml:space="preserve">Gram </v>
      </c>
      <c r="L48" s="95">
        <v>2</v>
      </c>
      <c r="M48" s="98">
        <f t="shared" si="2"/>
        <v>2</v>
      </c>
      <c r="N48" s="98">
        <v>100</v>
      </c>
      <c r="O48" s="95">
        <v>10</v>
      </c>
      <c r="P48" s="98">
        <f t="shared" si="0"/>
        <v>0.2</v>
      </c>
      <c r="Q48" s="99">
        <f>IFERROR(VLOOKUP(I48,'Raw material list'!$A$3:$F$695,6,0),"")</f>
        <v>0.16</v>
      </c>
      <c r="R48" s="100">
        <f t="shared" si="11"/>
        <v>3.2000000000000001E-2</v>
      </c>
      <c r="S48" s="94">
        <f t="shared" si="3"/>
        <v>3.2000000000000002E-3</v>
      </c>
      <c r="T48" s="94">
        <f t="shared" si="4"/>
        <v>3.5200000000000002E-2</v>
      </c>
      <c r="U48" s="93">
        <f t="shared" si="5"/>
        <v>3.5200000000000006E-3</v>
      </c>
      <c r="V48" s="93">
        <f t="shared" si="6"/>
        <v>3.5200000000000005E-4</v>
      </c>
      <c r="W48" s="93">
        <f t="shared" si="7"/>
        <v>3.5200000000000005E-4</v>
      </c>
      <c r="X48" s="93">
        <f t="shared" si="8"/>
        <v>3.9424000000000001E-2</v>
      </c>
      <c r="Y48" s="115"/>
    </row>
    <row r="49" spans="1:25" s="90" customFormat="1">
      <c r="A49" s="95" t="s">
        <v>1434</v>
      </c>
      <c r="B49" s="95" t="s">
        <v>1668</v>
      </c>
      <c r="C49" s="95" t="s">
        <v>1427</v>
      </c>
      <c r="D49" s="101" t="s">
        <v>1430</v>
      </c>
      <c r="E49" s="95" t="s">
        <v>1428</v>
      </c>
      <c r="F49" s="95" t="s">
        <v>1670</v>
      </c>
      <c r="G49" s="101" t="s">
        <v>1433</v>
      </c>
      <c r="H49" s="97" t="str">
        <f>IFERROR(VLOOKUP(I49,'Raw material list'!$A$3:$C$695,3,0),"")</f>
        <v>DRS6-261</v>
      </c>
      <c r="I49" s="97" t="s">
        <v>1565</v>
      </c>
      <c r="J49" s="95" t="s">
        <v>111</v>
      </c>
      <c r="K49" s="95" t="str">
        <f>IFERROR(VLOOKUP(I49,'Raw material list'!$A$3:$E$695,5,0),"")</f>
        <v xml:space="preserve">Gram </v>
      </c>
      <c r="L49" s="95">
        <v>0.3</v>
      </c>
      <c r="M49" s="98">
        <f t="shared" si="2"/>
        <v>0.3</v>
      </c>
      <c r="N49" s="98">
        <v>100</v>
      </c>
      <c r="O49" s="95">
        <v>10</v>
      </c>
      <c r="P49" s="98">
        <f t="shared" si="0"/>
        <v>0.03</v>
      </c>
      <c r="Q49" s="99">
        <f>IFERROR(VLOOKUP(I49,'Raw material list'!$A$3:$F$695,6,0),"")</f>
        <v>1.4E-2</v>
      </c>
      <c r="R49" s="100">
        <f t="shared" si="11"/>
        <v>4.2000000000000002E-4</v>
      </c>
      <c r="S49" s="94">
        <f t="shared" si="3"/>
        <v>4.2000000000000004E-5</v>
      </c>
      <c r="T49" s="94">
        <f t="shared" si="4"/>
        <v>4.6200000000000001E-4</v>
      </c>
      <c r="U49" s="93">
        <f t="shared" si="5"/>
        <v>4.6200000000000005E-5</v>
      </c>
      <c r="V49" s="93">
        <f t="shared" si="6"/>
        <v>4.6199999999999998E-6</v>
      </c>
      <c r="W49" s="93">
        <f t="shared" si="7"/>
        <v>4.6199999999999998E-6</v>
      </c>
      <c r="X49" s="93">
        <f t="shared" si="8"/>
        <v>5.1743999999999998E-4</v>
      </c>
      <c r="Y49" s="115"/>
    </row>
    <row r="50" spans="1:25" s="90" customFormat="1">
      <c r="A50" s="95" t="s">
        <v>1438</v>
      </c>
      <c r="B50" s="95" t="s">
        <v>1668</v>
      </c>
      <c r="C50" s="95" t="s">
        <v>1427</v>
      </c>
      <c r="D50" s="101" t="s">
        <v>1435</v>
      </c>
      <c r="E50" s="95" t="s">
        <v>1659</v>
      </c>
      <c r="F50" s="95" t="s">
        <v>1671</v>
      </c>
      <c r="G50" s="101" t="s">
        <v>1591</v>
      </c>
      <c r="H50" s="101" t="str">
        <f>IFERROR(VLOOKUP(I50,'Raw material list'!$A$3:$C$695,3,0),"")</f>
        <v>PLT2-3278</v>
      </c>
      <c r="I50" s="97" t="s">
        <v>61</v>
      </c>
      <c r="J50" s="101" t="s">
        <v>111</v>
      </c>
      <c r="K50" s="101" t="str">
        <f>IFERROR(VLOOKUP(I50,'Raw material list'!$A$3:$E$695,5,0),"")</f>
        <v xml:space="preserve">Gram </v>
      </c>
      <c r="L50" s="95">
        <v>1200</v>
      </c>
      <c r="M50" s="98">
        <f t="shared" si="2"/>
        <v>1574.803149606299</v>
      </c>
      <c r="N50" s="98">
        <v>76.2</v>
      </c>
      <c r="O50" s="95">
        <v>10</v>
      </c>
      <c r="P50" s="98">
        <f t="shared" si="0"/>
        <v>120</v>
      </c>
      <c r="Q50" s="99">
        <f>IFERROR(VLOOKUP(I50,'Raw material list'!$A$3:$F$695,6,0),"")</f>
        <v>3.035714285714285E-2</v>
      </c>
      <c r="R50" s="100">
        <f t="shared" si="11"/>
        <v>3.6428571428571419</v>
      </c>
      <c r="S50" s="94">
        <f t="shared" si="3"/>
        <v>0.36428571428571421</v>
      </c>
      <c r="T50" s="94">
        <f t="shared" si="4"/>
        <v>4.0071428571428562</v>
      </c>
      <c r="U50" s="93">
        <f t="shared" si="5"/>
        <v>0.40071428571428563</v>
      </c>
      <c r="V50" s="93">
        <f t="shared" si="6"/>
        <v>4.0071428571428563E-2</v>
      </c>
      <c r="W50" s="93">
        <f t="shared" si="7"/>
        <v>4.0071428571428563E-2</v>
      </c>
      <c r="X50" s="93">
        <f t="shared" si="8"/>
        <v>4.4879999999999987</v>
      </c>
      <c r="Y50" s="115" t="s">
        <v>1674</v>
      </c>
    </row>
    <row r="51" spans="1:25" s="90" customFormat="1">
      <c r="A51" s="95" t="s">
        <v>1438</v>
      </c>
      <c r="B51" s="95" t="s">
        <v>1668</v>
      </c>
      <c r="C51" s="95" t="s">
        <v>1427</v>
      </c>
      <c r="D51" s="101" t="s">
        <v>1435</v>
      </c>
      <c r="E51" s="95" t="s">
        <v>1659</v>
      </c>
      <c r="F51" s="95" t="s">
        <v>1671</v>
      </c>
      <c r="G51" s="101" t="s">
        <v>1591</v>
      </c>
      <c r="H51" s="101" t="str">
        <f>IFERROR(VLOOKUP(I51,'Raw material list'!$A$3:$C$695,3,0),"")</f>
        <v>DRS6-1727</v>
      </c>
      <c r="I51" s="97" t="s">
        <v>41</v>
      </c>
      <c r="J51" s="101" t="s">
        <v>111</v>
      </c>
      <c r="K51" s="101" t="str">
        <f>IFERROR(VLOOKUP(I51,'Raw material list'!$A$3:$E$695,5,0),"")</f>
        <v xml:space="preserve">Gram </v>
      </c>
      <c r="L51" s="95">
        <v>12</v>
      </c>
      <c r="M51" s="98">
        <f t="shared" si="2"/>
        <v>12</v>
      </c>
      <c r="N51" s="98">
        <v>100</v>
      </c>
      <c r="O51" s="95">
        <v>10</v>
      </c>
      <c r="P51" s="98">
        <f t="shared" ref="P51:P54" si="12">IFERROR(L51/O51,0)</f>
        <v>1.2</v>
      </c>
      <c r="Q51" s="99">
        <f>IFERROR(VLOOKUP(I51,'Raw material list'!$A$3:$F$695,6,0),"")</f>
        <v>2.5000000000000001E-2</v>
      </c>
      <c r="R51" s="100">
        <f t="shared" ref="R51:R54" si="13">IFERROR(Q51*P51,0)</f>
        <v>0.03</v>
      </c>
      <c r="S51" s="94">
        <f t="shared" si="3"/>
        <v>3.0000000000000001E-3</v>
      </c>
      <c r="T51" s="94">
        <f t="shared" si="4"/>
        <v>3.3000000000000002E-2</v>
      </c>
      <c r="U51" s="93">
        <f t="shared" si="5"/>
        <v>3.3000000000000004E-3</v>
      </c>
      <c r="V51" s="93">
        <f t="shared" si="6"/>
        <v>3.3E-4</v>
      </c>
      <c r="W51" s="93">
        <f t="shared" si="7"/>
        <v>3.3E-4</v>
      </c>
      <c r="X51" s="93">
        <f t="shared" si="8"/>
        <v>3.6959999999999993E-2</v>
      </c>
      <c r="Y51" s="115"/>
    </row>
    <row r="52" spans="1:25" s="90" customFormat="1">
      <c r="A52" s="95" t="s">
        <v>1438</v>
      </c>
      <c r="B52" s="95" t="s">
        <v>1668</v>
      </c>
      <c r="C52" s="95" t="s">
        <v>1427</v>
      </c>
      <c r="D52" s="101" t="s">
        <v>1435</v>
      </c>
      <c r="E52" s="95" t="s">
        <v>1659</v>
      </c>
      <c r="F52" s="95" t="s">
        <v>1671</v>
      </c>
      <c r="G52" s="101" t="s">
        <v>1591</v>
      </c>
      <c r="H52" s="101" t="str">
        <f>IFERROR(VLOOKUP(I52,'Raw material list'!$A$3:$C$695,3,0),"")</f>
        <v>DRS6-5088</v>
      </c>
      <c r="I52" s="97" t="s">
        <v>668</v>
      </c>
      <c r="J52" s="101" t="s">
        <v>111</v>
      </c>
      <c r="K52" s="101" t="str">
        <f>IFERROR(VLOOKUP(I52,'Raw material list'!$A$3:$E$695,5,0),"")</f>
        <v xml:space="preserve">Gram </v>
      </c>
      <c r="L52" s="95">
        <v>12</v>
      </c>
      <c r="M52" s="98">
        <f t="shared" si="2"/>
        <v>12</v>
      </c>
      <c r="N52" s="98">
        <v>100</v>
      </c>
      <c r="O52" s="95">
        <v>10</v>
      </c>
      <c r="P52" s="98">
        <f t="shared" si="12"/>
        <v>1.2</v>
      </c>
      <c r="Q52" s="99">
        <f>IFERROR(VLOOKUP(I52,'Raw material list'!$A$3:$F$695,6,0),"")</f>
        <v>0.08</v>
      </c>
      <c r="R52" s="100">
        <f t="shared" si="13"/>
        <v>9.6000000000000002E-2</v>
      </c>
      <c r="S52" s="94">
        <f t="shared" si="3"/>
        <v>9.6000000000000009E-3</v>
      </c>
      <c r="T52" s="94">
        <f t="shared" si="4"/>
        <v>0.1056</v>
      </c>
      <c r="U52" s="93">
        <f t="shared" si="5"/>
        <v>1.056E-2</v>
      </c>
      <c r="V52" s="93">
        <f t="shared" si="6"/>
        <v>1.0560000000000001E-3</v>
      </c>
      <c r="W52" s="93">
        <f t="shared" si="7"/>
        <v>1.0560000000000001E-3</v>
      </c>
      <c r="X52" s="93">
        <f t="shared" si="8"/>
        <v>0.118272</v>
      </c>
      <c r="Y52" s="115"/>
    </row>
    <row r="53" spans="1:25" s="90" customFormat="1">
      <c r="A53" s="95" t="s">
        <v>1438</v>
      </c>
      <c r="B53" s="95" t="s">
        <v>1668</v>
      </c>
      <c r="C53" s="95" t="s">
        <v>1427</v>
      </c>
      <c r="D53" s="101" t="s">
        <v>1435</v>
      </c>
      <c r="E53" s="95" t="s">
        <v>1659</v>
      </c>
      <c r="F53" s="95" t="s">
        <v>1671</v>
      </c>
      <c r="G53" s="101" t="s">
        <v>1591</v>
      </c>
      <c r="H53" s="101" t="str">
        <f>IFERROR(VLOOKUP(I53,'Raw material list'!$A$3:$C$695,3,0),"")</f>
        <v>DRS6-5376</v>
      </c>
      <c r="I53" s="97" t="s">
        <v>55</v>
      </c>
      <c r="J53" s="101" t="s">
        <v>111</v>
      </c>
      <c r="K53" s="101" t="str">
        <f>IFERROR(VLOOKUP(I53,'Raw material list'!$A$3:$E$695,5,0),"")</f>
        <v xml:space="preserve">Gram </v>
      </c>
      <c r="L53" s="95">
        <v>3</v>
      </c>
      <c r="M53" s="98">
        <f t="shared" si="2"/>
        <v>3</v>
      </c>
      <c r="N53" s="98">
        <v>100</v>
      </c>
      <c r="O53" s="95">
        <v>10</v>
      </c>
      <c r="P53" s="98">
        <f t="shared" si="12"/>
        <v>0.3</v>
      </c>
      <c r="Q53" s="99">
        <f>IFERROR(VLOOKUP(I53,'Raw material list'!$A$3:$F$695,6,0),"")</f>
        <v>2.8000000000000001E-2</v>
      </c>
      <c r="R53" s="100">
        <f t="shared" si="13"/>
        <v>8.3999999999999995E-3</v>
      </c>
      <c r="S53" s="94">
        <f t="shared" si="3"/>
        <v>8.4000000000000003E-4</v>
      </c>
      <c r="T53" s="94">
        <f t="shared" si="4"/>
        <v>9.2399999999999999E-3</v>
      </c>
      <c r="U53" s="93">
        <f t="shared" si="5"/>
        <v>9.2400000000000002E-4</v>
      </c>
      <c r="V53" s="93">
        <f t="shared" si="6"/>
        <v>9.2399999999999996E-5</v>
      </c>
      <c r="W53" s="93">
        <f t="shared" si="7"/>
        <v>9.2399999999999996E-5</v>
      </c>
      <c r="X53" s="93">
        <f t="shared" si="8"/>
        <v>1.0348799999999998E-2</v>
      </c>
      <c r="Y53" s="115"/>
    </row>
    <row r="54" spans="1:25" s="90" customFormat="1">
      <c r="A54" s="95" t="s">
        <v>1438</v>
      </c>
      <c r="B54" s="95" t="s">
        <v>1668</v>
      </c>
      <c r="C54" s="95" t="s">
        <v>1427</v>
      </c>
      <c r="D54" s="101" t="s">
        <v>1435</v>
      </c>
      <c r="E54" s="95" t="s">
        <v>1659</v>
      </c>
      <c r="F54" s="95" t="s">
        <v>1671</v>
      </c>
      <c r="G54" s="101" t="s">
        <v>1591</v>
      </c>
      <c r="H54" s="101" t="str">
        <f>IFERROR(VLOOKUP(I54,'Raw material list'!$A$3:$C$695,3,0),"")</f>
        <v>WAT-001</v>
      </c>
      <c r="I54" s="97" t="s">
        <v>1406</v>
      </c>
      <c r="J54" s="101" t="s">
        <v>161</v>
      </c>
      <c r="K54" s="101" t="str">
        <f>IFERROR(VLOOKUP(I54,'Raw material list'!$A$3:$E$695,5,0),"")</f>
        <v>Ml</v>
      </c>
      <c r="L54" s="95">
        <v>120</v>
      </c>
      <c r="M54" s="98">
        <f t="shared" si="2"/>
        <v>120</v>
      </c>
      <c r="N54" s="98">
        <v>100</v>
      </c>
      <c r="O54" s="95">
        <v>10</v>
      </c>
      <c r="P54" s="98">
        <f t="shared" si="12"/>
        <v>12</v>
      </c>
      <c r="Q54" s="99">
        <f>IFERROR(VLOOKUP(I54,'Raw material list'!$A$3:$F$695,6,0),"")</f>
        <v>8.0000000000000007E-5</v>
      </c>
      <c r="R54" s="100">
        <f t="shared" si="13"/>
        <v>9.6000000000000013E-4</v>
      </c>
      <c r="S54" s="94">
        <f t="shared" si="3"/>
        <v>9.6000000000000016E-5</v>
      </c>
      <c r="T54" s="94">
        <f t="shared" si="4"/>
        <v>1.0560000000000001E-3</v>
      </c>
      <c r="U54" s="93">
        <f t="shared" si="5"/>
        <v>1.0560000000000002E-4</v>
      </c>
      <c r="V54" s="93">
        <f t="shared" si="6"/>
        <v>1.0560000000000001E-5</v>
      </c>
      <c r="W54" s="93">
        <f t="shared" si="7"/>
        <v>1.0560000000000001E-5</v>
      </c>
      <c r="X54" s="93">
        <f t="shared" si="8"/>
        <v>1.18272E-3</v>
      </c>
      <c r="Y54" s="115"/>
    </row>
    <row r="55" spans="1:25" s="90" customFormat="1">
      <c r="A55" s="95" t="s">
        <v>1438</v>
      </c>
      <c r="B55" s="95" t="s">
        <v>1668</v>
      </c>
      <c r="C55" s="95" t="s">
        <v>1427</v>
      </c>
      <c r="D55" s="101" t="s">
        <v>1435</v>
      </c>
      <c r="E55" s="95" t="s">
        <v>1659</v>
      </c>
      <c r="F55" s="95" t="s">
        <v>1670</v>
      </c>
      <c r="G55" s="101" t="s">
        <v>1436</v>
      </c>
      <c r="H55" s="101" t="str">
        <f>IFERROR(VLOOKUP(I55,'Raw material list'!$A$3:$C$695,3,0),"")</f>
        <v>PRD1-182</v>
      </c>
      <c r="I55" s="97" t="s">
        <v>979</v>
      </c>
      <c r="J55" s="101" t="s">
        <v>111</v>
      </c>
      <c r="K55" s="101" t="str">
        <f>IFERROR(VLOOKUP(I55,'Raw material list'!$A$3:$E$695,5,0),"")</f>
        <v xml:space="preserve">Gram </v>
      </c>
      <c r="L55" s="95">
        <v>50</v>
      </c>
      <c r="M55" s="98">
        <f t="shared" si="2"/>
        <v>63.559322033898312</v>
      </c>
      <c r="N55" s="98">
        <v>78.666666666666657</v>
      </c>
      <c r="O55" s="95">
        <v>10</v>
      </c>
      <c r="P55" s="98">
        <f t="shared" si="0"/>
        <v>5</v>
      </c>
      <c r="Q55" s="99">
        <f>IFERROR(VLOOKUP(I55,'Raw material list'!$A$3:$F$695,6,0),"")</f>
        <v>1.7789072426937742E-2</v>
      </c>
      <c r="R55" s="100">
        <f t="shared" si="11"/>
        <v>8.8945362134688705E-2</v>
      </c>
      <c r="S55" s="94">
        <f t="shared" si="3"/>
        <v>8.8945362134688708E-3</v>
      </c>
      <c r="T55" s="94">
        <f t="shared" si="4"/>
        <v>9.7839898348157581E-2</v>
      </c>
      <c r="U55" s="93">
        <f t="shared" si="5"/>
        <v>9.7839898348157581E-3</v>
      </c>
      <c r="V55" s="93">
        <f t="shared" si="6"/>
        <v>9.7839898348157581E-4</v>
      </c>
      <c r="W55" s="93">
        <f t="shared" si="7"/>
        <v>9.7839898348157581E-4</v>
      </c>
      <c r="X55" s="93">
        <f t="shared" si="8"/>
        <v>0.10958068614993649</v>
      </c>
      <c r="Y55" s="115"/>
    </row>
    <row r="56" spans="1:25" s="90" customFormat="1">
      <c r="A56" s="95" t="s">
        <v>1438</v>
      </c>
      <c r="B56" s="95" t="s">
        <v>1668</v>
      </c>
      <c r="C56" s="95" t="s">
        <v>1427</v>
      </c>
      <c r="D56" s="101" t="s">
        <v>1435</v>
      </c>
      <c r="E56" s="95" t="s">
        <v>1659</v>
      </c>
      <c r="F56" s="95" t="s">
        <v>1670</v>
      </c>
      <c r="G56" s="101" t="s">
        <v>1437</v>
      </c>
      <c r="H56" s="101" t="str">
        <f>IFERROR(VLOOKUP(I56,'Raw material list'!$A$3:$C$695,3,0),"")</f>
        <v>PRD1-182</v>
      </c>
      <c r="I56" s="97" t="s">
        <v>979</v>
      </c>
      <c r="J56" s="101" t="s">
        <v>111</v>
      </c>
      <c r="K56" s="101" t="str">
        <f>IFERROR(VLOOKUP(I56,'Raw material list'!$A$3:$E$695,5,0),"")</f>
        <v xml:space="preserve">Gram </v>
      </c>
      <c r="L56" s="95">
        <v>328.76</v>
      </c>
      <c r="M56" s="98">
        <f t="shared" si="2"/>
        <v>417.9152542372882</v>
      </c>
      <c r="N56" s="98">
        <v>78.666666666666657</v>
      </c>
      <c r="O56" s="95">
        <v>10</v>
      </c>
      <c r="P56" s="98">
        <f t="shared" si="0"/>
        <v>32.875999999999998</v>
      </c>
      <c r="Q56" s="99">
        <f>IFERROR(VLOOKUP(I56,'Raw material list'!$A$3:$F$695,6,0),"")</f>
        <v>1.7789072426937742E-2</v>
      </c>
      <c r="R56" s="100">
        <f t="shared" si="11"/>
        <v>0.58483354510800512</v>
      </c>
      <c r="S56" s="94">
        <f t="shared" si="3"/>
        <v>5.8483354510800514E-2</v>
      </c>
      <c r="T56" s="94">
        <f t="shared" si="4"/>
        <v>0.64331689961880567</v>
      </c>
      <c r="U56" s="93">
        <f t="shared" si="5"/>
        <v>6.4331689961880573E-2</v>
      </c>
      <c r="V56" s="93">
        <f t="shared" si="6"/>
        <v>6.4331689961880569E-3</v>
      </c>
      <c r="W56" s="93">
        <f t="shared" si="7"/>
        <v>6.4331689961880569E-3</v>
      </c>
      <c r="X56" s="93">
        <f t="shared" si="8"/>
        <v>0.72051492757306235</v>
      </c>
      <c r="Y56" s="115"/>
    </row>
    <row r="57" spans="1:25" s="90" customFormat="1">
      <c r="A57" s="95" t="s">
        <v>1438</v>
      </c>
      <c r="B57" s="95" t="s">
        <v>1668</v>
      </c>
      <c r="C57" s="95" t="s">
        <v>1427</v>
      </c>
      <c r="D57" s="101" t="s">
        <v>1435</v>
      </c>
      <c r="E57" s="95" t="s">
        <v>1659</v>
      </c>
      <c r="F57" s="95" t="s">
        <v>1670</v>
      </c>
      <c r="G57" s="101" t="s">
        <v>1437</v>
      </c>
      <c r="H57" s="101" t="str">
        <f>IFERROR(VLOOKUP(I57,'Raw material list'!$A$3:$C$695,3,0),"")</f>
        <v>PRD1-4327</v>
      </c>
      <c r="I57" s="97" t="s">
        <v>11</v>
      </c>
      <c r="J57" s="101" t="s">
        <v>111</v>
      </c>
      <c r="K57" s="101" t="str">
        <f>IFERROR(VLOOKUP(I57,'Raw material list'!$A$3:$E$695,5,0),"")</f>
        <v xml:space="preserve">Gram </v>
      </c>
      <c r="L57" s="95">
        <v>4.04</v>
      </c>
      <c r="M57" s="98">
        <f t="shared" si="2"/>
        <v>5.0500000000000007</v>
      </c>
      <c r="N57" s="133">
        <v>80</v>
      </c>
      <c r="O57" s="95">
        <v>10</v>
      </c>
      <c r="P57" s="98">
        <f t="shared" si="0"/>
        <v>0.40400000000000003</v>
      </c>
      <c r="Q57" s="99">
        <f>IFERROR(VLOOKUP(I57,'Raw material list'!$A$3:$F$695,6,0),"")</f>
        <v>1.2999999999999999E-2</v>
      </c>
      <c r="R57" s="100">
        <f t="shared" si="11"/>
        <v>5.2519999999999997E-3</v>
      </c>
      <c r="S57" s="94">
        <f t="shared" si="3"/>
        <v>5.2519999999999997E-4</v>
      </c>
      <c r="T57" s="94">
        <f t="shared" si="4"/>
        <v>5.7771999999999997E-3</v>
      </c>
      <c r="U57" s="93">
        <f t="shared" si="5"/>
        <v>5.7771999999999999E-4</v>
      </c>
      <c r="V57" s="93">
        <f t="shared" si="6"/>
        <v>5.7771999999999995E-5</v>
      </c>
      <c r="W57" s="93">
        <f t="shared" si="7"/>
        <v>5.7771999999999995E-5</v>
      </c>
      <c r="X57" s="93">
        <f t="shared" si="8"/>
        <v>6.4704640000000004E-3</v>
      </c>
      <c r="Y57" s="115"/>
    </row>
    <row r="58" spans="1:25" s="90" customFormat="1">
      <c r="A58" s="95" t="s">
        <v>1438</v>
      </c>
      <c r="B58" s="95" t="s">
        <v>1668</v>
      </c>
      <c r="C58" s="95" t="s">
        <v>1427</v>
      </c>
      <c r="D58" s="101" t="s">
        <v>1435</v>
      </c>
      <c r="E58" s="95" t="s">
        <v>1659</v>
      </c>
      <c r="F58" s="95" t="s">
        <v>1670</v>
      </c>
      <c r="G58" s="101" t="s">
        <v>1437</v>
      </c>
      <c r="H58" s="101" t="str">
        <f>IFERROR(VLOOKUP(I58,'Raw material list'!$A$3:$C$695,3,0),"")</f>
        <v>DRS3-1615</v>
      </c>
      <c r="I58" s="97" t="s">
        <v>24</v>
      </c>
      <c r="J58" s="101" t="s">
        <v>161</v>
      </c>
      <c r="K58" s="101" t="str">
        <f>IFERROR(VLOOKUP(I58,'Raw material list'!$A$3:$E$695,5,0),"")</f>
        <v>Ml</v>
      </c>
      <c r="L58" s="95">
        <v>22.83</v>
      </c>
      <c r="M58" s="98">
        <f t="shared" si="2"/>
        <v>22.83</v>
      </c>
      <c r="N58" s="98">
        <v>100</v>
      </c>
      <c r="O58" s="95">
        <v>10</v>
      </c>
      <c r="P58" s="98">
        <f t="shared" si="0"/>
        <v>2.2829999999999999</v>
      </c>
      <c r="Q58" s="99">
        <f>IFERROR(VLOOKUP(I58,'Raw material list'!$A$3:$F$695,6,0),"")</f>
        <v>1.2E-2</v>
      </c>
      <c r="R58" s="100">
        <f t="shared" si="11"/>
        <v>2.7396E-2</v>
      </c>
      <c r="S58" s="94">
        <f t="shared" si="3"/>
        <v>2.7396E-3</v>
      </c>
      <c r="T58" s="94">
        <f t="shared" si="4"/>
        <v>3.0135599999999998E-2</v>
      </c>
      <c r="U58" s="93">
        <f t="shared" si="5"/>
        <v>3.0135600000000002E-3</v>
      </c>
      <c r="V58" s="93">
        <f t="shared" si="6"/>
        <v>3.0135599999999997E-4</v>
      </c>
      <c r="W58" s="93">
        <f t="shared" si="7"/>
        <v>3.0135599999999997E-4</v>
      </c>
      <c r="X58" s="93">
        <f t="shared" si="8"/>
        <v>3.3751872000000002E-2</v>
      </c>
      <c r="Y58" s="115"/>
    </row>
    <row r="59" spans="1:25" s="90" customFormat="1">
      <c r="A59" s="95" t="s">
        <v>1438</v>
      </c>
      <c r="B59" s="95" t="s">
        <v>1668</v>
      </c>
      <c r="C59" s="95" t="s">
        <v>1427</v>
      </c>
      <c r="D59" s="101" t="s">
        <v>1435</v>
      </c>
      <c r="E59" s="95" t="s">
        <v>1659</v>
      </c>
      <c r="F59" s="95" t="s">
        <v>1670</v>
      </c>
      <c r="G59" s="101" t="s">
        <v>1437</v>
      </c>
      <c r="H59" s="101" t="str">
        <f>IFERROR(VLOOKUP(I59,'Raw material list'!$A$3:$C$695,3,0),"")</f>
        <v>DRS1-114</v>
      </c>
      <c r="I59" s="97" t="s">
        <v>279</v>
      </c>
      <c r="J59" s="101" t="s">
        <v>111</v>
      </c>
      <c r="K59" s="101" t="str">
        <f>IFERROR(VLOOKUP(I59,'Raw material list'!$A$3:$E$695,5,0),"")</f>
        <v xml:space="preserve">Gram </v>
      </c>
      <c r="L59" s="95">
        <v>11.51</v>
      </c>
      <c r="M59" s="98">
        <f t="shared" si="2"/>
        <v>11.51</v>
      </c>
      <c r="N59" s="98">
        <v>100</v>
      </c>
      <c r="O59" s="95">
        <v>10</v>
      </c>
      <c r="P59" s="98">
        <f t="shared" si="0"/>
        <v>1.151</v>
      </c>
      <c r="Q59" s="99">
        <f>IFERROR(VLOOKUP(I59,'Raw material list'!$A$3:$F$695,6,0),"")</f>
        <v>4.7489823609226586E-3</v>
      </c>
      <c r="R59" s="100">
        <f t="shared" si="11"/>
        <v>5.4660786974219805E-3</v>
      </c>
      <c r="S59" s="94">
        <f t="shared" si="3"/>
        <v>5.4660786974219803E-4</v>
      </c>
      <c r="T59" s="94">
        <f t="shared" si="4"/>
        <v>6.0126865671641782E-3</v>
      </c>
      <c r="U59" s="93">
        <f t="shared" si="5"/>
        <v>6.0126865671641786E-4</v>
      </c>
      <c r="V59" s="93">
        <f t="shared" si="6"/>
        <v>6.0126865671641785E-5</v>
      </c>
      <c r="W59" s="93">
        <f t="shared" si="7"/>
        <v>6.0126865671641785E-5</v>
      </c>
      <c r="X59" s="93">
        <f t="shared" si="8"/>
        <v>6.7342089552238794E-3</v>
      </c>
      <c r="Y59" s="115"/>
    </row>
    <row r="60" spans="1:25" s="90" customFormat="1">
      <c r="A60" s="95" t="s">
        <v>1438</v>
      </c>
      <c r="B60" s="95" t="s">
        <v>1668</v>
      </c>
      <c r="C60" s="95" t="s">
        <v>1427</v>
      </c>
      <c r="D60" s="101" t="s">
        <v>1435</v>
      </c>
      <c r="E60" s="95" t="s">
        <v>1659</v>
      </c>
      <c r="F60" s="95" t="s">
        <v>1670</v>
      </c>
      <c r="G60" s="101" t="s">
        <v>1437</v>
      </c>
      <c r="H60" s="101" t="str">
        <f>IFERROR(VLOOKUP(I60,'Raw material list'!$A$3:$C$695,3,0),"")</f>
        <v>DRS6-537</v>
      </c>
      <c r="I60" s="97" t="s">
        <v>25</v>
      </c>
      <c r="J60" s="101" t="s">
        <v>111</v>
      </c>
      <c r="K60" s="101" t="str">
        <f>IFERROR(VLOOKUP(I60,'Raw material list'!$A$3:$E$695,5,0),"")</f>
        <v xml:space="preserve">Gram </v>
      </c>
      <c r="L60" s="95">
        <v>6.3</v>
      </c>
      <c r="M60" s="98">
        <f t="shared" si="2"/>
        <v>6.3</v>
      </c>
      <c r="N60" s="98">
        <v>100</v>
      </c>
      <c r="O60" s="95">
        <v>10</v>
      </c>
      <c r="P60" s="98">
        <f t="shared" si="0"/>
        <v>0.63</v>
      </c>
      <c r="Q60" s="99">
        <f>IFERROR(VLOOKUP(I60,'Raw material list'!$A$3:$F$695,6,0),"")</f>
        <v>3.5000000000000003E-2</v>
      </c>
      <c r="R60" s="100">
        <f t="shared" si="11"/>
        <v>2.2050000000000004E-2</v>
      </c>
      <c r="S60" s="94">
        <f t="shared" si="3"/>
        <v>2.2050000000000004E-3</v>
      </c>
      <c r="T60" s="94">
        <f t="shared" si="4"/>
        <v>2.4255000000000006E-2</v>
      </c>
      <c r="U60" s="93">
        <f t="shared" si="5"/>
        <v>2.4255000000000006E-3</v>
      </c>
      <c r="V60" s="93">
        <f t="shared" si="6"/>
        <v>2.4255000000000007E-4</v>
      </c>
      <c r="W60" s="93">
        <f t="shared" si="7"/>
        <v>2.4255000000000007E-4</v>
      </c>
      <c r="X60" s="93">
        <f t="shared" si="8"/>
        <v>2.7165600000000008E-2</v>
      </c>
      <c r="Y60" s="115"/>
    </row>
    <row r="61" spans="1:25" s="90" customFormat="1">
      <c r="A61" s="95" t="s">
        <v>1438</v>
      </c>
      <c r="B61" s="95" t="s">
        <v>1668</v>
      </c>
      <c r="C61" s="95" t="s">
        <v>1427</v>
      </c>
      <c r="D61" s="101" t="s">
        <v>1435</v>
      </c>
      <c r="E61" s="95" t="s">
        <v>1659</v>
      </c>
      <c r="F61" s="95" t="s">
        <v>1670</v>
      </c>
      <c r="G61" s="101" t="s">
        <v>1437</v>
      </c>
      <c r="H61" s="101" t="str">
        <f>IFERROR(VLOOKUP(I61,'Raw material list'!$A$3:$C$695,3,0),"")</f>
        <v>DRY2-1858</v>
      </c>
      <c r="I61" s="97" t="s">
        <v>42</v>
      </c>
      <c r="J61" s="101" t="s">
        <v>161</v>
      </c>
      <c r="K61" s="101" t="str">
        <f>IFERROR(VLOOKUP(I61,'Raw material list'!$A$3:$E$695,5,0),"")</f>
        <v>Ml</v>
      </c>
      <c r="L61" s="95">
        <v>637.04999999999995</v>
      </c>
      <c r="M61" s="98">
        <f t="shared" si="2"/>
        <v>637.04999999999995</v>
      </c>
      <c r="N61" s="98">
        <v>100</v>
      </c>
      <c r="O61" s="95">
        <v>10</v>
      </c>
      <c r="P61" s="98">
        <f t="shared" si="0"/>
        <v>63.704999999999998</v>
      </c>
      <c r="Q61" s="99">
        <f>IFERROR(VLOOKUP(I61,'Raw material list'!$A$3:$F$695,6,0),"")</f>
        <v>9.8800000000000016E-3</v>
      </c>
      <c r="R61" s="100">
        <f t="shared" si="11"/>
        <v>0.62940540000000011</v>
      </c>
      <c r="S61" s="94">
        <f t="shared" si="3"/>
        <v>6.2940540000000017E-2</v>
      </c>
      <c r="T61" s="94">
        <f t="shared" si="4"/>
        <v>0.69234594000000016</v>
      </c>
      <c r="U61" s="93">
        <f t="shared" si="5"/>
        <v>6.9234594000000024E-2</v>
      </c>
      <c r="V61" s="93">
        <f t="shared" si="6"/>
        <v>6.9234594000000017E-3</v>
      </c>
      <c r="W61" s="93">
        <f t="shared" si="7"/>
        <v>6.9234594000000017E-3</v>
      </c>
      <c r="X61" s="93">
        <f t="shared" si="8"/>
        <v>0.77542745280000025</v>
      </c>
      <c r="Y61" s="115"/>
    </row>
    <row r="62" spans="1:25" s="90" customFormat="1">
      <c r="A62" s="95" t="s">
        <v>1438</v>
      </c>
      <c r="B62" s="95" t="s">
        <v>1668</v>
      </c>
      <c r="C62" s="95" t="s">
        <v>1427</v>
      </c>
      <c r="D62" s="101" t="s">
        <v>1435</v>
      </c>
      <c r="E62" s="95" t="s">
        <v>1659</v>
      </c>
      <c r="F62" s="95" t="s">
        <v>1670</v>
      </c>
      <c r="G62" s="101" t="s">
        <v>1437</v>
      </c>
      <c r="H62" s="101" t="str">
        <f>IFERROR(VLOOKUP(I62,'Raw material list'!$A$3:$C$695,3,0),"")</f>
        <v>DRY1-602</v>
      </c>
      <c r="I62" s="97" t="s">
        <v>65</v>
      </c>
      <c r="J62" s="101" t="s">
        <v>111</v>
      </c>
      <c r="K62" s="101" t="str">
        <f>IFERROR(VLOOKUP(I62,'Raw material list'!$A$3:$E$695,5,0),"")</f>
        <v xml:space="preserve">Gram </v>
      </c>
      <c r="L62" s="95">
        <v>43.05</v>
      </c>
      <c r="M62" s="98">
        <f t="shared" si="2"/>
        <v>43.05</v>
      </c>
      <c r="N62" s="98">
        <v>100</v>
      </c>
      <c r="O62" s="95">
        <v>10</v>
      </c>
      <c r="P62" s="98">
        <f t="shared" si="0"/>
        <v>4.3049999999999997</v>
      </c>
      <c r="Q62" s="99">
        <f>IFERROR(VLOOKUP(I62,'Raw material list'!$A$3:$F$695,6,0),"")</f>
        <v>5.5E-2</v>
      </c>
      <c r="R62" s="100">
        <f t="shared" si="11"/>
        <v>0.23677499999999999</v>
      </c>
      <c r="S62" s="94">
        <f t="shared" si="3"/>
        <v>2.3677500000000001E-2</v>
      </c>
      <c r="T62" s="94">
        <f t="shared" si="4"/>
        <v>0.26045249999999998</v>
      </c>
      <c r="U62" s="93">
        <f t="shared" si="5"/>
        <v>2.6045249999999999E-2</v>
      </c>
      <c r="V62" s="93">
        <f t="shared" si="6"/>
        <v>2.6045249999999999E-3</v>
      </c>
      <c r="W62" s="93">
        <f t="shared" si="7"/>
        <v>2.6045249999999999E-3</v>
      </c>
      <c r="X62" s="93">
        <f t="shared" si="8"/>
        <v>0.29170680000000004</v>
      </c>
      <c r="Y62" s="115"/>
    </row>
    <row r="63" spans="1:25" s="90" customFormat="1">
      <c r="A63" s="95" t="s">
        <v>1438</v>
      </c>
      <c r="B63" s="95" t="s">
        <v>1668</v>
      </c>
      <c r="C63" s="95" t="s">
        <v>1427</v>
      </c>
      <c r="D63" s="101" t="s">
        <v>1435</v>
      </c>
      <c r="E63" s="95" t="s">
        <v>1659</v>
      </c>
      <c r="F63" s="95" t="s">
        <v>1670</v>
      </c>
      <c r="G63" s="101" t="s">
        <v>1437</v>
      </c>
      <c r="H63" s="101" t="str">
        <f>IFERROR(VLOOKUP(I63,'Raw material list'!$A$3:$C$695,3,0),"")</f>
        <v>WAT-001</v>
      </c>
      <c r="I63" s="97" t="s">
        <v>1406</v>
      </c>
      <c r="J63" s="101" t="s">
        <v>161</v>
      </c>
      <c r="K63" s="101" t="str">
        <f>IFERROR(VLOOKUP(I63,'Raw material list'!$A$3:$E$695,5,0),"")</f>
        <v>Ml</v>
      </c>
      <c r="L63" s="95">
        <v>327.45999999999998</v>
      </c>
      <c r="M63" s="98">
        <f t="shared" si="2"/>
        <v>327.45999999999998</v>
      </c>
      <c r="N63" s="98">
        <v>100</v>
      </c>
      <c r="O63" s="95">
        <v>10</v>
      </c>
      <c r="P63" s="98">
        <f t="shared" si="0"/>
        <v>32.745999999999995</v>
      </c>
      <c r="Q63" s="99">
        <f>IFERROR(VLOOKUP(I63,'Raw material list'!$A$3:$F$695,6,0),"")</f>
        <v>8.0000000000000007E-5</v>
      </c>
      <c r="R63" s="100">
        <f t="shared" si="11"/>
        <v>2.6196799999999997E-3</v>
      </c>
      <c r="S63" s="94">
        <f t="shared" si="3"/>
        <v>2.6196799999999996E-4</v>
      </c>
      <c r="T63" s="94">
        <f t="shared" si="4"/>
        <v>2.8816479999999997E-3</v>
      </c>
      <c r="U63" s="93">
        <f t="shared" si="5"/>
        <v>2.8816479999999999E-4</v>
      </c>
      <c r="V63" s="93">
        <f t="shared" si="6"/>
        <v>2.8816479999999996E-5</v>
      </c>
      <c r="W63" s="93">
        <f t="shared" si="7"/>
        <v>2.8816479999999996E-5</v>
      </c>
      <c r="X63" s="93">
        <f t="shared" si="8"/>
        <v>3.2274457599999994E-3</v>
      </c>
      <c r="Y63" s="115"/>
    </row>
    <row r="64" spans="1:25" s="90" customFormat="1">
      <c r="A64" s="95" t="s">
        <v>1438</v>
      </c>
      <c r="B64" s="95" t="s">
        <v>1668</v>
      </c>
      <c r="C64" s="95" t="s">
        <v>1427</v>
      </c>
      <c r="D64" s="101" t="s">
        <v>1435</v>
      </c>
      <c r="E64" s="95" t="s">
        <v>1659</v>
      </c>
      <c r="F64" s="95" t="s">
        <v>1670</v>
      </c>
      <c r="G64" s="101" t="s">
        <v>1433</v>
      </c>
      <c r="H64" s="101" t="str">
        <f>IFERROR(VLOOKUP(I64,'Raw material list'!$A$3:$C$695,3,0),"")</f>
        <v>DRS4-498</v>
      </c>
      <c r="I64" s="97" t="s">
        <v>62</v>
      </c>
      <c r="J64" s="101" t="s">
        <v>111</v>
      </c>
      <c r="K64" s="101" t="str">
        <f>IFERROR(VLOOKUP(I64,'Raw material list'!$A$3:$E$695,5,0),"")</f>
        <v xml:space="preserve">Gram </v>
      </c>
      <c r="L64" s="95">
        <v>600</v>
      </c>
      <c r="M64" s="98">
        <f t="shared" si="2"/>
        <v>600</v>
      </c>
      <c r="N64" s="98">
        <v>100</v>
      </c>
      <c r="O64" s="95">
        <v>10</v>
      </c>
      <c r="P64" s="98">
        <f t="shared" si="0"/>
        <v>60</v>
      </c>
      <c r="Q64" s="99">
        <f>IFERROR(VLOOKUP(I64,'Raw material list'!$A$3:$F$695,6,0),"")</f>
        <v>5.7499999999999999E-3</v>
      </c>
      <c r="R64" s="100">
        <f t="shared" si="11"/>
        <v>0.34499999999999997</v>
      </c>
      <c r="S64" s="94">
        <f t="shared" si="3"/>
        <v>3.4499999999999996E-2</v>
      </c>
      <c r="T64" s="94">
        <f t="shared" si="4"/>
        <v>0.37949999999999995</v>
      </c>
      <c r="U64" s="93">
        <f t="shared" si="5"/>
        <v>3.7949999999999998E-2</v>
      </c>
      <c r="V64" s="93">
        <f t="shared" si="6"/>
        <v>3.7949999999999998E-3</v>
      </c>
      <c r="W64" s="93">
        <f t="shared" si="7"/>
        <v>3.7949999999999998E-3</v>
      </c>
      <c r="X64" s="93">
        <f t="shared" si="8"/>
        <v>0.42503999999999992</v>
      </c>
      <c r="Y64" s="115"/>
    </row>
    <row r="65" spans="1:25" s="90" customFormat="1">
      <c r="A65" s="95" t="s">
        <v>1438</v>
      </c>
      <c r="B65" s="95" t="s">
        <v>1668</v>
      </c>
      <c r="C65" s="95" t="s">
        <v>1427</v>
      </c>
      <c r="D65" s="101" t="s">
        <v>1435</v>
      </c>
      <c r="E65" s="95" t="s">
        <v>1659</v>
      </c>
      <c r="F65" s="95" t="s">
        <v>1670</v>
      </c>
      <c r="G65" s="101" t="s">
        <v>1433</v>
      </c>
      <c r="H65" s="101" t="str">
        <f>IFERROR(VLOOKUP(I65,'Raw material list'!$A$3:$C$695,3,0),"")</f>
        <v>WAT-001</v>
      </c>
      <c r="I65" s="97" t="s">
        <v>1406</v>
      </c>
      <c r="J65" s="101" t="s">
        <v>161</v>
      </c>
      <c r="K65" s="101" t="str">
        <f>IFERROR(VLOOKUP(I65,'Raw material list'!$A$3:$E$695,5,0),"")</f>
        <v>Ml</v>
      </c>
      <c r="L65" s="95">
        <v>1100</v>
      </c>
      <c r="M65" s="98">
        <f t="shared" si="2"/>
        <v>1100</v>
      </c>
      <c r="N65" s="98">
        <v>100</v>
      </c>
      <c r="O65" s="95">
        <v>10</v>
      </c>
      <c r="P65" s="98">
        <f t="shared" si="0"/>
        <v>110</v>
      </c>
      <c r="Q65" s="99">
        <f>IFERROR(VLOOKUP(I65,'Raw material list'!$A$3:$F$695,6,0),"")</f>
        <v>8.0000000000000007E-5</v>
      </c>
      <c r="R65" s="100">
        <f t="shared" si="11"/>
        <v>8.8000000000000005E-3</v>
      </c>
      <c r="S65" s="94">
        <f t="shared" si="3"/>
        <v>8.8000000000000014E-4</v>
      </c>
      <c r="T65" s="94">
        <f t="shared" si="4"/>
        <v>9.6800000000000011E-3</v>
      </c>
      <c r="U65" s="93">
        <f t="shared" si="5"/>
        <v>9.6800000000000011E-4</v>
      </c>
      <c r="V65" s="93">
        <f t="shared" si="6"/>
        <v>9.6800000000000008E-5</v>
      </c>
      <c r="W65" s="93">
        <f t="shared" si="7"/>
        <v>9.6800000000000008E-5</v>
      </c>
      <c r="X65" s="93">
        <f t="shared" si="8"/>
        <v>1.08416E-2</v>
      </c>
      <c r="Y65" s="115"/>
    </row>
    <row r="66" spans="1:25" s="90" customFormat="1">
      <c r="A66" s="95" t="s">
        <v>1438</v>
      </c>
      <c r="B66" s="95" t="s">
        <v>1668</v>
      </c>
      <c r="C66" s="95" t="s">
        <v>1427</v>
      </c>
      <c r="D66" s="101" t="s">
        <v>1435</v>
      </c>
      <c r="E66" s="95" t="s">
        <v>1659</v>
      </c>
      <c r="F66" s="95" t="s">
        <v>1670</v>
      </c>
      <c r="G66" s="101" t="s">
        <v>1433</v>
      </c>
      <c r="H66" s="101" t="str">
        <f>IFERROR(VLOOKUP(I66,'Raw material list'!$A$3:$C$695,3,0),"")</f>
        <v>DRS1-3880</v>
      </c>
      <c r="I66" s="97" t="s">
        <v>1398</v>
      </c>
      <c r="J66" s="101" t="s">
        <v>111</v>
      </c>
      <c r="K66" s="101" t="str">
        <f>IFERROR(VLOOKUP(I66,'Raw material list'!$A$3:$E$695,5,0),"")</f>
        <v xml:space="preserve">Gram </v>
      </c>
      <c r="L66" s="95">
        <v>16</v>
      </c>
      <c r="M66" s="98">
        <f t="shared" si="2"/>
        <v>16</v>
      </c>
      <c r="N66" s="98">
        <v>100</v>
      </c>
      <c r="O66" s="95">
        <v>10</v>
      </c>
      <c r="P66" s="98">
        <f t="shared" si="0"/>
        <v>1.6</v>
      </c>
      <c r="Q66" s="99">
        <f>IFERROR(VLOOKUP(I66,'Raw material list'!$A$3:$F$695,6,0),"")</f>
        <v>5.0000000000000001E-4</v>
      </c>
      <c r="R66" s="100">
        <f t="shared" si="11"/>
        <v>8.0000000000000004E-4</v>
      </c>
      <c r="S66" s="94">
        <f t="shared" si="3"/>
        <v>8.0000000000000007E-5</v>
      </c>
      <c r="T66" s="94">
        <f t="shared" si="4"/>
        <v>8.8000000000000003E-4</v>
      </c>
      <c r="U66" s="93">
        <f t="shared" si="5"/>
        <v>8.8000000000000011E-5</v>
      </c>
      <c r="V66" s="93">
        <f t="shared" si="6"/>
        <v>8.8000000000000004E-6</v>
      </c>
      <c r="W66" s="93">
        <f t="shared" si="7"/>
        <v>8.8000000000000004E-6</v>
      </c>
      <c r="X66" s="93">
        <f t="shared" si="8"/>
        <v>9.856000000000001E-4</v>
      </c>
      <c r="Y66" s="115"/>
    </row>
    <row r="67" spans="1:25" s="90" customFormat="1">
      <c r="A67" s="95" t="s">
        <v>1438</v>
      </c>
      <c r="B67" s="95" t="s">
        <v>1668</v>
      </c>
      <c r="C67" s="95" t="s">
        <v>1427</v>
      </c>
      <c r="D67" s="101" t="s">
        <v>1435</v>
      </c>
      <c r="E67" s="95" t="s">
        <v>1659</v>
      </c>
      <c r="F67" s="95" t="s">
        <v>1670</v>
      </c>
      <c r="G67" s="101" t="s">
        <v>1433</v>
      </c>
      <c r="H67" s="101" t="str">
        <f>IFERROR(VLOOKUP(I67,'Raw material list'!$A$3:$C$695,3,0),"")</f>
        <v>DRS6-309</v>
      </c>
      <c r="I67" s="97" t="s">
        <v>35</v>
      </c>
      <c r="J67" s="101" t="s">
        <v>111</v>
      </c>
      <c r="K67" s="101" t="str">
        <f>IFERROR(VLOOKUP(I67,'Raw material list'!$A$3:$E$695,5,0),"")</f>
        <v xml:space="preserve">Gram </v>
      </c>
      <c r="L67" s="95">
        <v>1.5</v>
      </c>
      <c r="M67" s="98">
        <f t="shared" si="2"/>
        <v>1.5</v>
      </c>
      <c r="N67" s="98">
        <v>100</v>
      </c>
      <c r="O67" s="95">
        <v>10</v>
      </c>
      <c r="P67" s="98">
        <f t="shared" si="0"/>
        <v>0.15</v>
      </c>
      <c r="Q67" s="99">
        <f>IFERROR(VLOOKUP(I67,'Raw material list'!$A$3:$F$695,6,0),"")</f>
        <v>2.8000000000000001E-2</v>
      </c>
      <c r="R67" s="100">
        <f t="shared" si="11"/>
        <v>4.1999999999999997E-3</v>
      </c>
      <c r="S67" s="94">
        <f t="shared" si="3"/>
        <v>4.2000000000000002E-4</v>
      </c>
      <c r="T67" s="94">
        <f t="shared" si="4"/>
        <v>4.62E-3</v>
      </c>
      <c r="U67" s="93">
        <f t="shared" si="5"/>
        <v>4.6200000000000001E-4</v>
      </c>
      <c r="V67" s="93">
        <f t="shared" si="6"/>
        <v>4.6199999999999998E-5</v>
      </c>
      <c r="W67" s="93">
        <f t="shared" si="7"/>
        <v>4.6199999999999998E-5</v>
      </c>
      <c r="X67" s="93">
        <f t="shared" si="8"/>
        <v>5.1743999999999991E-3</v>
      </c>
      <c r="Y67" s="115"/>
    </row>
    <row r="68" spans="1:25" s="90" customFormat="1">
      <c r="A68" s="95" t="s">
        <v>1438</v>
      </c>
      <c r="B68" s="95" t="s">
        <v>1668</v>
      </c>
      <c r="C68" s="95" t="s">
        <v>1427</v>
      </c>
      <c r="D68" s="101" t="s">
        <v>1435</v>
      </c>
      <c r="E68" s="95" t="s">
        <v>1659</v>
      </c>
      <c r="F68" s="95" t="s">
        <v>1670</v>
      </c>
      <c r="G68" s="101" t="s">
        <v>1433</v>
      </c>
      <c r="H68" s="101" t="str">
        <f>IFERROR(VLOOKUP(I68,'Raw material list'!$A$3:$C$695,3,0),"")</f>
        <v>DRS6-3593</v>
      </c>
      <c r="I68" s="97" t="s">
        <v>1417</v>
      </c>
      <c r="J68" s="101" t="s">
        <v>111</v>
      </c>
      <c r="K68" s="101" t="str">
        <f>IFERROR(VLOOKUP(I68,'Raw material list'!$A$3:$E$695,5,0),"")</f>
        <v xml:space="preserve">Gram </v>
      </c>
      <c r="L68" s="95">
        <v>1</v>
      </c>
      <c r="M68" s="98">
        <f t="shared" si="2"/>
        <v>1</v>
      </c>
      <c r="N68" s="98">
        <v>100</v>
      </c>
      <c r="O68" s="95">
        <v>10</v>
      </c>
      <c r="P68" s="98">
        <f t="shared" si="0"/>
        <v>0.1</v>
      </c>
      <c r="Q68" s="99">
        <f>IFERROR(VLOOKUP(I68,'Raw material list'!$A$3:$F$695,6,0),"")</f>
        <v>1.0500000000000001E-2</v>
      </c>
      <c r="R68" s="100">
        <f t="shared" si="11"/>
        <v>1.0500000000000002E-3</v>
      </c>
      <c r="S68" s="94">
        <f t="shared" si="3"/>
        <v>1.0500000000000002E-4</v>
      </c>
      <c r="T68" s="94">
        <f t="shared" si="4"/>
        <v>1.1550000000000002E-3</v>
      </c>
      <c r="U68" s="93">
        <f t="shared" si="5"/>
        <v>1.1550000000000003E-4</v>
      </c>
      <c r="V68" s="93">
        <f t="shared" si="6"/>
        <v>1.1550000000000003E-5</v>
      </c>
      <c r="W68" s="93">
        <f t="shared" si="7"/>
        <v>1.1550000000000003E-5</v>
      </c>
      <c r="X68" s="93">
        <f t="shared" si="8"/>
        <v>1.2936E-3</v>
      </c>
      <c r="Y68" s="115"/>
    </row>
    <row r="69" spans="1:25" s="90" customFormat="1">
      <c r="A69" s="95" t="s">
        <v>1438</v>
      </c>
      <c r="B69" s="95" t="s">
        <v>1668</v>
      </c>
      <c r="C69" s="95" t="s">
        <v>1427</v>
      </c>
      <c r="D69" s="101" t="s">
        <v>1435</v>
      </c>
      <c r="E69" s="95" t="s">
        <v>1659</v>
      </c>
      <c r="F69" s="95" t="s">
        <v>1670</v>
      </c>
      <c r="G69" s="101" t="s">
        <v>1433</v>
      </c>
      <c r="H69" s="101" t="str">
        <f>IFERROR(VLOOKUP(I69,'Raw material list'!$A$3:$C$695,3,0),"")</f>
        <v>DRS3-1813</v>
      </c>
      <c r="I69" s="97" t="s">
        <v>39</v>
      </c>
      <c r="J69" s="101" t="s">
        <v>161</v>
      </c>
      <c r="K69" s="101" t="str">
        <f>IFERROR(VLOOKUP(I69,'Raw material list'!$A$3:$E$695,5,0),"")</f>
        <v>Ml</v>
      </c>
      <c r="L69" s="95">
        <v>30</v>
      </c>
      <c r="M69" s="98">
        <f t="shared" si="2"/>
        <v>30</v>
      </c>
      <c r="N69" s="98">
        <v>100</v>
      </c>
      <c r="O69" s="95">
        <v>10</v>
      </c>
      <c r="P69" s="98">
        <f t="shared" si="0"/>
        <v>3</v>
      </c>
      <c r="Q69" s="99">
        <f>IFERROR(VLOOKUP(I69,'Raw material list'!$A$3:$F$695,6,0),"")</f>
        <v>8.0555555555555554E-3</v>
      </c>
      <c r="R69" s="100">
        <f t="shared" si="11"/>
        <v>2.4166666666666666E-2</v>
      </c>
      <c r="S69" s="94">
        <f t="shared" si="3"/>
        <v>2.4166666666666668E-3</v>
      </c>
      <c r="T69" s="94">
        <f t="shared" si="4"/>
        <v>2.6583333333333334E-2</v>
      </c>
      <c r="U69" s="93">
        <f t="shared" si="5"/>
        <v>2.6583333333333337E-3</v>
      </c>
      <c r="V69" s="93">
        <f t="shared" si="6"/>
        <v>2.6583333333333336E-4</v>
      </c>
      <c r="W69" s="93">
        <f t="shared" si="7"/>
        <v>2.6583333333333336E-4</v>
      </c>
      <c r="X69" s="93">
        <f t="shared" si="8"/>
        <v>2.9773333333333332E-2</v>
      </c>
      <c r="Y69" s="115"/>
    </row>
    <row r="70" spans="1:25" s="90" customFormat="1">
      <c r="A70" s="95" t="s">
        <v>1438</v>
      </c>
      <c r="B70" s="95" t="s">
        <v>1668</v>
      </c>
      <c r="C70" s="95" t="s">
        <v>1427</v>
      </c>
      <c r="D70" s="101" t="s">
        <v>1435</v>
      </c>
      <c r="E70" s="95" t="s">
        <v>1659</v>
      </c>
      <c r="F70" s="95" t="s">
        <v>1670</v>
      </c>
      <c r="G70" s="101" t="s">
        <v>1433</v>
      </c>
      <c r="H70" s="101" t="str">
        <f>IFERROR(VLOOKUP(I70,'Raw material list'!$A$3:$C$695,3,0),"")</f>
        <v>DRS6-539</v>
      </c>
      <c r="I70" s="97" t="s">
        <v>717</v>
      </c>
      <c r="J70" s="101" t="s">
        <v>111</v>
      </c>
      <c r="K70" s="101" t="str">
        <f>IFERROR(VLOOKUP(I70,'Raw material list'!$A$3:$E$695,5,0),"")</f>
        <v xml:space="preserve">Gram </v>
      </c>
      <c r="L70" s="95">
        <v>2</v>
      </c>
      <c r="M70" s="98">
        <f t="shared" ref="M70:M133" si="14">L70/N70*100</f>
        <v>2</v>
      </c>
      <c r="N70" s="98">
        <v>100</v>
      </c>
      <c r="O70" s="95">
        <v>10</v>
      </c>
      <c r="P70" s="98">
        <f t="shared" si="0"/>
        <v>0.2</v>
      </c>
      <c r="Q70" s="99">
        <f>IFERROR(VLOOKUP(I70,'Raw material list'!$A$3:$F$695,6,0),"")</f>
        <v>0.16</v>
      </c>
      <c r="R70" s="100">
        <f t="shared" ref="R70:R96" si="15">IFERROR(Q70*P70,0)</f>
        <v>3.2000000000000001E-2</v>
      </c>
      <c r="S70" s="94">
        <f t="shared" ref="S70:S133" si="16">R70*10%</f>
        <v>3.2000000000000002E-3</v>
      </c>
      <c r="T70" s="94">
        <f t="shared" ref="T70:T133" si="17">R70+S70</f>
        <v>3.5200000000000002E-2</v>
      </c>
      <c r="U70" s="93">
        <f t="shared" ref="U70:U133" si="18">T70*10%</f>
        <v>3.5200000000000006E-3</v>
      </c>
      <c r="V70" s="93">
        <f t="shared" ref="V70:V133" si="19">T70*1%</f>
        <v>3.5200000000000005E-4</v>
      </c>
      <c r="W70" s="93">
        <f t="shared" ref="W70:W133" si="20">T70*1%</f>
        <v>3.5200000000000005E-4</v>
      </c>
      <c r="X70" s="93">
        <f t="shared" ref="X70:X133" si="21">T70+U70+V70+W70</f>
        <v>3.9424000000000001E-2</v>
      </c>
      <c r="Y70" s="115"/>
    </row>
    <row r="71" spans="1:25" s="90" customFormat="1">
      <c r="A71" s="95" t="s">
        <v>1438</v>
      </c>
      <c r="B71" s="95" t="s">
        <v>1668</v>
      </c>
      <c r="C71" s="95" t="s">
        <v>1427</v>
      </c>
      <c r="D71" s="101" t="s">
        <v>1435</v>
      </c>
      <c r="E71" s="95" t="s">
        <v>1659</v>
      </c>
      <c r="F71" s="95" t="s">
        <v>1670</v>
      </c>
      <c r="G71" s="101" t="s">
        <v>1433</v>
      </c>
      <c r="H71" s="101" t="str">
        <f>IFERROR(VLOOKUP(I71,'Raw material list'!$A$3:$C$695,3,0),"")</f>
        <v>DRS6-261</v>
      </c>
      <c r="I71" s="97" t="s">
        <v>1565</v>
      </c>
      <c r="J71" s="101" t="s">
        <v>111</v>
      </c>
      <c r="K71" s="101" t="str">
        <f>IFERROR(VLOOKUP(I71,'Raw material list'!$A$3:$E$695,5,0),"")</f>
        <v xml:space="preserve">Gram </v>
      </c>
      <c r="L71" s="95">
        <v>0.3</v>
      </c>
      <c r="M71" s="98">
        <f t="shared" si="14"/>
        <v>0.3</v>
      </c>
      <c r="N71" s="98">
        <v>100</v>
      </c>
      <c r="O71" s="95">
        <v>10</v>
      </c>
      <c r="P71" s="98">
        <f t="shared" si="0"/>
        <v>0.03</v>
      </c>
      <c r="Q71" s="99">
        <f>IFERROR(VLOOKUP(I71,'Raw material list'!$A$3:$F$695,6,0),"")</f>
        <v>1.4E-2</v>
      </c>
      <c r="R71" s="100">
        <f t="shared" si="15"/>
        <v>4.2000000000000002E-4</v>
      </c>
      <c r="S71" s="94">
        <f t="shared" si="16"/>
        <v>4.2000000000000004E-5</v>
      </c>
      <c r="T71" s="94">
        <f t="shared" si="17"/>
        <v>4.6200000000000001E-4</v>
      </c>
      <c r="U71" s="93">
        <f t="shared" si="18"/>
        <v>4.6200000000000005E-5</v>
      </c>
      <c r="V71" s="93">
        <f t="shared" si="19"/>
        <v>4.6199999999999998E-6</v>
      </c>
      <c r="W71" s="93">
        <f t="shared" si="20"/>
        <v>4.6199999999999998E-6</v>
      </c>
      <c r="X71" s="93">
        <f t="shared" si="21"/>
        <v>5.1743999999999998E-4</v>
      </c>
      <c r="Y71" s="115"/>
    </row>
    <row r="72" spans="1:25" s="90" customFormat="1">
      <c r="A72" s="95" t="s">
        <v>1608</v>
      </c>
      <c r="B72" s="95" t="s">
        <v>1631</v>
      </c>
      <c r="C72" s="95" t="s">
        <v>1427</v>
      </c>
      <c r="D72" s="101" t="s">
        <v>1441</v>
      </c>
      <c r="E72" s="95" t="s">
        <v>1660</v>
      </c>
      <c r="F72" s="95" t="s">
        <v>1669</v>
      </c>
      <c r="G72" s="101"/>
      <c r="H72" s="101" t="str">
        <f>IFERROR(VLOOKUP(I72,'Raw material list'!$A$3:$C$695,3,0),"")</f>
        <v>BKR1-1327</v>
      </c>
      <c r="I72" s="97" t="s">
        <v>118</v>
      </c>
      <c r="J72" s="101" t="s">
        <v>120</v>
      </c>
      <c r="K72" s="95" t="str">
        <f>IFERROR(VLOOKUP(I72,'Raw material list'!$A$3:$E$695,5,0),"")</f>
        <v>Slice</v>
      </c>
      <c r="L72" s="95">
        <v>10</v>
      </c>
      <c r="M72" s="98">
        <f t="shared" si="14"/>
        <v>10</v>
      </c>
      <c r="N72" s="98">
        <v>100</v>
      </c>
      <c r="O72" s="95">
        <v>10</v>
      </c>
      <c r="P72" s="98">
        <f t="shared" si="0"/>
        <v>1</v>
      </c>
      <c r="Q72" s="99">
        <f>IFERROR(VLOOKUP(I72,'Raw material list'!$A$3:$F$695,6,0),"")</f>
        <v>0.22222222222222221</v>
      </c>
      <c r="R72" s="100">
        <f t="shared" si="15"/>
        <v>0.22222222222222221</v>
      </c>
      <c r="S72" s="94">
        <f t="shared" si="16"/>
        <v>2.2222222222222223E-2</v>
      </c>
      <c r="T72" s="94">
        <f t="shared" si="17"/>
        <v>0.24444444444444444</v>
      </c>
      <c r="U72" s="93">
        <f t="shared" si="18"/>
        <v>2.4444444444444446E-2</v>
      </c>
      <c r="V72" s="93">
        <f t="shared" si="19"/>
        <v>2.4444444444444444E-3</v>
      </c>
      <c r="W72" s="93">
        <f t="shared" si="20"/>
        <v>2.4444444444444444E-3</v>
      </c>
      <c r="X72" s="93">
        <f t="shared" si="21"/>
        <v>0.27377777777777784</v>
      </c>
      <c r="Y72" s="120"/>
    </row>
    <row r="73" spans="1:25" s="90" customFormat="1">
      <c r="A73" s="95" t="s">
        <v>1608</v>
      </c>
      <c r="B73" s="95" t="s">
        <v>1631</v>
      </c>
      <c r="C73" s="95" t="s">
        <v>1427</v>
      </c>
      <c r="D73" s="101" t="s">
        <v>1441</v>
      </c>
      <c r="E73" s="95" t="s">
        <v>1660</v>
      </c>
      <c r="F73" s="95" t="s">
        <v>1670</v>
      </c>
      <c r="G73" s="101"/>
      <c r="H73" s="101" t="str">
        <f>IFERROR(VLOOKUP(I73,'Raw material list'!$A$3:$C$695,3,0),"")</f>
        <v>DRY1-353</v>
      </c>
      <c r="I73" s="97" t="s">
        <v>1558</v>
      </c>
      <c r="J73" s="101" t="s">
        <v>111</v>
      </c>
      <c r="K73" s="95" t="str">
        <f>IFERROR(VLOOKUP(I73,'Raw material list'!$A$3:$E$695,5,0),"")</f>
        <v xml:space="preserve">Gram </v>
      </c>
      <c r="L73" s="95">
        <v>700</v>
      </c>
      <c r="M73" s="98">
        <f t="shared" si="14"/>
        <v>700</v>
      </c>
      <c r="N73" s="98">
        <v>100</v>
      </c>
      <c r="O73" s="95">
        <v>10</v>
      </c>
      <c r="P73" s="98">
        <f t="shared" si="0"/>
        <v>70</v>
      </c>
      <c r="Q73" s="99">
        <f>IFERROR(VLOOKUP(I73,'Raw material list'!$A$3:$F$695,6,0),"")</f>
        <v>2.4500000000000001E-2</v>
      </c>
      <c r="R73" s="100">
        <f t="shared" si="15"/>
        <v>1.7150000000000001</v>
      </c>
      <c r="S73" s="94">
        <f t="shared" si="16"/>
        <v>0.17150000000000001</v>
      </c>
      <c r="T73" s="94">
        <f t="shared" si="17"/>
        <v>1.8865000000000001</v>
      </c>
      <c r="U73" s="93">
        <f t="shared" si="18"/>
        <v>0.18865000000000001</v>
      </c>
      <c r="V73" s="93">
        <f t="shared" si="19"/>
        <v>1.8865E-2</v>
      </c>
      <c r="W73" s="93">
        <f t="shared" si="20"/>
        <v>1.8865E-2</v>
      </c>
      <c r="X73" s="93">
        <f t="shared" si="21"/>
        <v>2.1128800000000001</v>
      </c>
      <c r="Y73" s="120"/>
    </row>
    <row r="74" spans="1:25" s="90" customFormat="1">
      <c r="A74" s="95" t="s">
        <v>1608</v>
      </c>
      <c r="B74" s="95" t="s">
        <v>1631</v>
      </c>
      <c r="C74" s="95" t="s">
        <v>1427</v>
      </c>
      <c r="D74" s="101" t="s">
        <v>1441</v>
      </c>
      <c r="E74" s="95" t="s">
        <v>1660</v>
      </c>
      <c r="F74" s="95" t="s">
        <v>1670</v>
      </c>
      <c r="G74" s="101" t="s">
        <v>1442</v>
      </c>
      <c r="H74" s="101" t="str">
        <f>IFERROR(VLOOKUP(I74,'Raw material list'!$A$3:$C$695,3,0),"")</f>
        <v>DRS1-1780</v>
      </c>
      <c r="I74" s="97" t="s">
        <v>235</v>
      </c>
      <c r="J74" s="101" t="s">
        <v>111</v>
      </c>
      <c r="K74" s="95" t="str">
        <f>IFERROR(VLOOKUP(I74,'Raw material list'!$A$3:$E$695,5,0),"")</f>
        <v xml:space="preserve">Gram </v>
      </c>
      <c r="L74" s="95">
        <v>150</v>
      </c>
      <c r="M74" s="98">
        <f t="shared" si="14"/>
        <v>150</v>
      </c>
      <c r="N74" s="98">
        <v>100</v>
      </c>
      <c r="O74" s="95">
        <v>10</v>
      </c>
      <c r="P74" s="98">
        <f t="shared" si="0"/>
        <v>15</v>
      </c>
      <c r="Q74" s="99">
        <f>IFERROR(VLOOKUP(I74,'Raw material list'!$A$3:$F$695,6,0),"")</f>
        <v>0.04</v>
      </c>
      <c r="R74" s="100">
        <f t="shared" si="15"/>
        <v>0.6</v>
      </c>
      <c r="S74" s="94">
        <f t="shared" si="16"/>
        <v>0.06</v>
      </c>
      <c r="T74" s="94">
        <f t="shared" si="17"/>
        <v>0.65999999999999992</v>
      </c>
      <c r="U74" s="93">
        <f t="shared" si="18"/>
        <v>6.5999999999999989E-2</v>
      </c>
      <c r="V74" s="93">
        <f t="shared" si="19"/>
        <v>6.5999999999999991E-3</v>
      </c>
      <c r="W74" s="93">
        <f t="shared" si="20"/>
        <v>6.5999999999999991E-3</v>
      </c>
      <c r="X74" s="93">
        <f t="shared" si="21"/>
        <v>0.73919999999999997</v>
      </c>
      <c r="Y74" s="120"/>
    </row>
    <row r="75" spans="1:25" s="90" customFormat="1">
      <c r="A75" s="95" t="s">
        <v>1608</v>
      </c>
      <c r="B75" s="95" t="s">
        <v>1631</v>
      </c>
      <c r="C75" s="95" t="s">
        <v>1427</v>
      </c>
      <c r="D75" s="101" t="s">
        <v>1441</v>
      </c>
      <c r="E75" s="95" t="s">
        <v>1660</v>
      </c>
      <c r="F75" s="95" t="s">
        <v>1669</v>
      </c>
      <c r="G75" s="101" t="s">
        <v>1426</v>
      </c>
      <c r="H75" s="101" t="str">
        <f>IFERROR(VLOOKUP(I75,'Raw material list'!$A$3:$C$695,3,0),"")</f>
        <v/>
      </c>
      <c r="I75" s="97" t="s">
        <v>1443</v>
      </c>
      <c r="J75" s="101" t="s">
        <v>1615</v>
      </c>
      <c r="K75" s="95" t="str">
        <f>IFERROR(VLOOKUP(I75,'Raw material list'!$A$3:$E$695,5,0),"")</f>
        <v/>
      </c>
      <c r="L75" s="95">
        <v>50</v>
      </c>
      <c r="M75" s="98">
        <f t="shared" si="14"/>
        <v>50</v>
      </c>
      <c r="N75" s="98">
        <v>100</v>
      </c>
      <c r="O75" s="95">
        <v>10</v>
      </c>
      <c r="P75" s="98">
        <f t="shared" si="0"/>
        <v>5</v>
      </c>
      <c r="Q75" s="99" t="str">
        <f>IFERROR(VLOOKUP(I75,'Raw material list'!$A$3:$F$695,6,0),"")</f>
        <v/>
      </c>
      <c r="R75" s="100">
        <f t="shared" si="15"/>
        <v>0</v>
      </c>
      <c r="S75" s="94">
        <f t="shared" si="16"/>
        <v>0</v>
      </c>
      <c r="T75" s="94">
        <f t="shared" si="17"/>
        <v>0</v>
      </c>
      <c r="U75" s="93">
        <f t="shared" si="18"/>
        <v>0</v>
      </c>
      <c r="V75" s="93">
        <f t="shared" si="19"/>
        <v>0</v>
      </c>
      <c r="W75" s="93">
        <f t="shared" si="20"/>
        <v>0</v>
      </c>
      <c r="X75" s="93">
        <f t="shared" si="21"/>
        <v>0</v>
      </c>
      <c r="Y75" s="120"/>
    </row>
    <row r="76" spans="1:25" s="90" customFormat="1">
      <c r="A76" s="95" t="s">
        <v>1440</v>
      </c>
      <c r="B76" s="95" t="s">
        <v>1668</v>
      </c>
      <c r="C76" s="95" t="s">
        <v>1427</v>
      </c>
      <c r="D76" s="101" t="s">
        <v>1444</v>
      </c>
      <c r="E76" s="95" t="s">
        <v>1428</v>
      </c>
      <c r="F76" s="95" t="s">
        <v>1671</v>
      </c>
      <c r="G76" s="101" t="s">
        <v>1591</v>
      </c>
      <c r="H76" s="101" t="str">
        <f>IFERROR(VLOOKUP(I76,'Raw material list'!$A$3:$C$695,3,0),"")</f>
        <v>PLT2-3278</v>
      </c>
      <c r="I76" s="97" t="s">
        <v>61</v>
      </c>
      <c r="J76" s="101" t="s">
        <v>111</v>
      </c>
      <c r="K76" s="95" t="str">
        <f>IFERROR(VLOOKUP(I76,'Raw material list'!$A$3:$E$695,5,0),"")</f>
        <v xml:space="preserve">Gram </v>
      </c>
      <c r="L76" s="95">
        <v>1400</v>
      </c>
      <c r="M76" s="98">
        <f t="shared" si="14"/>
        <v>1837.2703412073492</v>
      </c>
      <c r="N76" s="98">
        <v>76.2</v>
      </c>
      <c r="O76" s="95">
        <v>10</v>
      </c>
      <c r="P76" s="98">
        <f t="shared" si="0"/>
        <v>140</v>
      </c>
      <c r="Q76" s="99">
        <f>IFERROR(VLOOKUP(I76,'Raw material list'!$A$3:$F$695,6,0),"")</f>
        <v>3.035714285714285E-2</v>
      </c>
      <c r="R76" s="100">
        <f t="shared" si="15"/>
        <v>4.2499999999999991</v>
      </c>
      <c r="S76" s="94">
        <f t="shared" si="16"/>
        <v>0.42499999999999993</v>
      </c>
      <c r="T76" s="94">
        <f t="shared" si="17"/>
        <v>4.6749999999999989</v>
      </c>
      <c r="U76" s="93">
        <f t="shared" si="18"/>
        <v>0.46749999999999992</v>
      </c>
      <c r="V76" s="93">
        <f t="shared" si="19"/>
        <v>4.6749999999999993E-2</v>
      </c>
      <c r="W76" s="93">
        <f t="shared" si="20"/>
        <v>4.6749999999999993E-2</v>
      </c>
      <c r="X76" s="93">
        <f t="shared" si="21"/>
        <v>5.2359999999999998</v>
      </c>
      <c r="Y76" s="115" t="s">
        <v>1674</v>
      </c>
    </row>
    <row r="77" spans="1:25" s="90" customFormat="1">
      <c r="A77" s="95" t="s">
        <v>1440</v>
      </c>
      <c r="B77" s="95" t="s">
        <v>1668</v>
      </c>
      <c r="C77" s="95" t="s">
        <v>1427</v>
      </c>
      <c r="D77" s="101" t="s">
        <v>1444</v>
      </c>
      <c r="E77" s="95" t="s">
        <v>1428</v>
      </c>
      <c r="F77" s="95" t="s">
        <v>1671</v>
      </c>
      <c r="G77" s="101" t="s">
        <v>1591</v>
      </c>
      <c r="H77" s="101" t="str">
        <f>IFERROR(VLOOKUP(I77,'Raw material list'!$A$3:$C$695,3,0),"")</f>
        <v>DRS6-1727</v>
      </c>
      <c r="I77" s="97" t="s">
        <v>41</v>
      </c>
      <c r="J77" s="101" t="s">
        <v>111</v>
      </c>
      <c r="K77" s="95" t="str">
        <f>IFERROR(VLOOKUP(I77,'Raw material list'!$A$3:$E$695,5,0),"")</f>
        <v xml:space="preserve">Gram </v>
      </c>
      <c r="L77" s="95">
        <v>12</v>
      </c>
      <c r="M77" s="98">
        <f t="shared" si="14"/>
        <v>12</v>
      </c>
      <c r="N77" s="98">
        <v>100</v>
      </c>
      <c r="O77" s="95">
        <v>10</v>
      </c>
      <c r="P77" s="98">
        <f t="shared" ref="P77:P80" si="22">IFERROR(L77/O77,0)</f>
        <v>1.2</v>
      </c>
      <c r="Q77" s="99">
        <f>IFERROR(VLOOKUP(I77,'Raw material list'!$A$3:$F$695,6,0),"")</f>
        <v>2.5000000000000001E-2</v>
      </c>
      <c r="R77" s="100">
        <f t="shared" ref="R77:R80" si="23">IFERROR(Q77*P77,0)</f>
        <v>0.03</v>
      </c>
      <c r="S77" s="94">
        <f t="shared" si="16"/>
        <v>3.0000000000000001E-3</v>
      </c>
      <c r="T77" s="94">
        <f t="shared" si="17"/>
        <v>3.3000000000000002E-2</v>
      </c>
      <c r="U77" s="93">
        <f t="shared" si="18"/>
        <v>3.3000000000000004E-3</v>
      </c>
      <c r="V77" s="93">
        <f t="shared" si="19"/>
        <v>3.3E-4</v>
      </c>
      <c r="W77" s="93">
        <f t="shared" si="20"/>
        <v>3.3E-4</v>
      </c>
      <c r="X77" s="93">
        <f t="shared" si="21"/>
        <v>3.6959999999999993E-2</v>
      </c>
      <c r="Y77" s="115"/>
    </row>
    <row r="78" spans="1:25" s="90" customFormat="1">
      <c r="A78" s="95" t="s">
        <v>1440</v>
      </c>
      <c r="B78" s="95" t="s">
        <v>1668</v>
      </c>
      <c r="C78" s="95" t="s">
        <v>1427</v>
      </c>
      <c r="D78" s="101" t="s">
        <v>1444</v>
      </c>
      <c r="E78" s="95" t="s">
        <v>1428</v>
      </c>
      <c r="F78" s="95" t="s">
        <v>1671</v>
      </c>
      <c r="G78" s="101" t="s">
        <v>1591</v>
      </c>
      <c r="H78" s="101" t="str">
        <f>IFERROR(VLOOKUP(I78,'Raw material list'!$A$3:$C$695,3,0),"")</f>
        <v>DRS6-5088</v>
      </c>
      <c r="I78" s="97" t="s">
        <v>668</v>
      </c>
      <c r="J78" s="101" t="s">
        <v>111</v>
      </c>
      <c r="K78" s="95" t="str">
        <f>IFERROR(VLOOKUP(I78,'Raw material list'!$A$3:$E$695,5,0),"")</f>
        <v xml:space="preserve">Gram </v>
      </c>
      <c r="L78" s="95">
        <v>12</v>
      </c>
      <c r="M78" s="98">
        <f t="shared" si="14"/>
        <v>12</v>
      </c>
      <c r="N78" s="98">
        <v>100</v>
      </c>
      <c r="O78" s="95">
        <v>10</v>
      </c>
      <c r="P78" s="98">
        <f t="shared" si="22"/>
        <v>1.2</v>
      </c>
      <c r="Q78" s="99">
        <f>IFERROR(VLOOKUP(I78,'Raw material list'!$A$3:$F$695,6,0),"")</f>
        <v>0.08</v>
      </c>
      <c r="R78" s="100">
        <f t="shared" si="23"/>
        <v>9.6000000000000002E-2</v>
      </c>
      <c r="S78" s="94">
        <f t="shared" si="16"/>
        <v>9.6000000000000009E-3</v>
      </c>
      <c r="T78" s="94">
        <f t="shared" si="17"/>
        <v>0.1056</v>
      </c>
      <c r="U78" s="93">
        <f t="shared" si="18"/>
        <v>1.056E-2</v>
      </c>
      <c r="V78" s="93">
        <f t="shared" si="19"/>
        <v>1.0560000000000001E-3</v>
      </c>
      <c r="W78" s="93">
        <f t="shared" si="20"/>
        <v>1.0560000000000001E-3</v>
      </c>
      <c r="X78" s="93">
        <f t="shared" si="21"/>
        <v>0.118272</v>
      </c>
      <c r="Y78" s="115"/>
    </row>
    <row r="79" spans="1:25" s="90" customFormat="1">
      <c r="A79" s="95" t="s">
        <v>1440</v>
      </c>
      <c r="B79" s="95" t="s">
        <v>1668</v>
      </c>
      <c r="C79" s="95" t="s">
        <v>1427</v>
      </c>
      <c r="D79" s="101" t="s">
        <v>1444</v>
      </c>
      <c r="E79" s="95" t="s">
        <v>1428</v>
      </c>
      <c r="F79" s="95" t="s">
        <v>1671</v>
      </c>
      <c r="G79" s="101" t="s">
        <v>1591</v>
      </c>
      <c r="H79" s="101" t="str">
        <f>IFERROR(VLOOKUP(I79,'Raw material list'!$A$3:$C$695,3,0),"")</f>
        <v>DRS6-5376</v>
      </c>
      <c r="I79" s="97" t="s">
        <v>55</v>
      </c>
      <c r="J79" s="101" t="s">
        <v>111</v>
      </c>
      <c r="K79" s="95" t="str">
        <f>IFERROR(VLOOKUP(I79,'Raw material list'!$A$3:$E$695,5,0),"")</f>
        <v xml:space="preserve">Gram </v>
      </c>
      <c r="L79" s="95">
        <v>3</v>
      </c>
      <c r="M79" s="98">
        <f t="shared" si="14"/>
        <v>3</v>
      </c>
      <c r="N79" s="98">
        <v>100</v>
      </c>
      <c r="O79" s="95">
        <v>10</v>
      </c>
      <c r="P79" s="98">
        <f t="shared" si="22"/>
        <v>0.3</v>
      </c>
      <c r="Q79" s="99">
        <f>IFERROR(VLOOKUP(I79,'Raw material list'!$A$3:$F$695,6,0),"")</f>
        <v>2.8000000000000001E-2</v>
      </c>
      <c r="R79" s="100">
        <f t="shared" si="23"/>
        <v>8.3999999999999995E-3</v>
      </c>
      <c r="S79" s="94">
        <f t="shared" si="16"/>
        <v>8.4000000000000003E-4</v>
      </c>
      <c r="T79" s="94">
        <f t="shared" si="17"/>
        <v>9.2399999999999999E-3</v>
      </c>
      <c r="U79" s="93">
        <f t="shared" si="18"/>
        <v>9.2400000000000002E-4</v>
      </c>
      <c r="V79" s="93">
        <f t="shared" si="19"/>
        <v>9.2399999999999996E-5</v>
      </c>
      <c r="W79" s="93">
        <f t="shared" si="20"/>
        <v>9.2399999999999996E-5</v>
      </c>
      <c r="X79" s="93">
        <f t="shared" si="21"/>
        <v>1.0348799999999998E-2</v>
      </c>
      <c r="Y79" s="115"/>
    </row>
    <row r="80" spans="1:25" s="90" customFormat="1">
      <c r="A80" s="95" t="s">
        <v>1440</v>
      </c>
      <c r="B80" s="95" t="s">
        <v>1668</v>
      </c>
      <c r="C80" s="95" t="s">
        <v>1427</v>
      </c>
      <c r="D80" s="101" t="s">
        <v>1444</v>
      </c>
      <c r="E80" s="95" t="s">
        <v>1428</v>
      </c>
      <c r="F80" s="95" t="s">
        <v>1671</v>
      </c>
      <c r="G80" s="101" t="s">
        <v>1591</v>
      </c>
      <c r="H80" s="101" t="str">
        <f>IFERROR(VLOOKUP(I80,'Raw material list'!$A$3:$C$695,3,0),"")</f>
        <v>WAT-001</v>
      </c>
      <c r="I80" s="97" t="s">
        <v>1406</v>
      </c>
      <c r="J80" s="101" t="s">
        <v>161</v>
      </c>
      <c r="K80" s="95" t="str">
        <f>IFERROR(VLOOKUP(I80,'Raw material list'!$A$3:$E$695,5,0),"")</f>
        <v>Ml</v>
      </c>
      <c r="L80" s="95">
        <v>120</v>
      </c>
      <c r="M80" s="98">
        <f t="shared" si="14"/>
        <v>120</v>
      </c>
      <c r="N80" s="98">
        <v>100</v>
      </c>
      <c r="O80" s="95">
        <v>10</v>
      </c>
      <c r="P80" s="98">
        <f t="shared" si="22"/>
        <v>12</v>
      </c>
      <c r="Q80" s="99">
        <f>IFERROR(VLOOKUP(I80,'Raw material list'!$A$3:$F$695,6,0),"")</f>
        <v>8.0000000000000007E-5</v>
      </c>
      <c r="R80" s="100">
        <f t="shared" si="23"/>
        <v>9.6000000000000013E-4</v>
      </c>
      <c r="S80" s="94">
        <f t="shared" si="16"/>
        <v>9.6000000000000016E-5</v>
      </c>
      <c r="T80" s="94">
        <f t="shared" si="17"/>
        <v>1.0560000000000001E-3</v>
      </c>
      <c r="U80" s="93">
        <f t="shared" si="18"/>
        <v>1.0560000000000002E-4</v>
      </c>
      <c r="V80" s="93">
        <f t="shared" si="19"/>
        <v>1.0560000000000001E-5</v>
      </c>
      <c r="W80" s="93">
        <f t="shared" si="20"/>
        <v>1.0560000000000001E-5</v>
      </c>
      <c r="X80" s="93">
        <f t="shared" si="21"/>
        <v>1.18272E-3</v>
      </c>
      <c r="Y80" s="115"/>
    </row>
    <row r="81" spans="1:25" s="90" customFormat="1">
      <c r="A81" s="95" t="s">
        <v>1440</v>
      </c>
      <c r="B81" s="95" t="s">
        <v>1668</v>
      </c>
      <c r="C81" s="95" t="s">
        <v>1427</v>
      </c>
      <c r="D81" s="101" t="s">
        <v>1444</v>
      </c>
      <c r="E81" s="95" t="s">
        <v>1428</v>
      </c>
      <c r="F81" s="95" t="s">
        <v>1670</v>
      </c>
      <c r="G81" s="101"/>
      <c r="H81" s="101" t="str">
        <f>IFERROR(VLOOKUP(I81,'Raw material list'!$A$3:$C$695,3,0),"")</f>
        <v>DRS2-4321</v>
      </c>
      <c r="I81" s="97" t="s">
        <v>526</v>
      </c>
      <c r="J81" s="101" t="s">
        <v>111</v>
      </c>
      <c r="K81" s="95" t="str">
        <f>IFERROR(VLOOKUP(I81,'Raw material list'!$A$3:$E$695,5,0),"")</f>
        <v xml:space="preserve">Gram </v>
      </c>
      <c r="L81" s="95">
        <v>700</v>
      </c>
      <c r="M81" s="98">
        <f t="shared" si="14"/>
        <v>700</v>
      </c>
      <c r="N81" s="98">
        <v>100</v>
      </c>
      <c r="O81" s="95">
        <v>10</v>
      </c>
      <c r="P81" s="98">
        <f t="shared" si="0"/>
        <v>70</v>
      </c>
      <c r="Q81" s="99">
        <f>IFERROR(VLOOKUP(I81,'Raw material list'!$A$3:$F$695,6,0),"")</f>
        <v>8.0299999999999989E-3</v>
      </c>
      <c r="R81" s="100">
        <f t="shared" si="15"/>
        <v>0.56209999999999993</v>
      </c>
      <c r="S81" s="94">
        <f t="shared" si="16"/>
        <v>5.6209999999999996E-2</v>
      </c>
      <c r="T81" s="94">
        <f t="shared" si="17"/>
        <v>0.61830999999999992</v>
      </c>
      <c r="U81" s="93">
        <f t="shared" si="18"/>
        <v>6.1830999999999997E-2</v>
      </c>
      <c r="V81" s="93">
        <f t="shared" si="19"/>
        <v>6.1830999999999995E-3</v>
      </c>
      <c r="W81" s="93">
        <f t="shared" si="20"/>
        <v>6.1830999999999995E-3</v>
      </c>
      <c r="X81" s="93">
        <f t="shared" si="21"/>
        <v>0.69250719999999988</v>
      </c>
      <c r="Y81" s="115"/>
    </row>
    <row r="82" spans="1:25" s="90" customFormat="1">
      <c r="A82" s="95" t="s">
        <v>1440</v>
      </c>
      <c r="B82" s="95" t="s">
        <v>1668</v>
      </c>
      <c r="C82" s="95" t="s">
        <v>1427</v>
      </c>
      <c r="D82" s="101" t="s">
        <v>1444</v>
      </c>
      <c r="E82" s="95" t="s">
        <v>1428</v>
      </c>
      <c r="F82" s="95" t="s">
        <v>1670</v>
      </c>
      <c r="G82" s="101" t="s">
        <v>1445</v>
      </c>
      <c r="H82" s="101" t="str">
        <f>IFERROR(VLOOKUP(I82,'Raw material list'!$A$3:$C$695,3,0),"")</f>
        <v>DRY2-1008</v>
      </c>
      <c r="I82" s="97" t="s">
        <v>21</v>
      </c>
      <c r="J82" s="101" t="s">
        <v>111</v>
      </c>
      <c r="K82" s="95" t="str">
        <f>IFERROR(VLOOKUP(I82,'Raw material list'!$A$3:$E$695,5,0),"")</f>
        <v xml:space="preserve">Gram </v>
      </c>
      <c r="L82" s="95">
        <v>30</v>
      </c>
      <c r="M82" s="98">
        <f t="shared" si="14"/>
        <v>30</v>
      </c>
      <c r="N82" s="98">
        <v>100</v>
      </c>
      <c r="O82" s="95">
        <v>10</v>
      </c>
      <c r="P82" s="98">
        <f t="shared" si="0"/>
        <v>3</v>
      </c>
      <c r="Q82" s="99">
        <f>IFERROR(VLOOKUP(I82,'Raw material list'!$A$3:$F$695,6,0),"")</f>
        <v>3.7999999999999999E-2</v>
      </c>
      <c r="R82" s="100">
        <f t="shared" si="15"/>
        <v>0.11399999999999999</v>
      </c>
      <c r="S82" s="94">
        <f t="shared" si="16"/>
        <v>1.14E-2</v>
      </c>
      <c r="T82" s="94">
        <f t="shared" si="17"/>
        <v>0.12539999999999998</v>
      </c>
      <c r="U82" s="93">
        <f t="shared" si="18"/>
        <v>1.2539999999999999E-2</v>
      </c>
      <c r="V82" s="93">
        <f t="shared" si="19"/>
        <v>1.2539999999999999E-3</v>
      </c>
      <c r="W82" s="93">
        <f t="shared" si="20"/>
        <v>1.2539999999999999E-3</v>
      </c>
      <c r="X82" s="93">
        <f t="shared" si="21"/>
        <v>0.14044799999999999</v>
      </c>
      <c r="Y82" s="115"/>
    </row>
    <row r="83" spans="1:25" s="90" customFormat="1">
      <c r="A83" s="95" t="s">
        <v>1440</v>
      </c>
      <c r="B83" s="95" t="s">
        <v>1668</v>
      </c>
      <c r="C83" s="95" t="s">
        <v>1427</v>
      </c>
      <c r="D83" s="101" t="s">
        <v>1444</v>
      </c>
      <c r="E83" s="95" t="s">
        <v>1428</v>
      </c>
      <c r="F83" s="95" t="s">
        <v>1670</v>
      </c>
      <c r="G83" s="101" t="s">
        <v>1445</v>
      </c>
      <c r="H83" s="101" t="str">
        <f>IFERROR(VLOOKUP(I83,'Raw material list'!$A$3:$C$695,3,0),"")</f>
        <v>PRD1-194</v>
      </c>
      <c r="I83" s="97" t="s">
        <v>991</v>
      </c>
      <c r="J83" s="101" t="s">
        <v>111</v>
      </c>
      <c r="K83" s="95" t="str">
        <f>IFERROR(VLOOKUP(I83,'Raw material list'!$A$3:$E$695,5,0),"")</f>
        <v xml:space="preserve">Gram </v>
      </c>
      <c r="L83" s="95">
        <v>10</v>
      </c>
      <c r="M83" s="98">
        <f t="shared" si="14"/>
        <v>10.869565217391305</v>
      </c>
      <c r="N83" s="133">
        <v>92</v>
      </c>
      <c r="O83" s="95">
        <v>10</v>
      </c>
      <c r="P83" s="98">
        <f t="shared" ref="P83:P160" si="24">IFERROR(L83/O83,0)</f>
        <v>1</v>
      </c>
      <c r="Q83" s="99">
        <f>IFERROR(VLOOKUP(I83,'Raw material list'!$A$3:$F$695,6,0),"")</f>
        <v>0.11</v>
      </c>
      <c r="R83" s="100">
        <f t="shared" si="15"/>
        <v>0.11</v>
      </c>
      <c r="S83" s="94">
        <f t="shared" si="16"/>
        <v>1.1000000000000001E-2</v>
      </c>
      <c r="T83" s="94">
        <f t="shared" si="17"/>
        <v>0.121</v>
      </c>
      <c r="U83" s="93">
        <f t="shared" si="18"/>
        <v>1.21E-2</v>
      </c>
      <c r="V83" s="93">
        <f t="shared" si="19"/>
        <v>1.2099999999999999E-3</v>
      </c>
      <c r="W83" s="93">
        <f t="shared" si="20"/>
        <v>1.2099999999999999E-3</v>
      </c>
      <c r="X83" s="93">
        <f t="shared" si="21"/>
        <v>0.13551999999999997</v>
      </c>
      <c r="Y83" s="115"/>
    </row>
    <row r="84" spans="1:25" s="90" customFormat="1">
      <c r="A84" s="95" t="s">
        <v>1440</v>
      </c>
      <c r="B84" s="95" t="s">
        <v>1668</v>
      </c>
      <c r="C84" s="95" t="s">
        <v>1427</v>
      </c>
      <c r="D84" s="101" t="s">
        <v>1444</v>
      </c>
      <c r="E84" s="95" t="s">
        <v>1428</v>
      </c>
      <c r="F84" s="95" t="s">
        <v>1670</v>
      </c>
      <c r="G84" s="101" t="s">
        <v>1445</v>
      </c>
      <c r="H84" s="101" t="str">
        <f>IFERROR(VLOOKUP(I84,'Raw material list'!$A$3:$C$695,3,0),"")</f>
        <v>DRY1-602</v>
      </c>
      <c r="I84" s="97" t="s">
        <v>65</v>
      </c>
      <c r="J84" s="101" t="s">
        <v>111</v>
      </c>
      <c r="K84" s="95" t="str">
        <f>IFERROR(VLOOKUP(I84,'Raw material list'!$A$3:$E$695,5,0),"")</f>
        <v xml:space="preserve">Gram </v>
      </c>
      <c r="L84" s="95">
        <v>40</v>
      </c>
      <c r="M84" s="98">
        <f t="shared" si="14"/>
        <v>40</v>
      </c>
      <c r="N84" s="98">
        <v>100</v>
      </c>
      <c r="O84" s="95">
        <v>10</v>
      </c>
      <c r="P84" s="98">
        <f t="shared" si="24"/>
        <v>4</v>
      </c>
      <c r="Q84" s="99">
        <f>IFERROR(VLOOKUP(I84,'Raw material list'!$A$3:$F$695,6,0),"")</f>
        <v>5.5E-2</v>
      </c>
      <c r="R84" s="100">
        <f t="shared" si="15"/>
        <v>0.22</v>
      </c>
      <c r="S84" s="94">
        <f t="shared" si="16"/>
        <v>2.2000000000000002E-2</v>
      </c>
      <c r="T84" s="94">
        <f t="shared" si="17"/>
        <v>0.24199999999999999</v>
      </c>
      <c r="U84" s="93">
        <f t="shared" si="18"/>
        <v>2.4199999999999999E-2</v>
      </c>
      <c r="V84" s="93">
        <f t="shared" si="19"/>
        <v>2.4199999999999998E-3</v>
      </c>
      <c r="W84" s="93">
        <f t="shared" si="20"/>
        <v>2.4199999999999998E-3</v>
      </c>
      <c r="X84" s="93">
        <f t="shared" si="21"/>
        <v>0.27103999999999995</v>
      </c>
      <c r="Y84" s="115"/>
    </row>
    <row r="85" spans="1:25" s="90" customFormat="1">
      <c r="A85" s="95" t="s">
        <v>1440</v>
      </c>
      <c r="B85" s="95" t="s">
        <v>1668</v>
      </c>
      <c r="C85" s="95" t="s">
        <v>1427</v>
      </c>
      <c r="D85" s="101" t="s">
        <v>1444</v>
      </c>
      <c r="E85" s="95" t="s">
        <v>1428</v>
      </c>
      <c r="F85" s="95" t="s">
        <v>1670</v>
      </c>
      <c r="G85" s="101" t="s">
        <v>1447</v>
      </c>
      <c r="H85" s="101" t="str">
        <f>IFERROR(VLOOKUP(I85,'Raw material list'!$A$3:$C$695,3,0),"")</f>
        <v>PRD1-230</v>
      </c>
      <c r="I85" s="97" t="s">
        <v>40</v>
      </c>
      <c r="J85" s="101" t="s">
        <v>111</v>
      </c>
      <c r="K85" s="95" t="str">
        <f>IFERROR(VLOOKUP(I85,'Raw material list'!$A$3:$E$695,5,0),"")</f>
        <v xml:space="preserve">Gram </v>
      </c>
      <c r="L85" s="95">
        <v>362.75</v>
      </c>
      <c r="M85" s="98">
        <f t="shared" si="14"/>
        <v>489.5411605937922</v>
      </c>
      <c r="N85" s="98">
        <v>74.099999999999994</v>
      </c>
      <c r="O85" s="95">
        <v>10</v>
      </c>
      <c r="P85" s="98">
        <f t="shared" si="24"/>
        <v>36.274999999999999</v>
      </c>
      <c r="Q85" s="99">
        <f>IFERROR(VLOOKUP(I85,'Raw material list'!$A$3:$F$695,6,0),"")</f>
        <v>3.3738191632928468E-3</v>
      </c>
      <c r="R85" s="100">
        <f t="shared" si="15"/>
        <v>0.12238529014844801</v>
      </c>
      <c r="S85" s="94">
        <f t="shared" si="16"/>
        <v>1.2238529014844802E-2</v>
      </c>
      <c r="T85" s="94">
        <f t="shared" si="17"/>
        <v>0.1346238191632928</v>
      </c>
      <c r="U85" s="93">
        <f t="shared" si="18"/>
        <v>1.3462381916329281E-2</v>
      </c>
      <c r="V85" s="93">
        <f t="shared" si="19"/>
        <v>1.3462381916329281E-3</v>
      </c>
      <c r="W85" s="93">
        <f t="shared" si="20"/>
        <v>1.3462381916329281E-3</v>
      </c>
      <c r="X85" s="93">
        <f t="shared" si="21"/>
        <v>0.15077867746288795</v>
      </c>
      <c r="Y85" s="115"/>
    </row>
    <row r="86" spans="1:25" s="90" customFormat="1">
      <c r="A86" s="95" t="s">
        <v>1440</v>
      </c>
      <c r="B86" s="95" t="s">
        <v>1668</v>
      </c>
      <c r="C86" s="95" t="s">
        <v>1427</v>
      </c>
      <c r="D86" s="101" t="s">
        <v>1444</v>
      </c>
      <c r="E86" s="95" t="s">
        <v>1428</v>
      </c>
      <c r="F86" s="95" t="s">
        <v>1670</v>
      </c>
      <c r="G86" s="101" t="s">
        <v>1447</v>
      </c>
      <c r="H86" s="101" t="str">
        <f>IFERROR(VLOOKUP(I86,'Raw material list'!$A$3:$C$695,3,0),"")</f>
        <v>PRD1-4265</v>
      </c>
      <c r="I86" s="97" t="s">
        <v>10</v>
      </c>
      <c r="J86" s="101" t="s">
        <v>111</v>
      </c>
      <c r="K86" s="95" t="str">
        <f>IFERROR(VLOOKUP(I86,'Raw material list'!$A$3:$E$695,5,0),"")</f>
        <v xml:space="preserve">Gram </v>
      </c>
      <c r="L86" s="95">
        <v>30.22</v>
      </c>
      <c r="M86" s="98">
        <f t="shared" si="14"/>
        <v>35.55294117647059</v>
      </c>
      <c r="N86" s="98">
        <v>85</v>
      </c>
      <c r="O86" s="95">
        <v>10</v>
      </c>
      <c r="P86" s="98">
        <f t="shared" si="24"/>
        <v>3.0219999999999998</v>
      </c>
      <c r="Q86" s="99">
        <f>IFERROR(VLOOKUP(I86,'Raw material list'!$A$3:$F$695,6,0),"")</f>
        <v>3.529411764705882E-3</v>
      </c>
      <c r="R86" s="100">
        <f t="shared" si="15"/>
        <v>1.0665882352941174E-2</v>
      </c>
      <c r="S86" s="94">
        <f t="shared" si="16"/>
        <v>1.0665882352941176E-3</v>
      </c>
      <c r="T86" s="94">
        <f t="shared" si="17"/>
        <v>1.1732470588235292E-2</v>
      </c>
      <c r="U86" s="93">
        <f t="shared" si="18"/>
        <v>1.1732470588235293E-3</v>
      </c>
      <c r="V86" s="93">
        <f t="shared" si="19"/>
        <v>1.1732470588235293E-4</v>
      </c>
      <c r="W86" s="93">
        <f t="shared" si="20"/>
        <v>1.1732470588235293E-4</v>
      </c>
      <c r="X86" s="93">
        <f t="shared" si="21"/>
        <v>1.3140367058823528E-2</v>
      </c>
      <c r="Y86" s="115"/>
    </row>
    <row r="87" spans="1:25" s="90" customFormat="1">
      <c r="A87" s="95" t="s">
        <v>1440</v>
      </c>
      <c r="B87" s="95" t="s">
        <v>1668</v>
      </c>
      <c r="C87" s="95" t="s">
        <v>1427</v>
      </c>
      <c r="D87" s="101" t="s">
        <v>1444</v>
      </c>
      <c r="E87" s="95" t="s">
        <v>1428</v>
      </c>
      <c r="F87" s="95" t="s">
        <v>1670</v>
      </c>
      <c r="G87" s="101" t="s">
        <v>1447</v>
      </c>
      <c r="H87" s="101" t="str">
        <f>IFERROR(VLOOKUP(I87,'Raw material list'!$A$3:$C$695,3,0),"")</f>
        <v>DRS3-1615</v>
      </c>
      <c r="I87" s="97" t="s">
        <v>24</v>
      </c>
      <c r="J87" s="101" t="s">
        <v>161</v>
      </c>
      <c r="K87" s="95" t="str">
        <f>IFERROR(VLOOKUP(I87,'Raw material list'!$A$3:$E$695,5,0),"")</f>
        <v>Ml</v>
      </c>
      <c r="L87" s="95">
        <v>24.18</v>
      </c>
      <c r="M87" s="98">
        <f t="shared" si="14"/>
        <v>24.18</v>
      </c>
      <c r="N87" s="98">
        <v>100</v>
      </c>
      <c r="O87" s="95">
        <v>10</v>
      </c>
      <c r="P87" s="98">
        <f t="shared" si="24"/>
        <v>2.4180000000000001</v>
      </c>
      <c r="Q87" s="99">
        <f>IFERROR(VLOOKUP(I87,'Raw material list'!$A$3:$F$695,6,0),"")</f>
        <v>1.2E-2</v>
      </c>
      <c r="R87" s="100">
        <f t="shared" si="15"/>
        <v>2.9016000000000004E-2</v>
      </c>
      <c r="S87" s="94">
        <f t="shared" si="16"/>
        <v>2.9016000000000007E-3</v>
      </c>
      <c r="T87" s="94">
        <f t="shared" si="17"/>
        <v>3.1917600000000004E-2</v>
      </c>
      <c r="U87" s="93">
        <f t="shared" si="18"/>
        <v>3.1917600000000005E-3</v>
      </c>
      <c r="V87" s="93">
        <f t="shared" si="19"/>
        <v>3.1917600000000006E-4</v>
      </c>
      <c r="W87" s="93">
        <f t="shared" si="20"/>
        <v>3.1917600000000006E-4</v>
      </c>
      <c r="X87" s="93">
        <f t="shared" si="21"/>
        <v>3.5747712000000001E-2</v>
      </c>
      <c r="Y87" s="115"/>
    </row>
    <row r="88" spans="1:25" s="90" customFormat="1">
      <c r="A88" s="95" t="s">
        <v>1440</v>
      </c>
      <c r="B88" s="95" t="s">
        <v>1668</v>
      </c>
      <c r="C88" s="95" t="s">
        <v>1427</v>
      </c>
      <c r="D88" s="101" t="s">
        <v>1444</v>
      </c>
      <c r="E88" s="95" t="s">
        <v>1428</v>
      </c>
      <c r="F88" s="95" t="s">
        <v>1670</v>
      </c>
      <c r="G88" s="101" t="s">
        <v>1447</v>
      </c>
      <c r="H88" s="101" t="str">
        <f>IFERROR(VLOOKUP(I88,'Raw material list'!$A$3:$C$695,3,0),"")</f>
        <v>DRY2-1008</v>
      </c>
      <c r="I88" s="97" t="s">
        <v>21</v>
      </c>
      <c r="J88" s="101" t="s">
        <v>111</v>
      </c>
      <c r="K88" s="95" t="str">
        <f>IFERROR(VLOOKUP(I88,'Raw material list'!$A$3:$E$695,5,0),"")</f>
        <v xml:space="preserve">Gram </v>
      </c>
      <c r="L88" s="95">
        <v>24.18</v>
      </c>
      <c r="M88" s="98">
        <f t="shared" si="14"/>
        <v>24.18</v>
      </c>
      <c r="N88" s="98">
        <v>100</v>
      </c>
      <c r="O88" s="95">
        <v>10</v>
      </c>
      <c r="P88" s="98">
        <f t="shared" si="24"/>
        <v>2.4180000000000001</v>
      </c>
      <c r="Q88" s="99">
        <f>IFERROR(VLOOKUP(I88,'Raw material list'!$A$3:$F$695,6,0),"")</f>
        <v>3.7999999999999999E-2</v>
      </c>
      <c r="R88" s="100">
        <f t="shared" si="15"/>
        <v>9.1884000000000007E-2</v>
      </c>
      <c r="S88" s="94">
        <f t="shared" si="16"/>
        <v>9.1884000000000011E-3</v>
      </c>
      <c r="T88" s="94">
        <f t="shared" si="17"/>
        <v>0.10107240000000001</v>
      </c>
      <c r="U88" s="93">
        <f t="shared" si="18"/>
        <v>1.0107240000000002E-2</v>
      </c>
      <c r="V88" s="93">
        <f t="shared" si="19"/>
        <v>1.0107240000000002E-3</v>
      </c>
      <c r="W88" s="93">
        <f t="shared" si="20"/>
        <v>1.0107240000000002E-3</v>
      </c>
      <c r="X88" s="93">
        <f t="shared" si="21"/>
        <v>0.11320108800000002</v>
      </c>
      <c r="Y88" s="115"/>
    </row>
    <row r="89" spans="1:25" s="90" customFormat="1">
      <c r="A89" s="95" t="s">
        <v>1440</v>
      </c>
      <c r="B89" s="95" t="s">
        <v>1668</v>
      </c>
      <c r="C89" s="95" t="s">
        <v>1427</v>
      </c>
      <c r="D89" s="101" t="s">
        <v>1444</v>
      </c>
      <c r="E89" s="95" t="s">
        <v>1428</v>
      </c>
      <c r="F89" s="95" t="s">
        <v>1670</v>
      </c>
      <c r="G89" s="101" t="s">
        <v>1447</v>
      </c>
      <c r="H89" s="101" t="str">
        <f>IFERROR(VLOOKUP(I89,'Raw material list'!$A$3:$C$695,3,0),"")</f>
        <v>DRY2-1858</v>
      </c>
      <c r="I89" s="97" t="s">
        <v>42</v>
      </c>
      <c r="J89" s="101" t="s">
        <v>161</v>
      </c>
      <c r="K89" s="95" t="str">
        <f>IFERROR(VLOOKUP(I89,'Raw material list'!$A$3:$E$695,5,0),"")</f>
        <v>Ml</v>
      </c>
      <c r="L89" s="95">
        <v>562.75</v>
      </c>
      <c r="M89" s="98">
        <f t="shared" si="14"/>
        <v>562.75</v>
      </c>
      <c r="N89" s="98">
        <v>100</v>
      </c>
      <c r="O89" s="95">
        <v>10</v>
      </c>
      <c r="P89" s="98">
        <f t="shared" si="24"/>
        <v>56.274999999999999</v>
      </c>
      <c r="Q89" s="99">
        <f>IFERROR(VLOOKUP(I89,'Raw material list'!$A$3:$F$695,6,0),"")</f>
        <v>9.8800000000000016E-3</v>
      </c>
      <c r="R89" s="100">
        <f t="shared" si="15"/>
        <v>0.55599700000000007</v>
      </c>
      <c r="S89" s="94">
        <f t="shared" si="16"/>
        <v>5.5599700000000009E-2</v>
      </c>
      <c r="T89" s="94">
        <f t="shared" si="17"/>
        <v>0.6115967000000001</v>
      </c>
      <c r="U89" s="93">
        <f t="shared" si="18"/>
        <v>6.1159670000000013E-2</v>
      </c>
      <c r="V89" s="93">
        <f t="shared" si="19"/>
        <v>6.1159670000000008E-3</v>
      </c>
      <c r="W89" s="93">
        <f t="shared" si="20"/>
        <v>6.1159670000000008E-3</v>
      </c>
      <c r="X89" s="93">
        <f t="shared" si="21"/>
        <v>0.68498830400000021</v>
      </c>
      <c r="Y89" s="115"/>
    </row>
    <row r="90" spans="1:25" s="90" customFormat="1">
      <c r="A90" s="95" t="s">
        <v>1440</v>
      </c>
      <c r="B90" s="95" t="s">
        <v>1668</v>
      </c>
      <c r="C90" s="95" t="s">
        <v>1427</v>
      </c>
      <c r="D90" s="101" t="s">
        <v>1444</v>
      </c>
      <c r="E90" s="95" t="s">
        <v>1428</v>
      </c>
      <c r="F90" s="95" t="s">
        <v>1670</v>
      </c>
      <c r="G90" s="101" t="s">
        <v>1447</v>
      </c>
      <c r="H90" s="101" t="str">
        <f>IFERROR(VLOOKUP(I90,'Raw material list'!$A$3:$C$695,3,0),"")</f>
        <v>WAT-001</v>
      </c>
      <c r="I90" s="97" t="s">
        <v>1406</v>
      </c>
      <c r="J90" s="101" t="s">
        <v>161</v>
      </c>
      <c r="K90" s="95" t="str">
        <f>IFERROR(VLOOKUP(I90,'Raw material list'!$A$3:$E$695,5,0),"")</f>
        <v>Ml</v>
      </c>
      <c r="L90" s="95">
        <v>360.45</v>
      </c>
      <c r="M90" s="98">
        <f t="shared" si="14"/>
        <v>360.45</v>
      </c>
      <c r="N90" s="98">
        <v>100</v>
      </c>
      <c r="O90" s="95">
        <v>10</v>
      </c>
      <c r="P90" s="98">
        <f t="shared" si="24"/>
        <v>36.045000000000002</v>
      </c>
      <c r="Q90" s="99">
        <f>IFERROR(VLOOKUP(I90,'Raw material list'!$A$3:$F$695,6,0),"")</f>
        <v>8.0000000000000007E-5</v>
      </c>
      <c r="R90" s="100">
        <f t="shared" si="15"/>
        <v>2.8836000000000005E-3</v>
      </c>
      <c r="S90" s="94">
        <f t="shared" si="16"/>
        <v>2.8836000000000004E-4</v>
      </c>
      <c r="T90" s="94">
        <f t="shared" si="17"/>
        <v>3.1719600000000006E-3</v>
      </c>
      <c r="U90" s="93">
        <f t="shared" si="18"/>
        <v>3.1719600000000006E-4</v>
      </c>
      <c r="V90" s="93">
        <f t="shared" si="19"/>
        <v>3.1719600000000007E-5</v>
      </c>
      <c r="W90" s="93">
        <f t="shared" si="20"/>
        <v>3.1719600000000007E-5</v>
      </c>
      <c r="X90" s="93">
        <f t="shared" si="21"/>
        <v>3.5525952000000009E-3</v>
      </c>
      <c r="Y90" s="115"/>
    </row>
    <row r="91" spans="1:25" s="90" customFormat="1">
      <c r="A91" s="95" t="s">
        <v>1440</v>
      </c>
      <c r="B91" s="95" t="s">
        <v>1668</v>
      </c>
      <c r="C91" s="95" t="s">
        <v>1427</v>
      </c>
      <c r="D91" s="101" t="s">
        <v>1444</v>
      </c>
      <c r="E91" s="95" t="s">
        <v>1428</v>
      </c>
      <c r="F91" s="95" t="s">
        <v>1670</v>
      </c>
      <c r="G91" s="101" t="s">
        <v>1447</v>
      </c>
      <c r="H91" s="101" t="str">
        <f>IFERROR(VLOOKUP(I91,'Raw material list'!$A$3:$C$695,3,0),"")</f>
        <v>DRS1-3811</v>
      </c>
      <c r="I91" s="97" t="s">
        <v>36</v>
      </c>
      <c r="J91" s="101" t="s">
        <v>111</v>
      </c>
      <c r="K91" s="95" t="str">
        <f>IFERROR(VLOOKUP(I91,'Raw material list'!$A$3:$E$695,5,0),"")</f>
        <v xml:space="preserve">Gram </v>
      </c>
      <c r="L91" s="95">
        <v>21.76</v>
      </c>
      <c r="M91" s="98">
        <f t="shared" si="14"/>
        <v>21.76</v>
      </c>
      <c r="N91" s="98">
        <v>100</v>
      </c>
      <c r="O91" s="95">
        <v>10</v>
      </c>
      <c r="P91" s="98">
        <f t="shared" si="24"/>
        <v>2.1760000000000002</v>
      </c>
      <c r="Q91" s="99">
        <f>IFERROR(VLOOKUP(I91,'Raw material list'!$A$3:$F$695,6,0),"")</f>
        <v>2.8475E-2</v>
      </c>
      <c r="R91" s="100">
        <f t="shared" si="15"/>
        <v>6.1961600000000006E-2</v>
      </c>
      <c r="S91" s="94">
        <f t="shared" si="16"/>
        <v>6.1961600000000009E-3</v>
      </c>
      <c r="T91" s="94">
        <f t="shared" si="17"/>
        <v>6.8157760000000012E-2</v>
      </c>
      <c r="U91" s="93">
        <f t="shared" si="18"/>
        <v>6.8157760000000017E-3</v>
      </c>
      <c r="V91" s="93">
        <f t="shared" si="19"/>
        <v>6.8157760000000015E-4</v>
      </c>
      <c r="W91" s="93">
        <f t="shared" si="20"/>
        <v>6.8157760000000015E-4</v>
      </c>
      <c r="X91" s="93">
        <f t="shared" si="21"/>
        <v>7.6336691200000001E-2</v>
      </c>
      <c r="Y91" s="115"/>
    </row>
    <row r="92" spans="1:25" s="90" customFormat="1">
      <c r="A92" s="95" t="s">
        <v>1440</v>
      </c>
      <c r="B92" s="95" t="s">
        <v>1668</v>
      </c>
      <c r="C92" s="95" t="s">
        <v>1427</v>
      </c>
      <c r="D92" s="101" t="s">
        <v>1444</v>
      </c>
      <c r="E92" s="95" t="s">
        <v>1428</v>
      </c>
      <c r="F92" s="95" t="s">
        <v>1670</v>
      </c>
      <c r="G92" s="101" t="s">
        <v>1447</v>
      </c>
      <c r="H92" s="101" t="str">
        <f>IFERROR(VLOOKUP(I92,'Raw material list'!$A$3:$C$695,3,0),"")</f>
        <v>DRS6-5265</v>
      </c>
      <c r="I92" s="97" t="s">
        <v>675</v>
      </c>
      <c r="J92" s="101" t="s">
        <v>111</v>
      </c>
      <c r="K92" s="95" t="str">
        <f>IFERROR(VLOOKUP(I92,'Raw material list'!$A$3:$E$695,5,0),"")</f>
        <v xml:space="preserve">Gram </v>
      </c>
      <c r="L92" s="95">
        <v>1.2</v>
      </c>
      <c r="M92" s="98">
        <f t="shared" si="14"/>
        <v>1.2</v>
      </c>
      <c r="N92" s="98">
        <v>100</v>
      </c>
      <c r="O92" s="95">
        <v>10</v>
      </c>
      <c r="P92" s="98">
        <f t="shared" si="24"/>
        <v>0.12</v>
      </c>
      <c r="Q92" s="99">
        <f>IFERROR(VLOOKUP(I92,'Raw material list'!$A$3:$F$695,6,0),"")</f>
        <v>0.19315673289183219</v>
      </c>
      <c r="R92" s="100">
        <f t="shared" si="15"/>
        <v>2.3178807947019861E-2</v>
      </c>
      <c r="S92" s="94">
        <f t="shared" si="16"/>
        <v>2.3178807947019861E-3</v>
      </c>
      <c r="T92" s="94">
        <f t="shared" si="17"/>
        <v>2.5496688741721847E-2</v>
      </c>
      <c r="U92" s="93">
        <f t="shared" si="18"/>
        <v>2.5496688741721849E-3</v>
      </c>
      <c r="V92" s="93">
        <f t="shared" si="19"/>
        <v>2.5496688741721846E-4</v>
      </c>
      <c r="W92" s="93">
        <f t="shared" si="20"/>
        <v>2.5496688741721846E-4</v>
      </c>
      <c r="X92" s="93">
        <f t="shared" si="21"/>
        <v>2.8556291390728468E-2</v>
      </c>
      <c r="Y92" s="115"/>
    </row>
    <row r="93" spans="1:25" s="90" customFormat="1">
      <c r="A93" s="95" t="s">
        <v>1440</v>
      </c>
      <c r="B93" s="95" t="s">
        <v>1668</v>
      </c>
      <c r="C93" s="95" t="s">
        <v>1427</v>
      </c>
      <c r="D93" s="101" t="s">
        <v>1444</v>
      </c>
      <c r="E93" s="95" t="s">
        <v>1428</v>
      </c>
      <c r="F93" s="95" t="s">
        <v>1670</v>
      </c>
      <c r="G93" s="101" t="s">
        <v>1447</v>
      </c>
      <c r="H93" s="101" t="str">
        <f>IFERROR(VLOOKUP(I93,'Raw material list'!$A$3:$C$695,3,0),"")</f>
        <v>DRS6-1570</v>
      </c>
      <c r="I93" s="97" t="s">
        <v>16</v>
      </c>
      <c r="J93" s="101" t="s">
        <v>111</v>
      </c>
      <c r="K93" s="95" t="str">
        <f>IFERROR(VLOOKUP(I93,'Raw material list'!$A$3:$E$695,5,0),"")</f>
        <v xml:space="preserve">Gram </v>
      </c>
      <c r="L93" s="95">
        <v>1.2</v>
      </c>
      <c r="M93" s="98">
        <f t="shared" si="14"/>
        <v>1.2</v>
      </c>
      <c r="N93" s="98">
        <v>100</v>
      </c>
      <c r="O93" s="95">
        <v>10</v>
      </c>
      <c r="P93" s="98">
        <f t="shared" si="24"/>
        <v>0.12</v>
      </c>
      <c r="Q93" s="99">
        <f>IFERROR(VLOOKUP(I93,'Raw material list'!$A$3:$F$695,6,0),"")</f>
        <v>2.8000000000000001E-2</v>
      </c>
      <c r="R93" s="100">
        <f t="shared" si="15"/>
        <v>3.3600000000000001E-3</v>
      </c>
      <c r="S93" s="94">
        <f t="shared" si="16"/>
        <v>3.3600000000000004E-4</v>
      </c>
      <c r="T93" s="94">
        <f t="shared" si="17"/>
        <v>3.6960000000000001E-3</v>
      </c>
      <c r="U93" s="93">
        <f t="shared" si="18"/>
        <v>3.6960000000000004E-4</v>
      </c>
      <c r="V93" s="93">
        <f t="shared" si="19"/>
        <v>3.6959999999999998E-5</v>
      </c>
      <c r="W93" s="93">
        <f t="shared" si="20"/>
        <v>3.6959999999999998E-5</v>
      </c>
      <c r="X93" s="93">
        <f t="shared" si="21"/>
        <v>4.1395199999999998E-3</v>
      </c>
      <c r="Y93" s="115"/>
    </row>
    <row r="94" spans="1:25" s="90" customFormat="1">
      <c r="A94" s="95" t="s">
        <v>1440</v>
      </c>
      <c r="B94" s="95" t="s">
        <v>1668</v>
      </c>
      <c r="C94" s="95" t="s">
        <v>1427</v>
      </c>
      <c r="D94" s="101" t="s">
        <v>1444</v>
      </c>
      <c r="E94" s="95" t="s">
        <v>1428</v>
      </c>
      <c r="F94" s="95" t="s">
        <v>1670</v>
      </c>
      <c r="G94" s="101" t="s">
        <v>1447</v>
      </c>
      <c r="H94" s="101" t="str">
        <f>IFERROR(VLOOKUP(I94,'Raw material list'!$A$3:$C$695,3,0),"")</f>
        <v>DRS1-3880</v>
      </c>
      <c r="I94" s="97" t="s">
        <v>1398</v>
      </c>
      <c r="J94" s="101" t="s">
        <v>111</v>
      </c>
      <c r="K94" s="95" t="str">
        <f>IFERROR(VLOOKUP(I94,'Raw material list'!$A$3:$E$695,5,0),"")</f>
        <v xml:space="preserve">Gram </v>
      </c>
      <c r="L94" s="95">
        <v>5</v>
      </c>
      <c r="M94" s="98">
        <f t="shared" si="14"/>
        <v>5</v>
      </c>
      <c r="N94" s="98">
        <v>100</v>
      </c>
      <c r="O94" s="95">
        <v>10</v>
      </c>
      <c r="P94" s="98">
        <f t="shared" si="24"/>
        <v>0.5</v>
      </c>
      <c r="Q94" s="99">
        <f>IFERROR(VLOOKUP(I94,'Raw material list'!$A$3:$F$695,6,0),"")</f>
        <v>5.0000000000000001E-4</v>
      </c>
      <c r="R94" s="100">
        <f t="shared" si="15"/>
        <v>2.5000000000000001E-4</v>
      </c>
      <c r="S94" s="94">
        <f t="shared" si="16"/>
        <v>2.5000000000000001E-5</v>
      </c>
      <c r="T94" s="94">
        <f t="shared" si="17"/>
        <v>2.7500000000000002E-4</v>
      </c>
      <c r="U94" s="93">
        <f t="shared" si="18"/>
        <v>2.7500000000000004E-5</v>
      </c>
      <c r="V94" s="93">
        <f t="shared" si="19"/>
        <v>2.7500000000000004E-6</v>
      </c>
      <c r="W94" s="93">
        <f t="shared" si="20"/>
        <v>2.7500000000000004E-6</v>
      </c>
      <c r="X94" s="93">
        <f t="shared" si="21"/>
        <v>3.0800000000000001E-4</v>
      </c>
      <c r="Y94" s="115"/>
    </row>
    <row r="95" spans="1:25" s="90" customFormat="1">
      <c r="A95" s="95" t="s">
        <v>1440</v>
      </c>
      <c r="B95" s="95" t="s">
        <v>1668</v>
      </c>
      <c r="C95" s="95" t="s">
        <v>1427</v>
      </c>
      <c r="D95" s="101" t="s">
        <v>1444</v>
      </c>
      <c r="E95" s="95" t="s">
        <v>1428</v>
      </c>
      <c r="F95" s="95" t="s">
        <v>1670</v>
      </c>
      <c r="G95" s="101" t="s">
        <v>1446</v>
      </c>
      <c r="H95" s="101" t="str">
        <f>IFERROR(VLOOKUP(I95,'Raw material list'!$A$3:$C$695,3,0),"")</f>
        <v>DRY2-1008</v>
      </c>
      <c r="I95" s="97" t="s">
        <v>21</v>
      </c>
      <c r="J95" s="101" t="s">
        <v>111</v>
      </c>
      <c r="K95" s="95" t="str">
        <f>IFERROR(VLOOKUP(I95,'Raw material list'!$A$3:$E$695,5,0),"")</f>
        <v xml:space="preserve">Gram </v>
      </c>
      <c r="L95" s="95">
        <v>30</v>
      </c>
      <c r="M95" s="98">
        <f t="shared" si="14"/>
        <v>30</v>
      </c>
      <c r="N95" s="98">
        <v>100</v>
      </c>
      <c r="O95" s="95">
        <v>10</v>
      </c>
      <c r="P95" s="98">
        <f t="shared" si="24"/>
        <v>3</v>
      </c>
      <c r="Q95" s="99">
        <f>IFERROR(VLOOKUP(I95,'Raw material list'!$A$3:$F$695,6,0),"")</f>
        <v>3.7999999999999999E-2</v>
      </c>
      <c r="R95" s="100">
        <f t="shared" si="15"/>
        <v>0.11399999999999999</v>
      </c>
      <c r="S95" s="94">
        <f t="shared" si="16"/>
        <v>1.14E-2</v>
      </c>
      <c r="T95" s="94">
        <f t="shared" si="17"/>
        <v>0.12539999999999998</v>
      </c>
      <c r="U95" s="93">
        <f t="shared" si="18"/>
        <v>1.2539999999999999E-2</v>
      </c>
      <c r="V95" s="93">
        <f t="shared" si="19"/>
        <v>1.2539999999999999E-3</v>
      </c>
      <c r="W95" s="93">
        <f t="shared" si="20"/>
        <v>1.2539999999999999E-3</v>
      </c>
      <c r="X95" s="93">
        <f t="shared" si="21"/>
        <v>0.14044799999999999</v>
      </c>
      <c r="Y95" s="115"/>
    </row>
    <row r="96" spans="1:25" s="90" customFormat="1">
      <c r="A96" s="95" t="s">
        <v>1440</v>
      </c>
      <c r="B96" s="95" t="s">
        <v>1668</v>
      </c>
      <c r="C96" s="95" t="s">
        <v>1427</v>
      </c>
      <c r="D96" s="101" t="s">
        <v>1444</v>
      </c>
      <c r="E96" s="95" t="s">
        <v>1428</v>
      </c>
      <c r="F96" s="95" t="s">
        <v>1670</v>
      </c>
      <c r="G96" s="101" t="s">
        <v>1446</v>
      </c>
      <c r="H96" s="101" t="str">
        <f>IFERROR(VLOOKUP(I96,'Raw material list'!$A$3:$C$695,3,0),"")</f>
        <v>DRS6-1727</v>
      </c>
      <c r="I96" s="97" t="s">
        <v>41</v>
      </c>
      <c r="J96" s="101" t="s">
        <v>111</v>
      </c>
      <c r="K96" s="95" t="str">
        <f>IFERROR(VLOOKUP(I96,'Raw material list'!$A$3:$E$695,5,0),"")</f>
        <v xml:space="preserve">Gram </v>
      </c>
      <c r="L96" s="95">
        <v>3</v>
      </c>
      <c r="M96" s="98">
        <f t="shared" si="14"/>
        <v>3</v>
      </c>
      <c r="N96" s="98">
        <v>100</v>
      </c>
      <c r="O96" s="95">
        <v>10</v>
      </c>
      <c r="P96" s="98">
        <f t="shared" si="24"/>
        <v>0.3</v>
      </c>
      <c r="Q96" s="99">
        <f>IFERROR(VLOOKUP(I96,'Raw material list'!$A$3:$F$695,6,0),"")</f>
        <v>2.5000000000000001E-2</v>
      </c>
      <c r="R96" s="100">
        <f t="shared" si="15"/>
        <v>7.4999999999999997E-3</v>
      </c>
      <c r="S96" s="94">
        <f t="shared" si="16"/>
        <v>7.5000000000000002E-4</v>
      </c>
      <c r="T96" s="94">
        <f t="shared" si="17"/>
        <v>8.2500000000000004E-3</v>
      </c>
      <c r="U96" s="93">
        <f t="shared" si="18"/>
        <v>8.250000000000001E-4</v>
      </c>
      <c r="V96" s="93">
        <f t="shared" si="19"/>
        <v>8.25E-5</v>
      </c>
      <c r="W96" s="93">
        <f t="shared" si="20"/>
        <v>8.25E-5</v>
      </c>
      <c r="X96" s="93">
        <f t="shared" si="21"/>
        <v>9.2399999999999982E-3</v>
      </c>
      <c r="Y96" s="115"/>
    </row>
    <row r="97" spans="1:25" s="90" customFormat="1" ht="26.1" customHeight="1">
      <c r="A97" s="95" t="s">
        <v>1664</v>
      </c>
      <c r="B97" s="95" t="s">
        <v>1668</v>
      </c>
      <c r="C97" s="95" t="s">
        <v>1427</v>
      </c>
      <c r="D97" s="101" t="s">
        <v>1452</v>
      </c>
      <c r="E97" s="95" t="s">
        <v>1660</v>
      </c>
      <c r="F97" s="95" t="s">
        <v>1671</v>
      </c>
      <c r="G97" s="101" t="s">
        <v>1591</v>
      </c>
      <c r="H97" s="101" t="str">
        <f>IFERROR(VLOOKUP(I97,'Raw material list'!$A$3:$C$695,3,0),"")</f>
        <v>PLT2-3278</v>
      </c>
      <c r="I97" s="97" t="s">
        <v>61</v>
      </c>
      <c r="J97" s="101" t="s">
        <v>111</v>
      </c>
      <c r="K97" s="101" t="str">
        <f>IFERROR(VLOOKUP(I97,'Raw material list'!$A$3:$E$695,5,0),"")</f>
        <v xml:space="preserve">Gram </v>
      </c>
      <c r="L97" s="95">
        <v>1200</v>
      </c>
      <c r="M97" s="98">
        <f t="shared" si="14"/>
        <v>1574.803149606299</v>
      </c>
      <c r="N97" s="98">
        <v>76.2</v>
      </c>
      <c r="O97" s="95">
        <v>10</v>
      </c>
      <c r="P97" s="98">
        <f t="shared" si="24"/>
        <v>120</v>
      </c>
      <c r="Q97" s="99">
        <f>IFERROR(VLOOKUP(I97,'Raw material list'!$A$3:$F$695,6,0),"")</f>
        <v>3.035714285714285E-2</v>
      </c>
      <c r="R97" s="100">
        <f t="shared" ref="R97:R109" si="25">IFERROR(Q97*P97,0)</f>
        <v>3.6428571428571419</v>
      </c>
      <c r="S97" s="94">
        <f t="shared" si="16"/>
        <v>0.36428571428571421</v>
      </c>
      <c r="T97" s="94">
        <f t="shared" si="17"/>
        <v>4.0071428571428562</v>
      </c>
      <c r="U97" s="93">
        <f t="shared" si="18"/>
        <v>0.40071428571428563</v>
      </c>
      <c r="V97" s="93">
        <f t="shared" si="19"/>
        <v>4.0071428571428563E-2</v>
      </c>
      <c r="W97" s="93">
        <f t="shared" si="20"/>
        <v>4.0071428571428563E-2</v>
      </c>
      <c r="X97" s="93">
        <f t="shared" si="21"/>
        <v>4.4879999999999987</v>
      </c>
      <c r="Y97" s="115" t="s">
        <v>1674</v>
      </c>
    </row>
    <row r="98" spans="1:25" s="90" customFormat="1">
      <c r="A98" s="95" t="s">
        <v>1664</v>
      </c>
      <c r="B98" s="95" t="s">
        <v>1668</v>
      </c>
      <c r="C98" s="95" t="s">
        <v>1427</v>
      </c>
      <c r="D98" s="101" t="s">
        <v>1452</v>
      </c>
      <c r="E98" s="95" t="s">
        <v>1660</v>
      </c>
      <c r="F98" s="95" t="s">
        <v>1671</v>
      </c>
      <c r="G98" s="101" t="s">
        <v>1591</v>
      </c>
      <c r="H98" s="101" t="str">
        <f>IFERROR(VLOOKUP(I98,'Raw material list'!$A$3:$C$695,3,0),"")</f>
        <v>DRS6-1727</v>
      </c>
      <c r="I98" s="97" t="s">
        <v>41</v>
      </c>
      <c r="J98" s="101" t="s">
        <v>111</v>
      </c>
      <c r="K98" s="101" t="str">
        <f>IFERROR(VLOOKUP(I98,'Raw material list'!$A$3:$E$695,5,0),"")</f>
        <v xml:space="preserve">Gram </v>
      </c>
      <c r="L98" s="95">
        <v>12</v>
      </c>
      <c r="M98" s="98">
        <f t="shared" si="14"/>
        <v>12</v>
      </c>
      <c r="N98" s="98">
        <v>100</v>
      </c>
      <c r="O98" s="95">
        <v>10</v>
      </c>
      <c r="P98" s="98">
        <f t="shared" ref="P98:P101" si="26">IFERROR(L98/O98,0)</f>
        <v>1.2</v>
      </c>
      <c r="Q98" s="99">
        <f>IFERROR(VLOOKUP(I98,'Raw material list'!$A$3:$F$695,6,0),"")</f>
        <v>2.5000000000000001E-2</v>
      </c>
      <c r="R98" s="100">
        <f t="shared" ref="R98:R101" si="27">IFERROR(Q98*P98,0)</f>
        <v>0.03</v>
      </c>
      <c r="S98" s="94">
        <f t="shared" si="16"/>
        <v>3.0000000000000001E-3</v>
      </c>
      <c r="T98" s="94">
        <f t="shared" si="17"/>
        <v>3.3000000000000002E-2</v>
      </c>
      <c r="U98" s="93">
        <f t="shared" si="18"/>
        <v>3.3000000000000004E-3</v>
      </c>
      <c r="V98" s="93">
        <f t="shared" si="19"/>
        <v>3.3E-4</v>
      </c>
      <c r="W98" s="93">
        <f t="shared" si="20"/>
        <v>3.3E-4</v>
      </c>
      <c r="X98" s="93">
        <f t="shared" si="21"/>
        <v>3.6959999999999993E-2</v>
      </c>
      <c r="Y98" s="115"/>
    </row>
    <row r="99" spans="1:25" s="90" customFormat="1">
      <c r="A99" s="95" t="s">
        <v>1664</v>
      </c>
      <c r="B99" s="95" t="s">
        <v>1668</v>
      </c>
      <c r="C99" s="95" t="s">
        <v>1427</v>
      </c>
      <c r="D99" s="101" t="s">
        <v>1452</v>
      </c>
      <c r="E99" s="95" t="s">
        <v>1660</v>
      </c>
      <c r="F99" s="95" t="s">
        <v>1671</v>
      </c>
      <c r="G99" s="101" t="s">
        <v>1591</v>
      </c>
      <c r="H99" s="101" t="str">
        <f>IFERROR(VLOOKUP(I99,'Raw material list'!$A$3:$C$695,3,0),"")</f>
        <v>DRS6-5088</v>
      </c>
      <c r="I99" s="97" t="s">
        <v>668</v>
      </c>
      <c r="J99" s="101" t="s">
        <v>111</v>
      </c>
      <c r="K99" s="101" t="str">
        <f>IFERROR(VLOOKUP(I99,'Raw material list'!$A$3:$E$695,5,0),"")</f>
        <v xml:space="preserve">Gram </v>
      </c>
      <c r="L99" s="95">
        <v>12</v>
      </c>
      <c r="M99" s="98">
        <f t="shared" si="14"/>
        <v>12</v>
      </c>
      <c r="N99" s="98">
        <v>100</v>
      </c>
      <c r="O99" s="95">
        <v>10</v>
      </c>
      <c r="P99" s="98">
        <f t="shared" si="26"/>
        <v>1.2</v>
      </c>
      <c r="Q99" s="99">
        <f>IFERROR(VLOOKUP(I99,'Raw material list'!$A$3:$F$695,6,0),"")</f>
        <v>0.08</v>
      </c>
      <c r="R99" s="100">
        <f t="shared" si="27"/>
        <v>9.6000000000000002E-2</v>
      </c>
      <c r="S99" s="94">
        <f t="shared" si="16"/>
        <v>9.6000000000000009E-3</v>
      </c>
      <c r="T99" s="94">
        <f t="shared" si="17"/>
        <v>0.1056</v>
      </c>
      <c r="U99" s="93">
        <f t="shared" si="18"/>
        <v>1.056E-2</v>
      </c>
      <c r="V99" s="93">
        <f t="shared" si="19"/>
        <v>1.0560000000000001E-3</v>
      </c>
      <c r="W99" s="93">
        <f t="shared" si="20"/>
        <v>1.0560000000000001E-3</v>
      </c>
      <c r="X99" s="93">
        <f t="shared" si="21"/>
        <v>0.118272</v>
      </c>
      <c r="Y99" s="115"/>
    </row>
    <row r="100" spans="1:25" s="90" customFormat="1">
      <c r="A100" s="95" t="s">
        <v>1664</v>
      </c>
      <c r="B100" s="95" t="s">
        <v>1668</v>
      </c>
      <c r="C100" s="95" t="s">
        <v>1427</v>
      </c>
      <c r="D100" s="101" t="s">
        <v>1452</v>
      </c>
      <c r="E100" s="95" t="s">
        <v>1660</v>
      </c>
      <c r="F100" s="95" t="s">
        <v>1671</v>
      </c>
      <c r="G100" s="101" t="s">
        <v>1591</v>
      </c>
      <c r="H100" s="101" t="str">
        <f>IFERROR(VLOOKUP(I100,'Raw material list'!$A$3:$C$695,3,0),"")</f>
        <v>DRS6-5376</v>
      </c>
      <c r="I100" s="97" t="s">
        <v>55</v>
      </c>
      <c r="J100" s="101" t="s">
        <v>111</v>
      </c>
      <c r="K100" s="101" t="str">
        <f>IFERROR(VLOOKUP(I100,'Raw material list'!$A$3:$E$695,5,0),"")</f>
        <v xml:space="preserve">Gram </v>
      </c>
      <c r="L100" s="95">
        <v>3</v>
      </c>
      <c r="M100" s="98">
        <f t="shared" si="14"/>
        <v>3</v>
      </c>
      <c r="N100" s="98">
        <v>100</v>
      </c>
      <c r="O100" s="95">
        <v>10</v>
      </c>
      <c r="P100" s="98">
        <f t="shared" si="26"/>
        <v>0.3</v>
      </c>
      <c r="Q100" s="99">
        <f>IFERROR(VLOOKUP(I100,'Raw material list'!$A$3:$F$695,6,0),"")</f>
        <v>2.8000000000000001E-2</v>
      </c>
      <c r="R100" s="100">
        <f t="shared" si="27"/>
        <v>8.3999999999999995E-3</v>
      </c>
      <c r="S100" s="94">
        <f t="shared" si="16"/>
        <v>8.4000000000000003E-4</v>
      </c>
      <c r="T100" s="94">
        <f t="shared" si="17"/>
        <v>9.2399999999999999E-3</v>
      </c>
      <c r="U100" s="93">
        <f t="shared" si="18"/>
        <v>9.2400000000000002E-4</v>
      </c>
      <c r="V100" s="93">
        <f t="shared" si="19"/>
        <v>9.2399999999999996E-5</v>
      </c>
      <c r="W100" s="93">
        <f t="shared" si="20"/>
        <v>9.2399999999999996E-5</v>
      </c>
      <c r="X100" s="93">
        <f t="shared" si="21"/>
        <v>1.0348799999999998E-2</v>
      </c>
      <c r="Y100" s="115"/>
    </row>
    <row r="101" spans="1:25" s="90" customFormat="1">
      <c r="A101" s="95" t="s">
        <v>1664</v>
      </c>
      <c r="B101" s="95" t="s">
        <v>1668</v>
      </c>
      <c r="C101" s="95" t="s">
        <v>1427</v>
      </c>
      <c r="D101" s="101" t="s">
        <v>1452</v>
      </c>
      <c r="E101" s="95" t="s">
        <v>1660</v>
      </c>
      <c r="F101" s="95" t="s">
        <v>1671</v>
      </c>
      <c r="G101" s="101" t="s">
        <v>1591</v>
      </c>
      <c r="H101" s="101" t="str">
        <f>IFERROR(VLOOKUP(I101,'Raw material list'!$A$3:$C$695,3,0),"")</f>
        <v>WAT-001</v>
      </c>
      <c r="I101" s="97" t="s">
        <v>1406</v>
      </c>
      <c r="J101" s="101" t="s">
        <v>161</v>
      </c>
      <c r="K101" s="101" t="str">
        <f>IFERROR(VLOOKUP(I101,'Raw material list'!$A$3:$E$695,5,0),"")</f>
        <v>Ml</v>
      </c>
      <c r="L101" s="95">
        <v>120</v>
      </c>
      <c r="M101" s="98">
        <f t="shared" si="14"/>
        <v>120</v>
      </c>
      <c r="N101" s="98">
        <v>100</v>
      </c>
      <c r="O101" s="95">
        <v>10</v>
      </c>
      <c r="P101" s="98">
        <f t="shared" si="26"/>
        <v>12</v>
      </c>
      <c r="Q101" s="99">
        <f>IFERROR(VLOOKUP(I101,'Raw material list'!$A$3:$F$695,6,0),"")</f>
        <v>8.0000000000000007E-5</v>
      </c>
      <c r="R101" s="100">
        <f t="shared" si="27"/>
        <v>9.6000000000000013E-4</v>
      </c>
      <c r="S101" s="94">
        <f t="shared" si="16"/>
        <v>9.6000000000000016E-5</v>
      </c>
      <c r="T101" s="94">
        <f t="shared" si="17"/>
        <v>1.0560000000000001E-3</v>
      </c>
      <c r="U101" s="93">
        <f t="shared" si="18"/>
        <v>1.0560000000000002E-4</v>
      </c>
      <c r="V101" s="93">
        <f t="shared" si="19"/>
        <v>1.0560000000000001E-5</v>
      </c>
      <c r="W101" s="93">
        <f t="shared" si="20"/>
        <v>1.0560000000000001E-5</v>
      </c>
      <c r="X101" s="93">
        <f t="shared" si="21"/>
        <v>1.18272E-3</v>
      </c>
      <c r="Y101" s="115"/>
    </row>
    <row r="102" spans="1:25" s="90" customFormat="1">
      <c r="A102" s="95" t="s">
        <v>1664</v>
      </c>
      <c r="B102" s="95" t="s">
        <v>1668</v>
      </c>
      <c r="C102" s="95" t="s">
        <v>1427</v>
      </c>
      <c r="D102" s="101" t="s">
        <v>1452</v>
      </c>
      <c r="E102" s="95" t="s">
        <v>1660</v>
      </c>
      <c r="F102" s="95" t="s">
        <v>1670</v>
      </c>
      <c r="G102" s="101" t="s">
        <v>1453</v>
      </c>
      <c r="H102" s="101" t="str">
        <f>IFERROR(VLOOKUP(I102,'Raw material list'!$A$3:$C$695,3,0),"")</f>
        <v>PRD1-209</v>
      </c>
      <c r="I102" s="97" t="s">
        <v>26</v>
      </c>
      <c r="J102" s="101" t="s">
        <v>111</v>
      </c>
      <c r="K102" s="101" t="str">
        <f>IFERROR(VLOOKUP(I102,'Raw material list'!$A$3:$E$695,5,0),"")</f>
        <v xml:space="preserve">Gram </v>
      </c>
      <c r="L102" s="95">
        <v>10</v>
      </c>
      <c r="M102" s="98">
        <f t="shared" si="14"/>
        <v>26.315789473684209</v>
      </c>
      <c r="N102" s="98">
        <v>38</v>
      </c>
      <c r="O102" s="95">
        <v>10</v>
      </c>
      <c r="P102" s="98">
        <f t="shared" si="24"/>
        <v>1</v>
      </c>
      <c r="Q102" s="99">
        <f>IFERROR(VLOOKUP(I102,'Raw material list'!$A$3:$F$695,6,0),"")</f>
        <v>1.0088272383354351E-2</v>
      </c>
      <c r="R102" s="100">
        <f t="shared" si="25"/>
        <v>1.0088272383354351E-2</v>
      </c>
      <c r="S102" s="94">
        <f t="shared" si="16"/>
        <v>1.0088272383354351E-3</v>
      </c>
      <c r="T102" s="94">
        <f t="shared" si="17"/>
        <v>1.1097099621689786E-2</v>
      </c>
      <c r="U102" s="93">
        <f t="shared" si="18"/>
        <v>1.1097099621689786E-3</v>
      </c>
      <c r="V102" s="93">
        <f t="shared" si="19"/>
        <v>1.1097099621689786E-4</v>
      </c>
      <c r="W102" s="93">
        <f t="shared" si="20"/>
        <v>1.1097099621689786E-4</v>
      </c>
      <c r="X102" s="93">
        <f t="shared" si="21"/>
        <v>1.2428751576292559E-2</v>
      </c>
      <c r="Y102" s="115"/>
    </row>
    <row r="103" spans="1:25" s="90" customFormat="1">
      <c r="A103" s="95" t="s">
        <v>1664</v>
      </c>
      <c r="B103" s="95" t="s">
        <v>1668</v>
      </c>
      <c r="C103" s="95" t="s">
        <v>1427</v>
      </c>
      <c r="D103" s="101" t="s">
        <v>1452</v>
      </c>
      <c r="E103" s="95" t="s">
        <v>1660</v>
      </c>
      <c r="F103" s="95" t="s">
        <v>1670</v>
      </c>
      <c r="G103" s="101" t="s">
        <v>1453</v>
      </c>
      <c r="H103" s="101" t="str">
        <f>IFERROR(VLOOKUP(I103,'Raw material list'!$A$3:$C$695,3,0),"")</f>
        <v>PRD1-194</v>
      </c>
      <c r="I103" s="97" t="s">
        <v>991</v>
      </c>
      <c r="J103" s="101" t="s">
        <v>111</v>
      </c>
      <c r="K103" s="101" t="str">
        <f>IFERROR(VLOOKUP(I103,'Raw material list'!$A$3:$E$695,5,0),"")</f>
        <v xml:space="preserve">Gram </v>
      </c>
      <c r="L103" s="95">
        <v>10</v>
      </c>
      <c r="M103" s="98">
        <f t="shared" si="14"/>
        <v>10.869565217391305</v>
      </c>
      <c r="N103" s="133">
        <v>92</v>
      </c>
      <c r="O103" s="95">
        <v>10</v>
      </c>
      <c r="P103" s="98">
        <f t="shared" si="24"/>
        <v>1</v>
      </c>
      <c r="Q103" s="99">
        <f>IFERROR(VLOOKUP(I103,'Raw material list'!$A$3:$F$695,6,0),"")</f>
        <v>0.11</v>
      </c>
      <c r="R103" s="100">
        <f t="shared" si="25"/>
        <v>0.11</v>
      </c>
      <c r="S103" s="94">
        <f t="shared" si="16"/>
        <v>1.1000000000000001E-2</v>
      </c>
      <c r="T103" s="94">
        <f t="shared" si="17"/>
        <v>0.121</v>
      </c>
      <c r="U103" s="93">
        <f t="shared" si="18"/>
        <v>1.21E-2</v>
      </c>
      <c r="V103" s="93">
        <f t="shared" si="19"/>
        <v>1.2099999999999999E-3</v>
      </c>
      <c r="W103" s="93">
        <f t="shared" si="20"/>
        <v>1.2099999999999999E-3</v>
      </c>
      <c r="X103" s="93">
        <f t="shared" si="21"/>
        <v>0.13551999999999997</v>
      </c>
      <c r="Y103" s="115"/>
    </row>
    <row r="104" spans="1:25" s="90" customFormat="1">
      <c r="A104" s="95" t="s">
        <v>1664</v>
      </c>
      <c r="B104" s="95" t="s">
        <v>1668</v>
      </c>
      <c r="C104" s="95" t="s">
        <v>1427</v>
      </c>
      <c r="D104" s="101" t="s">
        <v>1452</v>
      </c>
      <c r="E104" s="95" t="s">
        <v>1660</v>
      </c>
      <c r="F104" s="95" t="s">
        <v>1670</v>
      </c>
      <c r="G104" s="101" t="s">
        <v>1442</v>
      </c>
      <c r="H104" s="101" t="str">
        <f>IFERROR(VLOOKUP(I104,'Raw material list'!$A$3:$C$695,3,0),"")</f>
        <v>DRY2-1008</v>
      </c>
      <c r="I104" s="97" t="s">
        <v>21</v>
      </c>
      <c r="J104" s="101" t="s">
        <v>111</v>
      </c>
      <c r="K104" s="101" t="str">
        <f>IFERROR(VLOOKUP(I104,'Raw material list'!$A$3:$E$695,5,0),"")</f>
        <v xml:space="preserve">Gram </v>
      </c>
      <c r="L104" s="95">
        <v>57.47</v>
      </c>
      <c r="M104" s="98">
        <f t="shared" si="14"/>
        <v>57.47</v>
      </c>
      <c r="N104" s="98">
        <v>100</v>
      </c>
      <c r="O104" s="95">
        <v>10</v>
      </c>
      <c r="P104" s="98">
        <f t="shared" si="24"/>
        <v>5.7469999999999999</v>
      </c>
      <c r="Q104" s="99">
        <f>IFERROR(VLOOKUP(I104,'Raw material list'!$A$3:$F$695,6,0),"")</f>
        <v>3.7999999999999999E-2</v>
      </c>
      <c r="R104" s="100">
        <f t="shared" si="25"/>
        <v>0.218386</v>
      </c>
      <c r="S104" s="94">
        <f t="shared" si="16"/>
        <v>2.18386E-2</v>
      </c>
      <c r="T104" s="94">
        <f t="shared" si="17"/>
        <v>0.24022460000000001</v>
      </c>
      <c r="U104" s="93">
        <f t="shared" si="18"/>
        <v>2.4022460000000002E-2</v>
      </c>
      <c r="V104" s="93">
        <f t="shared" si="19"/>
        <v>2.4022460000000002E-3</v>
      </c>
      <c r="W104" s="93">
        <f t="shared" si="20"/>
        <v>2.4022460000000002E-3</v>
      </c>
      <c r="X104" s="93">
        <f t="shared" si="21"/>
        <v>0.26905155200000003</v>
      </c>
      <c r="Y104" s="115"/>
    </row>
    <row r="105" spans="1:25" s="90" customFormat="1">
      <c r="A105" s="95" t="s">
        <v>1664</v>
      </c>
      <c r="B105" s="95" t="s">
        <v>1668</v>
      </c>
      <c r="C105" s="95" t="s">
        <v>1427</v>
      </c>
      <c r="D105" s="101" t="s">
        <v>1452</v>
      </c>
      <c r="E105" s="95" t="s">
        <v>1660</v>
      </c>
      <c r="F105" s="95" t="s">
        <v>1670</v>
      </c>
      <c r="G105" s="101" t="s">
        <v>1442</v>
      </c>
      <c r="H105" s="101" t="str">
        <f>IFERROR(VLOOKUP(I105,'Raw material list'!$A$3:$C$695,3,0),"")</f>
        <v>PRD1-4327</v>
      </c>
      <c r="I105" s="97" t="s">
        <v>11</v>
      </c>
      <c r="J105" s="101" t="s">
        <v>111</v>
      </c>
      <c r="K105" s="101" t="str">
        <f>IFERROR(VLOOKUP(I105,'Raw material list'!$A$3:$E$695,5,0),"")</f>
        <v xml:space="preserve">Gram </v>
      </c>
      <c r="L105" s="95">
        <v>10</v>
      </c>
      <c r="M105" s="98">
        <f t="shared" si="14"/>
        <v>12.5</v>
      </c>
      <c r="N105" s="133">
        <v>80</v>
      </c>
      <c r="O105" s="95">
        <v>10</v>
      </c>
      <c r="P105" s="98">
        <f t="shared" si="24"/>
        <v>1</v>
      </c>
      <c r="Q105" s="99">
        <f>IFERROR(VLOOKUP(I105,'Raw material list'!$A$3:$F$695,6,0),"")</f>
        <v>1.2999999999999999E-2</v>
      </c>
      <c r="R105" s="100">
        <f t="shared" si="25"/>
        <v>1.2999999999999999E-2</v>
      </c>
      <c r="S105" s="94">
        <f t="shared" si="16"/>
        <v>1.2999999999999999E-3</v>
      </c>
      <c r="T105" s="94">
        <f t="shared" si="17"/>
        <v>1.43E-2</v>
      </c>
      <c r="U105" s="93">
        <f t="shared" si="18"/>
        <v>1.4300000000000001E-3</v>
      </c>
      <c r="V105" s="93">
        <f t="shared" si="19"/>
        <v>1.4300000000000001E-4</v>
      </c>
      <c r="W105" s="93">
        <f t="shared" si="20"/>
        <v>1.4300000000000001E-4</v>
      </c>
      <c r="X105" s="93">
        <f t="shared" si="21"/>
        <v>1.6016000000000002E-2</v>
      </c>
      <c r="Y105" s="115"/>
    </row>
    <row r="106" spans="1:25" s="90" customFormat="1">
      <c r="A106" s="95" t="s">
        <v>1664</v>
      </c>
      <c r="B106" s="95" t="s">
        <v>1668</v>
      </c>
      <c r="C106" s="95" t="s">
        <v>1427</v>
      </c>
      <c r="D106" s="101" t="s">
        <v>1452</v>
      </c>
      <c r="E106" s="95" t="s">
        <v>1660</v>
      </c>
      <c r="F106" s="95" t="s">
        <v>1670</v>
      </c>
      <c r="G106" s="101" t="s">
        <v>1442</v>
      </c>
      <c r="H106" s="101" t="str">
        <f>IFERROR(VLOOKUP(I106,'Raw material list'!$A$3:$C$695,3,0),"")</f>
        <v>PRD1-4265</v>
      </c>
      <c r="I106" s="97" t="s">
        <v>10</v>
      </c>
      <c r="J106" s="101" t="s">
        <v>111</v>
      </c>
      <c r="K106" s="101" t="str">
        <f>IFERROR(VLOOKUP(I106,'Raw material list'!$A$3:$E$695,5,0),"")</f>
        <v xml:space="preserve">Gram </v>
      </c>
      <c r="L106" s="95">
        <v>116.95</v>
      </c>
      <c r="M106" s="98">
        <f t="shared" si="14"/>
        <v>137.58823529411765</v>
      </c>
      <c r="N106" s="98">
        <v>85</v>
      </c>
      <c r="O106" s="95">
        <v>10</v>
      </c>
      <c r="P106" s="98">
        <f t="shared" si="24"/>
        <v>11.695</v>
      </c>
      <c r="Q106" s="99">
        <f>IFERROR(VLOOKUP(I106,'Raw material list'!$A$3:$F$695,6,0),"")</f>
        <v>3.529411764705882E-3</v>
      </c>
      <c r="R106" s="100">
        <f t="shared" si="25"/>
        <v>4.1276470588235289E-2</v>
      </c>
      <c r="S106" s="94">
        <f t="shared" si="16"/>
        <v>4.1276470588235293E-3</v>
      </c>
      <c r="T106" s="94">
        <f t="shared" si="17"/>
        <v>4.5404117647058817E-2</v>
      </c>
      <c r="U106" s="93">
        <f t="shared" si="18"/>
        <v>4.5404117647058822E-3</v>
      </c>
      <c r="V106" s="93">
        <f t="shared" si="19"/>
        <v>4.5404117647058817E-4</v>
      </c>
      <c r="W106" s="93">
        <f t="shared" si="20"/>
        <v>4.5404117647058817E-4</v>
      </c>
      <c r="X106" s="93">
        <f t="shared" si="21"/>
        <v>5.0852611764705881E-2</v>
      </c>
      <c r="Y106" s="115"/>
    </row>
    <row r="107" spans="1:25" s="90" customFormat="1">
      <c r="A107" s="95" t="s">
        <v>1664</v>
      </c>
      <c r="B107" s="95" t="s">
        <v>1668</v>
      </c>
      <c r="C107" s="95" t="s">
        <v>1427</v>
      </c>
      <c r="D107" s="101" t="s">
        <v>1452</v>
      </c>
      <c r="E107" s="95" t="s">
        <v>1660</v>
      </c>
      <c r="F107" s="95" t="s">
        <v>1670</v>
      </c>
      <c r="G107" s="101" t="s">
        <v>1442</v>
      </c>
      <c r="H107" s="101" t="str">
        <f>IFERROR(VLOOKUP(I107,'Raw material list'!$A$3:$C$695,3,0),"")</f>
        <v>DRS6-261</v>
      </c>
      <c r="I107" s="97" t="s">
        <v>1565</v>
      </c>
      <c r="J107" s="101" t="s">
        <v>111</v>
      </c>
      <c r="K107" s="101" t="str">
        <f>IFERROR(VLOOKUP(I107,'Raw material list'!$A$3:$E$695,5,0),"")</f>
        <v xml:space="preserve">Gram </v>
      </c>
      <c r="L107" s="95">
        <v>14.61</v>
      </c>
      <c r="M107" s="98">
        <f t="shared" si="14"/>
        <v>14.610000000000001</v>
      </c>
      <c r="N107" s="98">
        <v>100</v>
      </c>
      <c r="O107" s="95">
        <v>10</v>
      </c>
      <c r="P107" s="98">
        <f t="shared" si="24"/>
        <v>1.4609999999999999</v>
      </c>
      <c r="Q107" s="99">
        <f>IFERROR(VLOOKUP(I107,'Raw material list'!$A$3:$F$695,6,0),"")</f>
        <v>1.4E-2</v>
      </c>
      <c r="R107" s="100">
        <f t="shared" si="25"/>
        <v>2.0454E-2</v>
      </c>
      <c r="S107" s="94">
        <f t="shared" si="16"/>
        <v>2.0454000000000002E-3</v>
      </c>
      <c r="T107" s="94">
        <f t="shared" si="17"/>
        <v>2.2499399999999999E-2</v>
      </c>
      <c r="U107" s="93">
        <f t="shared" si="18"/>
        <v>2.2499400000000002E-3</v>
      </c>
      <c r="V107" s="93">
        <f t="shared" si="19"/>
        <v>2.2499400000000001E-4</v>
      </c>
      <c r="W107" s="93">
        <f t="shared" si="20"/>
        <v>2.2499400000000001E-4</v>
      </c>
      <c r="X107" s="93">
        <f t="shared" si="21"/>
        <v>2.5199327999999997E-2</v>
      </c>
      <c r="Y107" s="115"/>
    </row>
    <row r="108" spans="1:25" s="90" customFormat="1">
      <c r="A108" s="95" t="s">
        <v>1664</v>
      </c>
      <c r="B108" s="95" t="s">
        <v>1668</v>
      </c>
      <c r="C108" s="95" t="s">
        <v>1427</v>
      </c>
      <c r="D108" s="101" t="s">
        <v>1452</v>
      </c>
      <c r="E108" s="95" t="s">
        <v>1660</v>
      </c>
      <c r="F108" s="95" t="s">
        <v>1670</v>
      </c>
      <c r="G108" s="101" t="s">
        <v>1442</v>
      </c>
      <c r="H108" s="101" t="str">
        <f>IFERROR(VLOOKUP(I108,'Raw material list'!$A$3:$C$695,3,0),"")</f>
        <v>DRS5-980</v>
      </c>
      <c r="I108" s="97" t="s">
        <v>410</v>
      </c>
      <c r="J108" s="101" t="s">
        <v>111</v>
      </c>
      <c r="K108" s="101" t="str">
        <f>IFERROR(VLOOKUP(I108,'Raw material list'!$A$3:$E$695,5,0),"")</f>
        <v xml:space="preserve">Gram </v>
      </c>
      <c r="L108" s="95">
        <v>23.39</v>
      </c>
      <c r="M108" s="98">
        <f t="shared" si="14"/>
        <v>23.39</v>
      </c>
      <c r="N108" s="98">
        <v>100</v>
      </c>
      <c r="O108" s="95">
        <v>10</v>
      </c>
      <c r="P108" s="98">
        <f t="shared" si="24"/>
        <v>2.339</v>
      </c>
      <c r="Q108" s="99">
        <f>IFERROR(VLOOKUP(I108,'Raw material list'!$A$3:$F$695,6,0),"")</f>
        <v>1E-3</v>
      </c>
      <c r="R108" s="100">
        <f t="shared" si="25"/>
        <v>2.3389999999999999E-3</v>
      </c>
      <c r="S108" s="94">
        <f t="shared" si="16"/>
        <v>2.3389999999999999E-4</v>
      </c>
      <c r="T108" s="94">
        <f t="shared" si="17"/>
        <v>2.5728999999999999E-3</v>
      </c>
      <c r="U108" s="93">
        <f t="shared" si="18"/>
        <v>2.5729000000000003E-4</v>
      </c>
      <c r="V108" s="93">
        <f t="shared" si="19"/>
        <v>2.5729E-5</v>
      </c>
      <c r="W108" s="93">
        <f t="shared" si="20"/>
        <v>2.5729E-5</v>
      </c>
      <c r="X108" s="93">
        <f t="shared" si="21"/>
        <v>2.8816479999999997E-3</v>
      </c>
      <c r="Y108" s="115"/>
    </row>
    <row r="109" spans="1:25" s="90" customFormat="1">
      <c r="A109" s="95" t="s">
        <v>1664</v>
      </c>
      <c r="B109" s="95" t="s">
        <v>1668</v>
      </c>
      <c r="C109" s="95" t="s">
        <v>1427</v>
      </c>
      <c r="D109" s="101" t="s">
        <v>1452</v>
      </c>
      <c r="E109" s="95" t="s">
        <v>1660</v>
      </c>
      <c r="F109" s="95" t="s">
        <v>1670</v>
      </c>
      <c r="G109" s="101" t="s">
        <v>1442</v>
      </c>
      <c r="H109" s="101" t="str">
        <f>IFERROR(VLOOKUP(I109,'Raw material list'!$A$3:$C$695,3,0),"")</f>
        <v>WAT-001</v>
      </c>
      <c r="I109" s="97" t="s">
        <v>1406</v>
      </c>
      <c r="J109" s="101" t="s">
        <v>161</v>
      </c>
      <c r="K109" s="101" t="str">
        <f>IFERROR(VLOOKUP(I109,'Raw material list'!$A$3:$E$695,5,0),"")</f>
        <v>Ml</v>
      </c>
      <c r="L109" s="95">
        <v>292.39</v>
      </c>
      <c r="M109" s="98">
        <f t="shared" si="14"/>
        <v>292.39</v>
      </c>
      <c r="N109" s="98">
        <v>100</v>
      </c>
      <c r="O109" s="95">
        <v>10</v>
      </c>
      <c r="P109" s="98">
        <f t="shared" si="24"/>
        <v>29.238999999999997</v>
      </c>
      <c r="Q109" s="99">
        <f>IFERROR(VLOOKUP(I109,'Raw material list'!$A$3:$F$695,6,0),"")</f>
        <v>8.0000000000000007E-5</v>
      </c>
      <c r="R109" s="100">
        <f t="shared" si="25"/>
        <v>2.3391200000000001E-3</v>
      </c>
      <c r="S109" s="94">
        <f t="shared" si="16"/>
        <v>2.3391200000000002E-4</v>
      </c>
      <c r="T109" s="94">
        <f t="shared" si="17"/>
        <v>2.5730320000000003E-3</v>
      </c>
      <c r="U109" s="93">
        <f t="shared" si="18"/>
        <v>2.5730320000000003E-4</v>
      </c>
      <c r="V109" s="93">
        <f t="shared" si="19"/>
        <v>2.5730320000000005E-5</v>
      </c>
      <c r="W109" s="93">
        <f t="shared" si="20"/>
        <v>2.5730320000000005E-5</v>
      </c>
      <c r="X109" s="93">
        <f t="shared" si="21"/>
        <v>2.88179584E-3</v>
      </c>
      <c r="Y109" s="115"/>
    </row>
    <row r="110" spans="1:25" s="90" customFormat="1">
      <c r="A110" s="95" t="s">
        <v>1664</v>
      </c>
      <c r="B110" s="95" t="s">
        <v>1668</v>
      </c>
      <c r="C110" s="95" t="s">
        <v>1427</v>
      </c>
      <c r="D110" s="101" t="s">
        <v>1452</v>
      </c>
      <c r="E110" s="95" t="s">
        <v>1660</v>
      </c>
      <c r="F110" s="95" t="s">
        <v>1670</v>
      </c>
      <c r="G110" s="101" t="s">
        <v>1442</v>
      </c>
      <c r="H110" s="101" t="str">
        <f>IFERROR(VLOOKUP(I110,'Raw material list'!$A$3:$C$695,3,0),"")</f>
        <v>DRS1-1780</v>
      </c>
      <c r="I110" s="97" t="s">
        <v>235</v>
      </c>
      <c r="J110" s="101" t="s">
        <v>111</v>
      </c>
      <c r="K110" s="101" t="str">
        <f>IFERROR(VLOOKUP(I110,'Raw material list'!$A$3:$E$695,5,0),"")</f>
        <v xml:space="preserve">Gram </v>
      </c>
      <c r="L110" s="95">
        <v>29.23</v>
      </c>
      <c r="M110" s="98">
        <f t="shared" si="14"/>
        <v>29.23</v>
      </c>
      <c r="N110" s="98">
        <v>100</v>
      </c>
      <c r="O110" s="95">
        <v>10</v>
      </c>
      <c r="P110" s="98">
        <f t="shared" si="24"/>
        <v>2.923</v>
      </c>
      <c r="Q110" s="99">
        <f>IFERROR(VLOOKUP(I110,'Raw material list'!$A$3:$F$695,6,0),"")</f>
        <v>0.04</v>
      </c>
      <c r="R110" s="100">
        <f t="shared" ref="R110:R142" si="28">IFERROR(Q110*P110,0)</f>
        <v>0.11692000000000001</v>
      </c>
      <c r="S110" s="94">
        <f t="shared" si="16"/>
        <v>1.1692000000000001E-2</v>
      </c>
      <c r="T110" s="94">
        <f t="shared" si="17"/>
        <v>0.128612</v>
      </c>
      <c r="U110" s="93">
        <f t="shared" si="18"/>
        <v>1.2861200000000001E-2</v>
      </c>
      <c r="V110" s="93">
        <f t="shared" si="19"/>
        <v>1.28612E-3</v>
      </c>
      <c r="W110" s="93">
        <f t="shared" si="20"/>
        <v>1.28612E-3</v>
      </c>
      <c r="X110" s="93">
        <f t="shared" si="21"/>
        <v>0.14404544</v>
      </c>
      <c r="Y110" s="115"/>
    </row>
    <row r="111" spans="1:25" s="90" customFormat="1">
      <c r="A111" s="95" t="s">
        <v>1664</v>
      </c>
      <c r="B111" s="95" t="s">
        <v>1668</v>
      </c>
      <c r="C111" s="95" t="s">
        <v>1427</v>
      </c>
      <c r="D111" s="101" t="s">
        <v>1452</v>
      </c>
      <c r="E111" s="95" t="s">
        <v>1660</v>
      </c>
      <c r="F111" s="95" t="s">
        <v>1670</v>
      </c>
      <c r="G111" s="101" t="s">
        <v>1442</v>
      </c>
      <c r="H111" s="101" t="str">
        <f>IFERROR(VLOOKUP(I111,'Raw material list'!$A$3:$C$695,3,0),"")</f>
        <v>DRS1-1549</v>
      </c>
      <c r="I111" s="97" t="s">
        <v>252</v>
      </c>
      <c r="J111" s="101" t="s">
        <v>111</v>
      </c>
      <c r="K111" s="101" t="str">
        <f>IFERROR(VLOOKUP(I111,'Raw material list'!$A$3:$E$695,5,0),"")</f>
        <v xml:space="preserve">Gram </v>
      </c>
      <c r="L111" s="95">
        <v>58.47</v>
      </c>
      <c r="M111" s="98">
        <f t="shared" si="14"/>
        <v>58.47</v>
      </c>
      <c r="N111" s="98">
        <v>100</v>
      </c>
      <c r="O111" s="95">
        <v>10</v>
      </c>
      <c r="P111" s="98">
        <f t="shared" si="24"/>
        <v>5.8469999999999995</v>
      </c>
      <c r="Q111" s="99">
        <f>IFERROR(VLOOKUP(I111,'Raw material list'!$A$3:$F$695,6,0),"")</f>
        <v>9.58E-3</v>
      </c>
      <c r="R111" s="100">
        <f t="shared" si="28"/>
        <v>5.6014259999999996E-2</v>
      </c>
      <c r="S111" s="94">
        <f t="shared" si="16"/>
        <v>5.6014259999999996E-3</v>
      </c>
      <c r="T111" s="94">
        <f t="shared" si="17"/>
        <v>6.1615685999999996E-2</v>
      </c>
      <c r="U111" s="93">
        <f t="shared" si="18"/>
        <v>6.1615686000000003E-3</v>
      </c>
      <c r="V111" s="93">
        <f t="shared" si="19"/>
        <v>6.1615686000000001E-4</v>
      </c>
      <c r="W111" s="93">
        <f t="shared" si="20"/>
        <v>6.1615686000000001E-4</v>
      </c>
      <c r="X111" s="93">
        <f t="shared" si="21"/>
        <v>6.9009568319999992E-2</v>
      </c>
      <c r="Y111" s="115"/>
    </row>
    <row r="112" spans="1:25" s="90" customFormat="1">
      <c r="A112" s="95" t="s">
        <v>1664</v>
      </c>
      <c r="B112" s="95" t="s">
        <v>1668</v>
      </c>
      <c r="C112" s="95" t="s">
        <v>1427</v>
      </c>
      <c r="D112" s="101" t="s">
        <v>1452</v>
      </c>
      <c r="E112" s="95" t="s">
        <v>1660</v>
      </c>
      <c r="F112" s="95" t="s">
        <v>1670</v>
      </c>
      <c r="G112" s="101" t="s">
        <v>1442</v>
      </c>
      <c r="H112" s="101" t="str">
        <f>IFERROR(VLOOKUP(I112,'Raw material list'!$A$3:$C$695,3,0),"")</f>
        <v>DRY2-1858</v>
      </c>
      <c r="I112" s="97" t="s">
        <v>42</v>
      </c>
      <c r="J112" s="101" t="s">
        <v>161</v>
      </c>
      <c r="K112" s="101" t="str">
        <f>IFERROR(VLOOKUP(I112,'Raw material list'!$A$3:$E$695,5,0),"")</f>
        <v>Ml</v>
      </c>
      <c r="L112" s="95">
        <v>1096.49</v>
      </c>
      <c r="M112" s="98">
        <f t="shared" si="14"/>
        <v>1096.49</v>
      </c>
      <c r="N112" s="98">
        <v>100</v>
      </c>
      <c r="O112" s="95">
        <v>10</v>
      </c>
      <c r="P112" s="98">
        <f t="shared" si="24"/>
        <v>109.649</v>
      </c>
      <c r="Q112" s="99">
        <f>IFERROR(VLOOKUP(I112,'Raw material list'!$A$3:$F$695,6,0),"")</f>
        <v>9.8800000000000016E-3</v>
      </c>
      <c r="R112" s="100">
        <f t="shared" si="28"/>
        <v>1.0833321200000001</v>
      </c>
      <c r="S112" s="94">
        <f t="shared" si="16"/>
        <v>0.10833321200000001</v>
      </c>
      <c r="T112" s="94">
        <f t="shared" si="17"/>
        <v>1.1916653320000001</v>
      </c>
      <c r="U112" s="93">
        <f t="shared" si="18"/>
        <v>0.11916653320000002</v>
      </c>
      <c r="V112" s="93">
        <f t="shared" si="19"/>
        <v>1.1916653320000001E-2</v>
      </c>
      <c r="W112" s="93">
        <f t="shared" si="20"/>
        <v>1.1916653320000001E-2</v>
      </c>
      <c r="X112" s="93">
        <f t="shared" si="21"/>
        <v>1.33466517184</v>
      </c>
      <c r="Y112" s="115"/>
    </row>
    <row r="113" spans="1:25" s="90" customFormat="1">
      <c r="A113" s="95" t="s">
        <v>1664</v>
      </c>
      <c r="B113" s="95" t="s">
        <v>1668</v>
      </c>
      <c r="C113" s="95" t="s">
        <v>1427</v>
      </c>
      <c r="D113" s="101" t="s">
        <v>1452</v>
      </c>
      <c r="E113" s="95" t="s">
        <v>1660</v>
      </c>
      <c r="F113" s="95" t="s">
        <v>1670</v>
      </c>
      <c r="G113" s="101" t="s">
        <v>1442</v>
      </c>
      <c r="H113" s="101" t="str">
        <f>IFERROR(VLOOKUP(I113,'Raw material list'!$A$3:$C$695,3,0),"")</f>
        <v>DRS6-5265</v>
      </c>
      <c r="I113" s="97" t="s">
        <v>675</v>
      </c>
      <c r="J113" s="101" t="s">
        <v>111</v>
      </c>
      <c r="K113" s="101" t="str">
        <f>IFERROR(VLOOKUP(I113,'Raw material list'!$A$3:$E$695,5,0),"")</f>
        <v xml:space="preserve">Gram </v>
      </c>
      <c r="L113" s="95">
        <v>2.04</v>
      </c>
      <c r="M113" s="98">
        <f t="shared" si="14"/>
        <v>2.04</v>
      </c>
      <c r="N113" s="98">
        <v>100</v>
      </c>
      <c r="O113" s="95">
        <v>10</v>
      </c>
      <c r="P113" s="98">
        <f t="shared" si="24"/>
        <v>0.20400000000000001</v>
      </c>
      <c r="Q113" s="99">
        <f>IFERROR(VLOOKUP(I113,'Raw material list'!$A$3:$F$695,6,0),"")</f>
        <v>0.19315673289183219</v>
      </c>
      <c r="R113" s="100">
        <f t="shared" si="28"/>
        <v>3.9403973509933771E-2</v>
      </c>
      <c r="S113" s="94">
        <f t="shared" si="16"/>
        <v>3.9403973509933776E-3</v>
      </c>
      <c r="T113" s="94">
        <f t="shared" si="17"/>
        <v>4.3344370860927149E-2</v>
      </c>
      <c r="U113" s="93">
        <f t="shared" si="18"/>
        <v>4.3344370860927154E-3</v>
      </c>
      <c r="V113" s="93">
        <f t="shared" si="19"/>
        <v>4.3344370860927151E-4</v>
      </c>
      <c r="W113" s="93">
        <f t="shared" si="20"/>
        <v>4.3344370860927151E-4</v>
      </c>
      <c r="X113" s="93">
        <f t="shared" si="21"/>
        <v>4.854569536423841E-2</v>
      </c>
      <c r="Y113" s="115"/>
    </row>
    <row r="114" spans="1:25" s="90" customFormat="1">
      <c r="A114" s="95" t="s">
        <v>1664</v>
      </c>
      <c r="B114" s="95" t="s">
        <v>1668</v>
      </c>
      <c r="C114" s="95" t="s">
        <v>1427</v>
      </c>
      <c r="D114" s="101" t="s">
        <v>1452</v>
      </c>
      <c r="E114" s="95" t="s">
        <v>1660</v>
      </c>
      <c r="F114" s="95" t="s">
        <v>1670</v>
      </c>
      <c r="G114" s="101" t="s">
        <v>1442</v>
      </c>
      <c r="H114" s="101" t="str">
        <f>IFERROR(VLOOKUP(I114,'Raw material list'!$A$3:$C$695,3,0),"")</f>
        <v>DRS6-1570</v>
      </c>
      <c r="I114" s="97" t="s">
        <v>16</v>
      </c>
      <c r="J114" s="101" t="s">
        <v>111</v>
      </c>
      <c r="K114" s="101" t="str">
        <f>IFERROR(VLOOKUP(I114,'Raw material list'!$A$3:$E$695,5,0),"")</f>
        <v xml:space="preserve">Gram </v>
      </c>
      <c r="L114" s="95">
        <v>2.33</v>
      </c>
      <c r="M114" s="98">
        <f t="shared" si="14"/>
        <v>2.33</v>
      </c>
      <c r="N114" s="98">
        <v>100</v>
      </c>
      <c r="O114" s="95">
        <v>10</v>
      </c>
      <c r="P114" s="98">
        <f t="shared" si="24"/>
        <v>0.23300000000000001</v>
      </c>
      <c r="Q114" s="99">
        <f>IFERROR(VLOOKUP(I114,'Raw material list'!$A$3:$F$695,6,0),"")</f>
        <v>2.8000000000000001E-2</v>
      </c>
      <c r="R114" s="100">
        <f t="shared" si="28"/>
        <v>6.5240000000000003E-3</v>
      </c>
      <c r="S114" s="94">
        <f t="shared" si="16"/>
        <v>6.5240000000000003E-4</v>
      </c>
      <c r="T114" s="94">
        <f t="shared" si="17"/>
        <v>7.1764000000000003E-3</v>
      </c>
      <c r="U114" s="93">
        <f t="shared" si="18"/>
        <v>7.1764000000000007E-4</v>
      </c>
      <c r="V114" s="93">
        <f t="shared" si="19"/>
        <v>7.1763999999999999E-5</v>
      </c>
      <c r="W114" s="93">
        <f t="shared" si="20"/>
        <v>7.1763999999999999E-5</v>
      </c>
      <c r="X114" s="93">
        <f t="shared" si="21"/>
        <v>8.0375680000000001E-3</v>
      </c>
      <c r="Y114" s="115"/>
    </row>
    <row r="115" spans="1:25" s="90" customFormat="1">
      <c r="A115" s="95" t="s">
        <v>1664</v>
      </c>
      <c r="B115" s="95" t="s">
        <v>1668</v>
      </c>
      <c r="C115" s="95" t="s">
        <v>1427</v>
      </c>
      <c r="D115" s="101" t="s">
        <v>1452</v>
      </c>
      <c r="E115" s="95" t="s">
        <v>1660</v>
      </c>
      <c r="F115" s="95" t="s">
        <v>1670</v>
      </c>
      <c r="G115" s="101" t="s">
        <v>1442</v>
      </c>
      <c r="H115" s="101" t="str">
        <f>IFERROR(VLOOKUP(I115,'Raw material list'!$A$3:$C$695,3,0),"")</f>
        <v>DRS1-3811</v>
      </c>
      <c r="I115" s="97" t="s">
        <v>36</v>
      </c>
      <c r="J115" s="101" t="s">
        <v>111</v>
      </c>
      <c r="K115" s="101" t="str">
        <f>IFERROR(VLOOKUP(I115,'Raw material list'!$A$3:$E$695,5,0),"")</f>
        <v xml:space="preserve">Gram </v>
      </c>
      <c r="L115" s="95">
        <v>13.15</v>
      </c>
      <c r="M115" s="98">
        <f t="shared" si="14"/>
        <v>13.15</v>
      </c>
      <c r="N115" s="98">
        <v>100</v>
      </c>
      <c r="O115" s="95">
        <v>10</v>
      </c>
      <c r="P115" s="98">
        <f t="shared" si="24"/>
        <v>1.3149999999999999</v>
      </c>
      <c r="Q115" s="99">
        <f>IFERROR(VLOOKUP(I115,'Raw material list'!$A$3:$F$695,6,0),"")</f>
        <v>2.8475E-2</v>
      </c>
      <c r="R115" s="100">
        <f t="shared" si="28"/>
        <v>3.7444625000000002E-2</v>
      </c>
      <c r="S115" s="94">
        <f t="shared" si="16"/>
        <v>3.7444625000000002E-3</v>
      </c>
      <c r="T115" s="94">
        <f t="shared" si="17"/>
        <v>4.1189087499999999E-2</v>
      </c>
      <c r="U115" s="93">
        <f t="shared" si="18"/>
        <v>4.1189087499999997E-3</v>
      </c>
      <c r="V115" s="93">
        <f t="shared" si="19"/>
        <v>4.1189087500000002E-4</v>
      </c>
      <c r="W115" s="93">
        <f t="shared" si="20"/>
        <v>4.1189087500000002E-4</v>
      </c>
      <c r="X115" s="93">
        <f t="shared" si="21"/>
        <v>4.6131777999999998E-2</v>
      </c>
      <c r="Y115" s="115"/>
    </row>
    <row r="116" spans="1:25" s="90" customFormat="1">
      <c r="A116" s="95" t="s">
        <v>1664</v>
      </c>
      <c r="B116" s="95" t="s">
        <v>1668</v>
      </c>
      <c r="C116" s="95" t="s">
        <v>1427</v>
      </c>
      <c r="D116" s="101" t="s">
        <v>1452</v>
      </c>
      <c r="E116" s="95" t="s">
        <v>1660</v>
      </c>
      <c r="F116" s="95" t="s">
        <v>1670</v>
      </c>
      <c r="G116" s="101" t="s">
        <v>1442</v>
      </c>
      <c r="H116" s="101" t="str">
        <f>IFERROR(VLOOKUP(I116,'Raw material list'!$A$3:$C$695,3,0),"")</f>
        <v>DRS6-5264</v>
      </c>
      <c r="I116" s="97" t="s">
        <v>699</v>
      </c>
      <c r="J116" s="101" t="s">
        <v>111</v>
      </c>
      <c r="K116" s="101" t="str">
        <f>IFERROR(VLOOKUP(I116,'Raw material list'!$A$3:$E$695,5,0),"")</f>
        <v xml:space="preserve">Gram </v>
      </c>
      <c r="L116" s="95">
        <v>2.92</v>
      </c>
      <c r="M116" s="98">
        <f t="shared" si="14"/>
        <v>2.92</v>
      </c>
      <c r="N116" s="98">
        <v>100</v>
      </c>
      <c r="O116" s="95">
        <v>10</v>
      </c>
      <c r="P116" s="98">
        <f t="shared" si="24"/>
        <v>0.29199999999999998</v>
      </c>
      <c r="Q116" s="99">
        <f>IFERROR(VLOOKUP(I116,'Raw material list'!$A$3:$F$695,6,0),"")</f>
        <v>3.3039647577092511E-2</v>
      </c>
      <c r="R116" s="100">
        <f t="shared" si="28"/>
        <v>9.6475770925110119E-3</v>
      </c>
      <c r="S116" s="94">
        <f t="shared" si="16"/>
        <v>9.6475770925110122E-4</v>
      </c>
      <c r="T116" s="94">
        <f t="shared" si="17"/>
        <v>1.0612334801762113E-2</v>
      </c>
      <c r="U116" s="93">
        <f t="shared" si="18"/>
        <v>1.0612334801762113E-3</v>
      </c>
      <c r="V116" s="93">
        <f t="shared" si="19"/>
        <v>1.0612334801762112E-4</v>
      </c>
      <c r="W116" s="93">
        <f t="shared" si="20"/>
        <v>1.0612334801762112E-4</v>
      </c>
      <c r="X116" s="93">
        <f t="shared" si="21"/>
        <v>1.1885814977973566E-2</v>
      </c>
      <c r="Y116" s="115"/>
    </row>
    <row r="117" spans="1:25" s="90" customFormat="1">
      <c r="A117" s="95" t="s">
        <v>1664</v>
      </c>
      <c r="B117" s="95" t="s">
        <v>1668</v>
      </c>
      <c r="C117" s="95" t="s">
        <v>1427</v>
      </c>
      <c r="D117" s="101" t="s">
        <v>1452</v>
      </c>
      <c r="E117" s="95" t="s">
        <v>1660</v>
      </c>
      <c r="F117" s="95" t="s">
        <v>1670</v>
      </c>
      <c r="G117" s="101" t="s">
        <v>1442</v>
      </c>
      <c r="H117" s="101" t="str">
        <f>IFERROR(VLOOKUP(I117,'Raw material list'!$A$3:$C$695,3,0),"")</f>
        <v>PRD1-209</v>
      </c>
      <c r="I117" s="97" t="s">
        <v>26</v>
      </c>
      <c r="J117" s="101" t="s">
        <v>111</v>
      </c>
      <c r="K117" s="101" t="str">
        <f>IFERROR(VLOOKUP(I117,'Raw material list'!$A$3:$E$695,5,0),"")</f>
        <v xml:space="preserve">Gram </v>
      </c>
      <c r="L117" s="95">
        <v>43.85</v>
      </c>
      <c r="M117" s="98">
        <f t="shared" si="14"/>
        <v>115.39473684210526</v>
      </c>
      <c r="N117" s="98">
        <v>38</v>
      </c>
      <c r="O117" s="95">
        <v>10</v>
      </c>
      <c r="P117" s="98">
        <f t="shared" si="24"/>
        <v>4.3849999999999998</v>
      </c>
      <c r="Q117" s="99">
        <f>IFERROR(VLOOKUP(I117,'Raw material list'!$A$3:$F$695,6,0),"")</f>
        <v>1.0088272383354351E-2</v>
      </c>
      <c r="R117" s="100">
        <f t="shared" si="28"/>
        <v>4.4237074401008825E-2</v>
      </c>
      <c r="S117" s="94">
        <f t="shared" si="16"/>
        <v>4.4237074401008826E-3</v>
      </c>
      <c r="T117" s="94">
        <f t="shared" si="17"/>
        <v>4.866078184110971E-2</v>
      </c>
      <c r="U117" s="93">
        <f t="shared" si="18"/>
        <v>4.8660781841109715E-3</v>
      </c>
      <c r="V117" s="93">
        <f t="shared" si="19"/>
        <v>4.866078184110971E-4</v>
      </c>
      <c r="W117" s="93">
        <f t="shared" si="20"/>
        <v>4.866078184110971E-4</v>
      </c>
      <c r="X117" s="93">
        <f t="shared" si="21"/>
        <v>5.4500075662042874E-2</v>
      </c>
      <c r="Y117" s="115"/>
    </row>
    <row r="118" spans="1:25" s="90" customFormat="1">
      <c r="A118" s="95" t="s">
        <v>1664</v>
      </c>
      <c r="B118" s="95" t="s">
        <v>1668</v>
      </c>
      <c r="C118" s="95" t="s">
        <v>1427</v>
      </c>
      <c r="D118" s="101" t="s">
        <v>1452</v>
      </c>
      <c r="E118" s="95" t="s">
        <v>1660</v>
      </c>
      <c r="F118" s="95" t="s">
        <v>1670</v>
      </c>
      <c r="G118" s="101" t="s">
        <v>1433</v>
      </c>
      <c r="H118" s="101" t="str">
        <f>IFERROR(VLOOKUP(I118,'Raw material list'!$A$3:$C$695,3,0),"")</f>
        <v>DRS4-498</v>
      </c>
      <c r="I118" s="97" t="s">
        <v>62</v>
      </c>
      <c r="J118" s="101" t="s">
        <v>111</v>
      </c>
      <c r="K118" s="101" t="str">
        <f>IFERROR(VLOOKUP(I118,'Raw material list'!$A$3:$E$695,5,0),"")</f>
        <v xml:space="preserve">Gram </v>
      </c>
      <c r="L118" s="95">
        <v>600</v>
      </c>
      <c r="M118" s="98">
        <f t="shared" si="14"/>
        <v>600</v>
      </c>
      <c r="N118" s="98">
        <v>100</v>
      </c>
      <c r="O118" s="95">
        <v>10</v>
      </c>
      <c r="P118" s="98">
        <f t="shared" si="24"/>
        <v>60</v>
      </c>
      <c r="Q118" s="99">
        <f>IFERROR(VLOOKUP(I118,'Raw material list'!$A$3:$F$695,6,0),"")</f>
        <v>5.7499999999999999E-3</v>
      </c>
      <c r="R118" s="100">
        <f t="shared" si="28"/>
        <v>0.34499999999999997</v>
      </c>
      <c r="S118" s="94">
        <f t="shared" si="16"/>
        <v>3.4499999999999996E-2</v>
      </c>
      <c r="T118" s="94">
        <f t="shared" si="17"/>
        <v>0.37949999999999995</v>
      </c>
      <c r="U118" s="93">
        <f t="shared" si="18"/>
        <v>3.7949999999999998E-2</v>
      </c>
      <c r="V118" s="93">
        <f t="shared" si="19"/>
        <v>3.7949999999999998E-3</v>
      </c>
      <c r="W118" s="93">
        <f t="shared" si="20"/>
        <v>3.7949999999999998E-3</v>
      </c>
      <c r="X118" s="93">
        <f t="shared" si="21"/>
        <v>0.42503999999999992</v>
      </c>
      <c r="Y118" s="115"/>
    </row>
    <row r="119" spans="1:25" s="90" customFormat="1">
      <c r="A119" s="95" t="s">
        <v>1664</v>
      </c>
      <c r="B119" s="95" t="s">
        <v>1668</v>
      </c>
      <c r="C119" s="95" t="s">
        <v>1427</v>
      </c>
      <c r="D119" s="101" t="s">
        <v>1452</v>
      </c>
      <c r="E119" s="95" t="s">
        <v>1660</v>
      </c>
      <c r="F119" s="95" t="s">
        <v>1670</v>
      </c>
      <c r="G119" s="101" t="s">
        <v>1433</v>
      </c>
      <c r="H119" s="101" t="str">
        <f>IFERROR(VLOOKUP(I119,'Raw material list'!$A$3:$C$695,3,0),"")</f>
        <v>WAT-001</v>
      </c>
      <c r="I119" s="97" t="s">
        <v>1406</v>
      </c>
      <c r="J119" s="101" t="s">
        <v>161</v>
      </c>
      <c r="K119" s="101" t="str">
        <f>IFERROR(VLOOKUP(I119,'Raw material list'!$A$3:$E$695,5,0),"")</f>
        <v>Ml</v>
      </c>
      <c r="L119" s="95">
        <v>1100</v>
      </c>
      <c r="M119" s="98">
        <f t="shared" si="14"/>
        <v>1100</v>
      </c>
      <c r="N119" s="98">
        <v>100</v>
      </c>
      <c r="O119" s="95">
        <v>10</v>
      </c>
      <c r="P119" s="98">
        <f t="shared" si="24"/>
        <v>110</v>
      </c>
      <c r="Q119" s="99">
        <f>IFERROR(VLOOKUP(I119,'Raw material list'!$A$3:$F$695,6,0),"")</f>
        <v>8.0000000000000007E-5</v>
      </c>
      <c r="R119" s="100">
        <f t="shared" si="28"/>
        <v>8.8000000000000005E-3</v>
      </c>
      <c r="S119" s="94">
        <f t="shared" si="16"/>
        <v>8.8000000000000014E-4</v>
      </c>
      <c r="T119" s="94">
        <f t="shared" si="17"/>
        <v>9.6800000000000011E-3</v>
      </c>
      <c r="U119" s="93">
        <f t="shared" si="18"/>
        <v>9.6800000000000011E-4</v>
      </c>
      <c r="V119" s="93">
        <f t="shared" si="19"/>
        <v>9.6800000000000008E-5</v>
      </c>
      <c r="W119" s="93">
        <f t="shared" si="20"/>
        <v>9.6800000000000008E-5</v>
      </c>
      <c r="X119" s="93">
        <f t="shared" si="21"/>
        <v>1.08416E-2</v>
      </c>
      <c r="Y119" s="115"/>
    </row>
    <row r="120" spans="1:25" s="90" customFormat="1">
      <c r="A120" s="95" t="s">
        <v>1664</v>
      </c>
      <c r="B120" s="95" t="s">
        <v>1668</v>
      </c>
      <c r="C120" s="95" t="s">
        <v>1427</v>
      </c>
      <c r="D120" s="101" t="s">
        <v>1452</v>
      </c>
      <c r="E120" s="95" t="s">
        <v>1660</v>
      </c>
      <c r="F120" s="95" t="s">
        <v>1670</v>
      </c>
      <c r="G120" s="101" t="s">
        <v>1433</v>
      </c>
      <c r="H120" s="101" t="str">
        <f>IFERROR(VLOOKUP(I120,'Raw material list'!$A$3:$C$695,3,0),"")</f>
        <v>DRS1-3880</v>
      </c>
      <c r="I120" s="97" t="s">
        <v>1398</v>
      </c>
      <c r="J120" s="101" t="s">
        <v>111</v>
      </c>
      <c r="K120" s="101" t="str">
        <f>IFERROR(VLOOKUP(I120,'Raw material list'!$A$3:$E$695,5,0),"")</f>
        <v xml:space="preserve">Gram </v>
      </c>
      <c r="L120" s="95">
        <v>14</v>
      </c>
      <c r="M120" s="98">
        <f t="shared" si="14"/>
        <v>14.000000000000002</v>
      </c>
      <c r="N120" s="98">
        <v>100</v>
      </c>
      <c r="O120" s="95">
        <v>10</v>
      </c>
      <c r="P120" s="98">
        <f t="shared" si="24"/>
        <v>1.4</v>
      </c>
      <c r="Q120" s="99">
        <f>IFERROR(VLOOKUP(I120,'Raw material list'!$A$3:$F$695,6,0),"")</f>
        <v>5.0000000000000001E-4</v>
      </c>
      <c r="R120" s="100">
        <f t="shared" si="28"/>
        <v>6.9999999999999999E-4</v>
      </c>
      <c r="S120" s="94">
        <f t="shared" si="16"/>
        <v>7.0000000000000007E-5</v>
      </c>
      <c r="T120" s="94">
        <f t="shared" si="17"/>
        <v>7.6999999999999996E-4</v>
      </c>
      <c r="U120" s="93">
        <f t="shared" si="18"/>
        <v>7.7000000000000001E-5</v>
      </c>
      <c r="V120" s="93">
        <f t="shared" si="19"/>
        <v>7.6999999999999991E-6</v>
      </c>
      <c r="W120" s="93">
        <f t="shared" si="20"/>
        <v>7.6999999999999991E-6</v>
      </c>
      <c r="X120" s="93">
        <f t="shared" si="21"/>
        <v>8.6240000000000004E-4</v>
      </c>
      <c r="Y120" s="115"/>
    </row>
    <row r="121" spans="1:25" s="90" customFormat="1">
      <c r="A121" s="95" t="s">
        <v>1664</v>
      </c>
      <c r="B121" s="95" t="s">
        <v>1668</v>
      </c>
      <c r="C121" s="95" t="s">
        <v>1427</v>
      </c>
      <c r="D121" s="101" t="s">
        <v>1452</v>
      </c>
      <c r="E121" s="95" t="s">
        <v>1660</v>
      </c>
      <c r="F121" s="95" t="s">
        <v>1670</v>
      </c>
      <c r="G121" s="101" t="s">
        <v>1433</v>
      </c>
      <c r="H121" s="101" t="str">
        <f>IFERROR(VLOOKUP(I121,'Raw material list'!$A$3:$C$695,3,0),"")</f>
        <v>DRS6-309</v>
      </c>
      <c r="I121" s="97" t="s">
        <v>35</v>
      </c>
      <c r="J121" s="101" t="s">
        <v>111</v>
      </c>
      <c r="K121" s="101" t="str">
        <f>IFERROR(VLOOKUP(I121,'Raw material list'!$A$3:$E$695,5,0),"")</f>
        <v xml:space="preserve">Gram </v>
      </c>
      <c r="L121" s="95">
        <v>1</v>
      </c>
      <c r="M121" s="98">
        <f t="shared" si="14"/>
        <v>1</v>
      </c>
      <c r="N121" s="98">
        <v>100</v>
      </c>
      <c r="O121" s="95">
        <v>10</v>
      </c>
      <c r="P121" s="98">
        <f t="shared" si="24"/>
        <v>0.1</v>
      </c>
      <c r="Q121" s="99">
        <f>IFERROR(VLOOKUP(I121,'Raw material list'!$A$3:$F$695,6,0),"")</f>
        <v>2.8000000000000001E-2</v>
      </c>
      <c r="R121" s="100">
        <f t="shared" si="28"/>
        <v>2.8000000000000004E-3</v>
      </c>
      <c r="S121" s="94">
        <f t="shared" si="16"/>
        <v>2.8000000000000003E-4</v>
      </c>
      <c r="T121" s="94">
        <f t="shared" si="17"/>
        <v>3.0800000000000003E-3</v>
      </c>
      <c r="U121" s="93">
        <f t="shared" si="18"/>
        <v>3.0800000000000006E-4</v>
      </c>
      <c r="V121" s="93">
        <f t="shared" si="19"/>
        <v>3.0800000000000003E-5</v>
      </c>
      <c r="W121" s="93">
        <f t="shared" si="20"/>
        <v>3.0800000000000003E-5</v>
      </c>
      <c r="X121" s="93">
        <f t="shared" si="21"/>
        <v>3.4496000000000006E-3</v>
      </c>
      <c r="Y121" s="115"/>
    </row>
    <row r="122" spans="1:25" s="90" customFormat="1">
      <c r="A122" s="95" t="s">
        <v>1664</v>
      </c>
      <c r="B122" s="95" t="s">
        <v>1668</v>
      </c>
      <c r="C122" s="95" t="s">
        <v>1427</v>
      </c>
      <c r="D122" s="101" t="s">
        <v>1452</v>
      </c>
      <c r="E122" s="95" t="s">
        <v>1660</v>
      </c>
      <c r="F122" s="95" t="s">
        <v>1670</v>
      </c>
      <c r="G122" s="101" t="s">
        <v>1433</v>
      </c>
      <c r="H122" s="101" t="str">
        <f>IFERROR(VLOOKUP(I122,'Raw material list'!$A$3:$C$695,3,0),"")</f>
        <v>DRS6-3593</v>
      </c>
      <c r="I122" s="97" t="s">
        <v>1417</v>
      </c>
      <c r="J122" s="101" t="s">
        <v>111</v>
      </c>
      <c r="K122" s="101" t="str">
        <f>IFERROR(VLOOKUP(I122,'Raw material list'!$A$3:$E$695,5,0),"")</f>
        <v xml:space="preserve">Gram </v>
      </c>
      <c r="L122" s="95">
        <v>1</v>
      </c>
      <c r="M122" s="98">
        <f t="shared" si="14"/>
        <v>1</v>
      </c>
      <c r="N122" s="98">
        <v>100</v>
      </c>
      <c r="O122" s="95">
        <v>10</v>
      </c>
      <c r="P122" s="98">
        <f t="shared" si="24"/>
        <v>0.1</v>
      </c>
      <c r="Q122" s="99">
        <f>IFERROR(VLOOKUP(I122,'Raw material list'!$A$3:$F$695,6,0),"")</f>
        <v>1.0500000000000001E-2</v>
      </c>
      <c r="R122" s="100">
        <f t="shared" si="28"/>
        <v>1.0500000000000002E-3</v>
      </c>
      <c r="S122" s="94">
        <f t="shared" si="16"/>
        <v>1.0500000000000002E-4</v>
      </c>
      <c r="T122" s="94">
        <f t="shared" si="17"/>
        <v>1.1550000000000002E-3</v>
      </c>
      <c r="U122" s="93">
        <f t="shared" si="18"/>
        <v>1.1550000000000003E-4</v>
      </c>
      <c r="V122" s="93">
        <f t="shared" si="19"/>
        <v>1.1550000000000003E-5</v>
      </c>
      <c r="W122" s="93">
        <f t="shared" si="20"/>
        <v>1.1550000000000003E-5</v>
      </c>
      <c r="X122" s="93">
        <f t="shared" si="21"/>
        <v>1.2936E-3</v>
      </c>
      <c r="Y122" s="115"/>
    </row>
    <row r="123" spans="1:25" s="90" customFormat="1">
      <c r="A123" s="95" t="s">
        <v>1664</v>
      </c>
      <c r="B123" s="95" t="s">
        <v>1668</v>
      </c>
      <c r="C123" s="95" t="s">
        <v>1427</v>
      </c>
      <c r="D123" s="101" t="s">
        <v>1452</v>
      </c>
      <c r="E123" s="95" t="s">
        <v>1660</v>
      </c>
      <c r="F123" s="95" t="s">
        <v>1670</v>
      </c>
      <c r="G123" s="101" t="s">
        <v>1433</v>
      </c>
      <c r="H123" s="101" t="str">
        <f>IFERROR(VLOOKUP(I123,'Raw material list'!$A$3:$C$695,3,0),"")</f>
        <v>DRS3-1813</v>
      </c>
      <c r="I123" s="97" t="s">
        <v>39</v>
      </c>
      <c r="J123" s="101" t="s">
        <v>161</v>
      </c>
      <c r="K123" s="101" t="str">
        <f>IFERROR(VLOOKUP(I123,'Raw material list'!$A$3:$E$695,5,0),"")</f>
        <v>Ml</v>
      </c>
      <c r="L123" s="95">
        <v>30</v>
      </c>
      <c r="M123" s="98">
        <f t="shared" si="14"/>
        <v>30</v>
      </c>
      <c r="N123" s="98">
        <v>100</v>
      </c>
      <c r="O123" s="95">
        <v>10</v>
      </c>
      <c r="P123" s="98">
        <f t="shared" si="24"/>
        <v>3</v>
      </c>
      <c r="Q123" s="99">
        <f>IFERROR(VLOOKUP(I123,'Raw material list'!$A$3:$F$695,6,0),"")</f>
        <v>8.0555555555555554E-3</v>
      </c>
      <c r="R123" s="100">
        <f t="shared" si="28"/>
        <v>2.4166666666666666E-2</v>
      </c>
      <c r="S123" s="94">
        <f t="shared" si="16"/>
        <v>2.4166666666666668E-3</v>
      </c>
      <c r="T123" s="94">
        <f t="shared" si="17"/>
        <v>2.6583333333333334E-2</v>
      </c>
      <c r="U123" s="93">
        <f t="shared" si="18"/>
        <v>2.6583333333333337E-3</v>
      </c>
      <c r="V123" s="93">
        <f t="shared" si="19"/>
        <v>2.6583333333333336E-4</v>
      </c>
      <c r="W123" s="93">
        <f t="shared" si="20"/>
        <v>2.6583333333333336E-4</v>
      </c>
      <c r="X123" s="93">
        <f t="shared" si="21"/>
        <v>2.9773333333333332E-2</v>
      </c>
      <c r="Y123" s="115"/>
    </row>
    <row r="124" spans="1:25" s="90" customFormat="1">
      <c r="A124" s="95" t="s">
        <v>1664</v>
      </c>
      <c r="B124" s="95" t="s">
        <v>1668</v>
      </c>
      <c r="C124" s="95" t="s">
        <v>1427</v>
      </c>
      <c r="D124" s="101" t="s">
        <v>1452</v>
      </c>
      <c r="E124" s="95" t="s">
        <v>1660</v>
      </c>
      <c r="F124" s="95" t="s">
        <v>1670</v>
      </c>
      <c r="G124" s="101" t="s">
        <v>1433</v>
      </c>
      <c r="H124" s="101" t="str">
        <f>IFERROR(VLOOKUP(I124,'Raw material list'!$A$3:$C$695,3,0),"")</f>
        <v>DRS6-539</v>
      </c>
      <c r="I124" s="97" t="s">
        <v>717</v>
      </c>
      <c r="J124" s="101" t="s">
        <v>111</v>
      </c>
      <c r="K124" s="101" t="str">
        <f>IFERROR(VLOOKUP(I124,'Raw material list'!$A$3:$E$695,5,0),"")</f>
        <v xml:space="preserve">Gram </v>
      </c>
      <c r="L124" s="95">
        <v>2</v>
      </c>
      <c r="M124" s="98">
        <f t="shared" si="14"/>
        <v>2</v>
      </c>
      <c r="N124" s="98">
        <v>100</v>
      </c>
      <c r="O124" s="95">
        <v>10</v>
      </c>
      <c r="P124" s="98">
        <f t="shared" si="24"/>
        <v>0.2</v>
      </c>
      <c r="Q124" s="99">
        <f>IFERROR(VLOOKUP(I124,'Raw material list'!$A$3:$F$695,6,0),"")</f>
        <v>0.16</v>
      </c>
      <c r="R124" s="100">
        <f t="shared" si="28"/>
        <v>3.2000000000000001E-2</v>
      </c>
      <c r="S124" s="94">
        <f t="shared" si="16"/>
        <v>3.2000000000000002E-3</v>
      </c>
      <c r="T124" s="94">
        <f t="shared" si="17"/>
        <v>3.5200000000000002E-2</v>
      </c>
      <c r="U124" s="93">
        <f t="shared" si="18"/>
        <v>3.5200000000000006E-3</v>
      </c>
      <c r="V124" s="93">
        <f t="shared" si="19"/>
        <v>3.5200000000000005E-4</v>
      </c>
      <c r="W124" s="93">
        <f t="shared" si="20"/>
        <v>3.5200000000000005E-4</v>
      </c>
      <c r="X124" s="93">
        <f t="shared" si="21"/>
        <v>3.9424000000000001E-2</v>
      </c>
      <c r="Y124" s="115"/>
    </row>
    <row r="125" spans="1:25" s="90" customFormat="1">
      <c r="A125" s="95" t="s">
        <v>1664</v>
      </c>
      <c r="B125" s="95" t="s">
        <v>1668</v>
      </c>
      <c r="C125" s="95" t="s">
        <v>1427</v>
      </c>
      <c r="D125" s="101" t="s">
        <v>1452</v>
      </c>
      <c r="E125" s="95" t="s">
        <v>1660</v>
      </c>
      <c r="F125" s="95" t="s">
        <v>1670</v>
      </c>
      <c r="G125" s="101" t="s">
        <v>1433</v>
      </c>
      <c r="H125" s="101" t="str">
        <f>IFERROR(VLOOKUP(I125,'Raw material list'!$A$3:$C$695,3,0),"")</f>
        <v>DRS6-261</v>
      </c>
      <c r="I125" s="97" t="s">
        <v>1565</v>
      </c>
      <c r="J125" s="101" t="s">
        <v>111</v>
      </c>
      <c r="K125" s="101" t="str">
        <f>IFERROR(VLOOKUP(I125,'Raw material list'!$A$3:$E$695,5,0),"")</f>
        <v xml:space="preserve">Gram </v>
      </c>
      <c r="L125" s="95">
        <v>0.3</v>
      </c>
      <c r="M125" s="98">
        <f t="shared" si="14"/>
        <v>0.3</v>
      </c>
      <c r="N125" s="98">
        <v>100</v>
      </c>
      <c r="O125" s="95">
        <v>10</v>
      </c>
      <c r="P125" s="98">
        <f t="shared" si="24"/>
        <v>0.03</v>
      </c>
      <c r="Q125" s="99">
        <f>IFERROR(VLOOKUP(I125,'Raw material list'!$A$3:$F$695,6,0),"")</f>
        <v>1.4E-2</v>
      </c>
      <c r="R125" s="100">
        <f t="shared" si="28"/>
        <v>4.2000000000000002E-4</v>
      </c>
      <c r="S125" s="94">
        <f t="shared" si="16"/>
        <v>4.2000000000000004E-5</v>
      </c>
      <c r="T125" s="94">
        <f t="shared" si="17"/>
        <v>4.6200000000000001E-4</v>
      </c>
      <c r="U125" s="93">
        <f t="shared" si="18"/>
        <v>4.6200000000000005E-5</v>
      </c>
      <c r="V125" s="93">
        <f t="shared" si="19"/>
        <v>4.6199999999999998E-6</v>
      </c>
      <c r="W125" s="93">
        <f t="shared" si="20"/>
        <v>4.6199999999999998E-6</v>
      </c>
      <c r="X125" s="93">
        <f t="shared" si="21"/>
        <v>5.1743999999999998E-4</v>
      </c>
      <c r="Y125" s="115"/>
    </row>
    <row r="126" spans="1:25" s="90" customFormat="1">
      <c r="A126" s="95" t="s">
        <v>1609</v>
      </c>
      <c r="B126" s="95" t="s">
        <v>1668</v>
      </c>
      <c r="C126" s="95" t="s">
        <v>1427</v>
      </c>
      <c r="D126" s="101" t="s">
        <v>1454</v>
      </c>
      <c r="E126" s="101" t="s">
        <v>1455</v>
      </c>
      <c r="F126" s="101" t="s">
        <v>1671</v>
      </c>
      <c r="G126" s="101" t="s">
        <v>1591</v>
      </c>
      <c r="H126" s="101" t="str">
        <f>IFERROR(VLOOKUP(I126,'Raw material list'!$A$3:$C$695,3,0),"")</f>
        <v>PLT2-3278</v>
      </c>
      <c r="I126" s="97" t="s">
        <v>61</v>
      </c>
      <c r="J126" s="101" t="s">
        <v>111</v>
      </c>
      <c r="K126" s="101" t="str">
        <f>IFERROR(VLOOKUP(I126,'Raw material list'!$A$3:$E$695,5,0),"")</f>
        <v xml:space="preserve">Gram </v>
      </c>
      <c r="L126" s="95">
        <v>1200</v>
      </c>
      <c r="M126" s="98">
        <f t="shared" si="14"/>
        <v>1574.803149606299</v>
      </c>
      <c r="N126" s="98">
        <v>76.2</v>
      </c>
      <c r="O126" s="95">
        <v>10</v>
      </c>
      <c r="P126" s="98">
        <f t="shared" si="24"/>
        <v>120</v>
      </c>
      <c r="Q126" s="99">
        <f>IFERROR(VLOOKUP(I126,'Raw material list'!$A$3:$F$695,6,0),"")</f>
        <v>3.035714285714285E-2</v>
      </c>
      <c r="R126" s="100">
        <f t="shared" si="28"/>
        <v>3.6428571428571419</v>
      </c>
      <c r="S126" s="94">
        <f t="shared" si="16"/>
        <v>0.36428571428571421</v>
      </c>
      <c r="T126" s="94">
        <f t="shared" si="17"/>
        <v>4.0071428571428562</v>
      </c>
      <c r="U126" s="93">
        <f t="shared" si="18"/>
        <v>0.40071428571428563</v>
      </c>
      <c r="V126" s="93">
        <f t="shared" si="19"/>
        <v>4.0071428571428563E-2</v>
      </c>
      <c r="W126" s="93">
        <f t="shared" si="20"/>
        <v>4.0071428571428563E-2</v>
      </c>
      <c r="X126" s="93">
        <f t="shared" si="21"/>
        <v>4.4879999999999987</v>
      </c>
      <c r="Y126" s="127" t="s">
        <v>1674</v>
      </c>
    </row>
    <row r="127" spans="1:25" s="90" customFormat="1">
      <c r="A127" s="95" t="s">
        <v>1609</v>
      </c>
      <c r="B127" s="95" t="s">
        <v>1668</v>
      </c>
      <c r="C127" s="95" t="s">
        <v>1427</v>
      </c>
      <c r="D127" s="101" t="s">
        <v>1454</v>
      </c>
      <c r="E127" s="101" t="s">
        <v>1455</v>
      </c>
      <c r="F127" s="95" t="s">
        <v>1671</v>
      </c>
      <c r="G127" s="101" t="s">
        <v>1591</v>
      </c>
      <c r="H127" s="101" t="str">
        <f>IFERROR(VLOOKUP(I127,'Raw material list'!$A$3:$C$695,3,0),"")</f>
        <v>DRS6-1727</v>
      </c>
      <c r="I127" s="97" t="s">
        <v>41</v>
      </c>
      <c r="J127" s="101" t="s">
        <v>111</v>
      </c>
      <c r="K127" s="101" t="str">
        <f>IFERROR(VLOOKUP(I127,'Raw material list'!$A$3:$E$695,5,0),"")</f>
        <v xml:space="preserve">Gram </v>
      </c>
      <c r="L127" s="95">
        <v>12</v>
      </c>
      <c r="M127" s="98">
        <f t="shared" si="14"/>
        <v>12</v>
      </c>
      <c r="N127" s="98">
        <v>100</v>
      </c>
      <c r="O127" s="95">
        <v>10</v>
      </c>
      <c r="P127" s="98">
        <f t="shared" ref="P127:P130" si="29">IFERROR(L127/O127,0)</f>
        <v>1.2</v>
      </c>
      <c r="Q127" s="99">
        <f>IFERROR(VLOOKUP(I127,'Raw material list'!$A$3:$F$695,6,0),"")</f>
        <v>2.5000000000000001E-2</v>
      </c>
      <c r="R127" s="100">
        <f t="shared" ref="R127:R130" si="30">IFERROR(Q127*P127,0)</f>
        <v>0.03</v>
      </c>
      <c r="S127" s="94">
        <f t="shared" si="16"/>
        <v>3.0000000000000001E-3</v>
      </c>
      <c r="T127" s="94">
        <f t="shared" si="17"/>
        <v>3.3000000000000002E-2</v>
      </c>
      <c r="U127" s="93">
        <f t="shared" si="18"/>
        <v>3.3000000000000004E-3</v>
      </c>
      <c r="V127" s="93">
        <f t="shared" si="19"/>
        <v>3.3E-4</v>
      </c>
      <c r="W127" s="93">
        <f t="shared" si="20"/>
        <v>3.3E-4</v>
      </c>
      <c r="X127" s="93">
        <f t="shared" si="21"/>
        <v>3.6959999999999993E-2</v>
      </c>
      <c r="Y127" s="116"/>
    </row>
    <row r="128" spans="1:25" s="90" customFormat="1">
      <c r="A128" s="95" t="s">
        <v>1609</v>
      </c>
      <c r="B128" s="95" t="s">
        <v>1668</v>
      </c>
      <c r="C128" s="95" t="s">
        <v>1427</v>
      </c>
      <c r="D128" s="101" t="s">
        <v>1454</v>
      </c>
      <c r="E128" s="101" t="s">
        <v>1455</v>
      </c>
      <c r="F128" s="95" t="s">
        <v>1671</v>
      </c>
      <c r="G128" s="101" t="s">
        <v>1591</v>
      </c>
      <c r="H128" s="101" t="str">
        <f>IFERROR(VLOOKUP(I128,'Raw material list'!$A$3:$C$695,3,0),"")</f>
        <v>DRS6-5088</v>
      </c>
      <c r="I128" s="97" t="s">
        <v>668</v>
      </c>
      <c r="J128" s="101" t="s">
        <v>111</v>
      </c>
      <c r="K128" s="101" t="str">
        <f>IFERROR(VLOOKUP(I128,'Raw material list'!$A$3:$E$695,5,0),"")</f>
        <v xml:space="preserve">Gram </v>
      </c>
      <c r="L128" s="95">
        <v>12</v>
      </c>
      <c r="M128" s="98">
        <f t="shared" si="14"/>
        <v>12</v>
      </c>
      <c r="N128" s="98">
        <v>100</v>
      </c>
      <c r="O128" s="95">
        <v>10</v>
      </c>
      <c r="P128" s="98">
        <f t="shared" si="29"/>
        <v>1.2</v>
      </c>
      <c r="Q128" s="99">
        <f>IFERROR(VLOOKUP(I128,'Raw material list'!$A$3:$F$695,6,0),"")</f>
        <v>0.08</v>
      </c>
      <c r="R128" s="100">
        <f t="shared" si="30"/>
        <v>9.6000000000000002E-2</v>
      </c>
      <c r="S128" s="94">
        <f t="shared" si="16"/>
        <v>9.6000000000000009E-3</v>
      </c>
      <c r="T128" s="94">
        <f t="shared" si="17"/>
        <v>0.1056</v>
      </c>
      <c r="U128" s="93">
        <f t="shared" si="18"/>
        <v>1.056E-2</v>
      </c>
      <c r="V128" s="93">
        <f t="shared" si="19"/>
        <v>1.0560000000000001E-3</v>
      </c>
      <c r="W128" s="93">
        <f t="shared" si="20"/>
        <v>1.0560000000000001E-3</v>
      </c>
      <c r="X128" s="93">
        <f t="shared" si="21"/>
        <v>0.118272</v>
      </c>
      <c r="Y128" s="116"/>
    </row>
    <row r="129" spans="1:25" s="90" customFormat="1">
      <c r="A129" s="95" t="s">
        <v>1609</v>
      </c>
      <c r="B129" s="95" t="s">
        <v>1668</v>
      </c>
      <c r="C129" s="95" t="s">
        <v>1427</v>
      </c>
      <c r="D129" s="101" t="s">
        <v>1454</v>
      </c>
      <c r="E129" s="101" t="s">
        <v>1455</v>
      </c>
      <c r="F129" s="95" t="s">
        <v>1671</v>
      </c>
      <c r="G129" s="101" t="s">
        <v>1591</v>
      </c>
      <c r="H129" s="101" t="str">
        <f>IFERROR(VLOOKUP(I129,'Raw material list'!$A$3:$C$695,3,0),"")</f>
        <v>DRS6-5376</v>
      </c>
      <c r="I129" s="97" t="s">
        <v>55</v>
      </c>
      <c r="J129" s="101" t="s">
        <v>111</v>
      </c>
      <c r="K129" s="101" t="str">
        <f>IFERROR(VLOOKUP(I129,'Raw material list'!$A$3:$E$695,5,0),"")</f>
        <v xml:space="preserve">Gram </v>
      </c>
      <c r="L129" s="95">
        <v>3</v>
      </c>
      <c r="M129" s="98">
        <f t="shared" si="14"/>
        <v>3</v>
      </c>
      <c r="N129" s="98">
        <v>100</v>
      </c>
      <c r="O129" s="95">
        <v>10</v>
      </c>
      <c r="P129" s="98">
        <f t="shared" si="29"/>
        <v>0.3</v>
      </c>
      <c r="Q129" s="99">
        <f>IFERROR(VLOOKUP(I129,'Raw material list'!$A$3:$F$695,6,0),"")</f>
        <v>2.8000000000000001E-2</v>
      </c>
      <c r="R129" s="100">
        <f t="shared" si="30"/>
        <v>8.3999999999999995E-3</v>
      </c>
      <c r="S129" s="94">
        <f t="shared" si="16"/>
        <v>8.4000000000000003E-4</v>
      </c>
      <c r="T129" s="94">
        <f t="shared" si="17"/>
        <v>9.2399999999999999E-3</v>
      </c>
      <c r="U129" s="93">
        <f t="shared" si="18"/>
        <v>9.2400000000000002E-4</v>
      </c>
      <c r="V129" s="93">
        <f t="shared" si="19"/>
        <v>9.2399999999999996E-5</v>
      </c>
      <c r="W129" s="93">
        <f t="shared" si="20"/>
        <v>9.2399999999999996E-5</v>
      </c>
      <c r="X129" s="93">
        <f t="shared" si="21"/>
        <v>1.0348799999999998E-2</v>
      </c>
      <c r="Y129" s="116"/>
    </row>
    <row r="130" spans="1:25" s="90" customFormat="1">
      <c r="A130" s="95" t="s">
        <v>1609</v>
      </c>
      <c r="B130" s="95" t="s">
        <v>1668</v>
      </c>
      <c r="C130" s="95" t="s">
        <v>1427</v>
      </c>
      <c r="D130" s="101" t="s">
        <v>1454</v>
      </c>
      <c r="E130" s="101" t="s">
        <v>1455</v>
      </c>
      <c r="F130" s="95" t="s">
        <v>1671</v>
      </c>
      <c r="G130" s="101" t="s">
        <v>1591</v>
      </c>
      <c r="H130" s="101" t="str">
        <f>IFERROR(VLOOKUP(I130,'Raw material list'!$A$3:$C$695,3,0),"")</f>
        <v>WAT-001</v>
      </c>
      <c r="I130" s="97" t="s">
        <v>1406</v>
      </c>
      <c r="J130" s="101" t="s">
        <v>161</v>
      </c>
      <c r="K130" s="101" t="str">
        <f>IFERROR(VLOOKUP(I130,'Raw material list'!$A$3:$E$695,5,0),"")</f>
        <v>Ml</v>
      </c>
      <c r="L130" s="95">
        <v>120</v>
      </c>
      <c r="M130" s="98">
        <f t="shared" si="14"/>
        <v>120</v>
      </c>
      <c r="N130" s="98">
        <v>100</v>
      </c>
      <c r="O130" s="95">
        <v>10</v>
      </c>
      <c r="P130" s="98">
        <f t="shared" si="29"/>
        <v>12</v>
      </c>
      <c r="Q130" s="99">
        <f>IFERROR(VLOOKUP(I130,'Raw material list'!$A$3:$F$695,6,0),"")</f>
        <v>8.0000000000000007E-5</v>
      </c>
      <c r="R130" s="100">
        <f t="shared" si="30"/>
        <v>9.6000000000000013E-4</v>
      </c>
      <c r="S130" s="94">
        <f t="shared" si="16"/>
        <v>9.6000000000000016E-5</v>
      </c>
      <c r="T130" s="94">
        <f t="shared" si="17"/>
        <v>1.0560000000000001E-3</v>
      </c>
      <c r="U130" s="93">
        <f t="shared" si="18"/>
        <v>1.0560000000000002E-4</v>
      </c>
      <c r="V130" s="93">
        <f t="shared" si="19"/>
        <v>1.0560000000000001E-5</v>
      </c>
      <c r="W130" s="93">
        <f t="shared" si="20"/>
        <v>1.0560000000000001E-5</v>
      </c>
      <c r="X130" s="93">
        <f t="shared" si="21"/>
        <v>1.18272E-3</v>
      </c>
      <c r="Y130" s="116"/>
    </row>
    <row r="131" spans="1:25" s="90" customFormat="1">
      <c r="A131" s="95" t="s">
        <v>1609</v>
      </c>
      <c r="B131" s="95" t="s">
        <v>1668</v>
      </c>
      <c r="C131" s="95" t="s">
        <v>1427</v>
      </c>
      <c r="D131" s="101" t="s">
        <v>1454</v>
      </c>
      <c r="E131" s="101" t="s">
        <v>1455</v>
      </c>
      <c r="F131" s="95" t="s">
        <v>1670</v>
      </c>
      <c r="G131" s="101"/>
      <c r="H131" s="101" t="str">
        <f>IFERROR(VLOOKUP(I131,'Raw material list'!$A$3:$C$695,3,0),"")</f>
        <v>DRS2-4321</v>
      </c>
      <c r="I131" s="97" t="s">
        <v>526</v>
      </c>
      <c r="J131" s="101" t="s">
        <v>111</v>
      </c>
      <c r="K131" s="101" t="str">
        <f>IFERROR(VLOOKUP(I131,'Raw material list'!$A$3:$E$695,5,0),"")</f>
        <v xml:space="preserve">Gram </v>
      </c>
      <c r="L131" s="95">
        <v>700</v>
      </c>
      <c r="M131" s="98">
        <f t="shared" si="14"/>
        <v>700</v>
      </c>
      <c r="N131" s="98">
        <v>100</v>
      </c>
      <c r="O131" s="95">
        <v>10</v>
      </c>
      <c r="P131" s="98">
        <f t="shared" si="24"/>
        <v>70</v>
      </c>
      <c r="Q131" s="99">
        <f>IFERROR(VLOOKUP(I131,'Raw material list'!$A$3:$F$695,6,0),"")</f>
        <v>8.0299999999999989E-3</v>
      </c>
      <c r="R131" s="100">
        <f t="shared" si="28"/>
        <v>0.56209999999999993</v>
      </c>
      <c r="S131" s="94">
        <f t="shared" si="16"/>
        <v>5.6209999999999996E-2</v>
      </c>
      <c r="T131" s="94">
        <f t="shared" si="17"/>
        <v>0.61830999999999992</v>
      </c>
      <c r="U131" s="93">
        <f t="shared" si="18"/>
        <v>6.1830999999999997E-2</v>
      </c>
      <c r="V131" s="93">
        <f t="shared" si="19"/>
        <v>6.1830999999999995E-3</v>
      </c>
      <c r="W131" s="93">
        <f t="shared" si="20"/>
        <v>6.1830999999999995E-3</v>
      </c>
      <c r="X131" s="93">
        <f t="shared" si="21"/>
        <v>0.69250719999999988</v>
      </c>
      <c r="Y131" s="115"/>
    </row>
    <row r="132" spans="1:25" s="90" customFormat="1">
      <c r="A132" s="95" t="s">
        <v>1609</v>
      </c>
      <c r="B132" s="95" t="s">
        <v>1668</v>
      </c>
      <c r="C132" s="95" t="s">
        <v>1427</v>
      </c>
      <c r="D132" s="101" t="s">
        <v>1454</v>
      </c>
      <c r="E132" s="101" t="s">
        <v>1455</v>
      </c>
      <c r="F132" s="95" t="s">
        <v>1670</v>
      </c>
      <c r="G132" s="101" t="s">
        <v>1456</v>
      </c>
      <c r="H132" s="101" t="str">
        <f>IFERROR(VLOOKUP(I132,'Raw material list'!$A$3:$C$695,3,0),"")</f>
        <v>DRY2-1008</v>
      </c>
      <c r="I132" s="97" t="s">
        <v>21</v>
      </c>
      <c r="J132" s="101" t="s">
        <v>111</v>
      </c>
      <c r="K132" s="101" t="str">
        <f>IFERROR(VLOOKUP(I132,'Raw material list'!$A$3:$E$695,5,0),"")</f>
        <v xml:space="preserve">Gram </v>
      </c>
      <c r="L132" s="95">
        <v>30</v>
      </c>
      <c r="M132" s="98">
        <f t="shared" si="14"/>
        <v>30</v>
      </c>
      <c r="N132" s="98">
        <v>100</v>
      </c>
      <c r="O132" s="95">
        <v>10</v>
      </c>
      <c r="P132" s="98">
        <f t="shared" si="24"/>
        <v>3</v>
      </c>
      <c r="Q132" s="99">
        <f>IFERROR(VLOOKUP(I132,'Raw material list'!$A$3:$F$695,6,0),"")</f>
        <v>3.7999999999999999E-2</v>
      </c>
      <c r="R132" s="100">
        <f t="shared" si="28"/>
        <v>0.11399999999999999</v>
      </c>
      <c r="S132" s="94">
        <f t="shared" si="16"/>
        <v>1.14E-2</v>
      </c>
      <c r="T132" s="94">
        <f t="shared" si="17"/>
        <v>0.12539999999999998</v>
      </c>
      <c r="U132" s="93">
        <f t="shared" si="18"/>
        <v>1.2539999999999999E-2</v>
      </c>
      <c r="V132" s="93">
        <f t="shared" si="19"/>
        <v>1.2539999999999999E-3</v>
      </c>
      <c r="W132" s="93">
        <f t="shared" si="20"/>
        <v>1.2539999999999999E-3</v>
      </c>
      <c r="X132" s="93">
        <f t="shared" si="21"/>
        <v>0.14044799999999999</v>
      </c>
      <c r="Y132" s="115"/>
    </row>
    <row r="133" spans="1:25" s="90" customFormat="1">
      <c r="A133" s="95" t="s">
        <v>1609</v>
      </c>
      <c r="B133" s="95" t="s">
        <v>1668</v>
      </c>
      <c r="C133" s="95" t="s">
        <v>1427</v>
      </c>
      <c r="D133" s="101" t="s">
        <v>1454</v>
      </c>
      <c r="E133" s="101" t="s">
        <v>1455</v>
      </c>
      <c r="F133" s="95" t="s">
        <v>1670</v>
      </c>
      <c r="G133" s="101" t="s">
        <v>1456</v>
      </c>
      <c r="H133" s="101" t="str">
        <f>IFERROR(VLOOKUP(I133,'Raw material list'!$A$3:$C$695,3,0),"")</f>
        <v>DRS6-1727</v>
      </c>
      <c r="I133" s="97" t="s">
        <v>41</v>
      </c>
      <c r="J133" s="101" t="s">
        <v>111</v>
      </c>
      <c r="K133" s="101" t="str">
        <f>IFERROR(VLOOKUP(I133,'Raw material list'!$A$3:$E$695,5,0),"")</f>
        <v xml:space="preserve">Gram </v>
      </c>
      <c r="L133" s="95">
        <v>10</v>
      </c>
      <c r="M133" s="98">
        <f t="shared" si="14"/>
        <v>10</v>
      </c>
      <c r="N133" s="98">
        <v>100</v>
      </c>
      <c r="O133" s="95">
        <v>10</v>
      </c>
      <c r="P133" s="98">
        <f t="shared" si="24"/>
        <v>1</v>
      </c>
      <c r="Q133" s="99">
        <f>IFERROR(VLOOKUP(I133,'Raw material list'!$A$3:$F$695,6,0),"")</f>
        <v>2.5000000000000001E-2</v>
      </c>
      <c r="R133" s="100">
        <f t="shared" si="28"/>
        <v>2.5000000000000001E-2</v>
      </c>
      <c r="S133" s="94">
        <f t="shared" si="16"/>
        <v>2.5000000000000005E-3</v>
      </c>
      <c r="T133" s="94">
        <f t="shared" si="17"/>
        <v>2.7500000000000004E-2</v>
      </c>
      <c r="U133" s="93">
        <f t="shared" si="18"/>
        <v>2.7500000000000007E-3</v>
      </c>
      <c r="V133" s="93">
        <f t="shared" si="19"/>
        <v>2.7500000000000002E-4</v>
      </c>
      <c r="W133" s="93">
        <f t="shared" si="20"/>
        <v>2.7500000000000002E-4</v>
      </c>
      <c r="X133" s="93">
        <f t="shared" si="21"/>
        <v>3.0800000000000008E-2</v>
      </c>
      <c r="Y133" s="115"/>
    </row>
    <row r="134" spans="1:25" s="90" customFormat="1">
      <c r="A134" s="95" t="s">
        <v>1609</v>
      </c>
      <c r="B134" s="95" t="s">
        <v>1668</v>
      </c>
      <c r="C134" s="95" t="s">
        <v>1427</v>
      </c>
      <c r="D134" s="101" t="s">
        <v>1454</v>
      </c>
      <c r="E134" s="101" t="s">
        <v>1455</v>
      </c>
      <c r="F134" s="101" t="s">
        <v>1670</v>
      </c>
      <c r="G134" s="101" t="s">
        <v>1456</v>
      </c>
      <c r="H134" s="101" t="str">
        <f>IFERROR(VLOOKUP(I134,'Raw material list'!$A$3:$C$695,3,0),"")</f>
        <v>PRD1-194</v>
      </c>
      <c r="I134" s="97" t="s">
        <v>991</v>
      </c>
      <c r="J134" s="101" t="s">
        <v>111</v>
      </c>
      <c r="K134" s="101" t="str">
        <f>IFERROR(VLOOKUP(I134,'Raw material list'!$A$3:$E$695,5,0),"")</f>
        <v xml:space="preserve">Gram </v>
      </c>
      <c r="L134" s="95">
        <v>10</v>
      </c>
      <c r="M134" s="98">
        <f t="shared" ref="M134:M197" si="31">L134/N134*100</f>
        <v>10.869565217391305</v>
      </c>
      <c r="N134" s="133">
        <v>92</v>
      </c>
      <c r="O134" s="95">
        <v>10</v>
      </c>
      <c r="P134" s="98">
        <f t="shared" si="24"/>
        <v>1</v>
      </c>
      <c r="Q134" s="99">
        <f>IFERROR(VLOOKUP(I134,'Raw material list'!$A$3:$F$695,6,0),"")</f>
        <v>0.11</v>
      </c>
      <c r="R134" s="100">
        <f t="shared" si="28"/>
        <v>0.11</v>
      </c>
      <c r="S134" s="94">
        <f t="shared" ref="S134:S197" si="32">R134*10%</f>
        <v>1.1000000000000001E-2</v>
      </c>
      <c r="T134" s="94">
        <f t="shared" ref="T134:T197" si="33">R134+S134</f>
        <v>0.121</v>
      </c>
      <c r="U134" s="93">
        <f t="shared" ref="U134:U197" si="34">T134*10%</f>
        <v>1.21E-2</v>
      </c>
      <c r="V134" s="93">
        <f t="shared" ref="V134:V197" si="35">T134*1%</f>
        <v>1.2099999999999999E-3</v>
      </c>
      <c r="W134" s="93">
        <f t="shared" ref="W134:W197" si="36">T134*1%</f>
        <v>1.2099999999999999E-3</v>
      </c>
      <c r="X134" s="93">
        <f t="shared" ref="X134:X197" si="37">T134+U134+V134+W134</f>
        <v>0.13551999999999997</v>
      </c>
      <c r="Y134" s="115"/>
    </row>
    <row r="135" spans="1:25" s="90" customFormat="1">
      <c r="A135" s="95" t="s">
        <v>1609</v>
      </c>
      <c r="B135" s="95" t="s">
        <v>1668</v>
      </c>
      <c r="C135" s="95" t="s">
        <v>1427</v>
      </c>
      <c r="D135" s="101" t="s">
        <v>1454</v>
      </c>
      <c r="E135" s="101" t="s">
        <v>1455</v>
      </c>
      <c r="F135" s="101" t="s">
        <v>1670</v>
      </c>
      <c r="G135" s="101" t="s">
        <v>1457</v>
      </c>
      <c r="H135" s="101" t="str">
        <f>IFERROR(VLOOKUP(I135,'Raw material list'!$A$3:$C$695,3,0),"")</f>
        <v>DRY2-1008</v>
      </c>
      <c r="I135" s="97" t="s">
        <v>21</v>
      </c>
      <c r="J135" s="101" t="s">
        <v>111</v>
      </c>
      <c r="K135" s="101" t="str">
        <f>IFERROR(VLOOKUP(I135,'Raw material list'!$A$3:$E$695,5,0),"")</f>
        <v xml:space="preserve">Gram </v>
      </c>
      <c r="L135" s="95">
        <v>17.239999999999998</v>
      </c>
      <c r="M135" s="98">
        <f t="shared" si="31"/>
        <v>17.239999999999998</v>
      </c>
      <c r="N135" s="98">
        <v>100</v>
      </c>
      <c r="O135" s="95">
        <v>10</v>
      </c>
      <c r="P135" s="98">
        <f t="shared" si="24"/>
        <v>1.7239999999999998</v>
      </c>
      <c r="Q135" s="99">
        <f>IFERROR(VLOOKUP(I135,'Raw material list'!$A$3:$F$695,6,0),"")</f>
        <v>3.7999999999999999E-2</v>
      </c>
      <c r="R135" s="100">
        <f t="shared" si="28"/>
        <v>6.5511999999999987E-2</v>
      </c>
      <c r="S135" s="94">
        <f t="shared" si="32"/>
        <v>6.5511999999999992E-3</v>
      </c>
      <c r="T135" s="94">
        <f t="shared" si="33"/>
        <v>7.206319999999998E-2</v>
      </c>
      <c r="U135" s="93">
        <f t="shared" si="34"/>
        <v>7.2063199999999987E-3</v>
      </c>
      <c r="V135" s="93">
        <f t="shared" si="35"/>
        <v>7.206319999999998E-4</v>
      </c>
      <c r="W135" s="93">
        <f t="shared" si="36"/>
        <v>7.206319999999998E-4</v>
      </c>
      <c r="X135" s="93">
        <f t="shared" si="37"/>
        <v>8.071078399999998E-2</v>
      </c>
      <c r="Y135" s="115"/>
    </row>
    <row r="136" spans="1:25" s="90" customFormat="1">
      <c r="A136" s="95" t="s">
        <v>1609</v>
      </c>
      <c r="B136" s="95" t="s">
        <v>1668</v>
      </c>
      <c r="C136" s="95" t="s">
        <v>1427</v>
      </c>
      <c r="D136" s="101" t="s">
        <v>1454</v>
      </c>
      <c r="E136" s="101" t="s">
        <v>1455</v>
      </c>
      <c r="F136" s="101" t="s">
        <v>1670</v>
      </c>
      <c r="G136" s="101" t="s">
        <v>1457</v>
      </c>
      <c r="H136" s="101" t="str">
        <f>IFERROR(VLOOKUP(I136,'Raw material list'!$A$3:$C$695,3,0),"")</f>
        <v>PRD1-4265</v>
      </c>
      <c r="I136" s="97" t="s">
        <v>10</v>
      </c>
      <c r="J136" s="101" t="s">
        <v>111</v>
      </c>
      <c r="K136" s="101" t="str">
        <f>IFERROR(VLOOKUP(I136,'Raw material list'!$A$3:$E$695,5,0),"")</f>
        <v xml:space="preserve">Gram </v>
      </c>
      <c r="L136" s="95">
        <v>12.93</v>
      </c>
      <c r="M136" s="98">
        <f t="shared" si="31"/>
        <v>15.211764705882352</v>
      </c>
      <c r="N136" s="98">
        <v>85</v>
      </c>
      <c r="O136" s="95">
        <v>10</v>
      </c>
      <c r="P136" s="98">
        <f t="shared" si="24"/>
        <v>1.2929999999999999</v>
      </c>
      <c r="Q136" s="99">
        <f>IFERROR(VLOOKUP(I136,'Raw material list'!$A$3:$F$695,6,0),"")</f>
        <v>3.529411764705882E-3</v>
      </c>
      <c r="R136" s="100">
        <f t="shared" si="28"/>
        <v>4.563529411764705E-3</v>
      </c>
      <c r="S136" s="94">
        <f t="shared" si="32"/>
        <v>4.5635294117647051E-4</v>
      </c>
      <c r="T136" s="94">
        <f t="shared" si="33"/>
        <v>5.0198823529411752E-3</v>
      </c>
      <c r="U136" s="93">
        <f t="shared" si="34"/>
        <v>5.019882352941175E-4</v>
      </c>
      <c r="V136" s="93">
        <f t="shared" si="35"/>
        <v>5.0198823529411754E-5</v>
      </c>
      <c r="W136" s="93">
        <f t="shared" si="36"/>
        <v>5.0198823529411754E-5</v>
      </c>
      <c r="X136" s="93">
        <f t="shared" si="37"/>
        <v>5.6222682352941164E-3</v>
      </c>
      <c r="Y136" s="115"/>
    </row>
    <row r="137" spans="1:25" s="90" customFormat="1">
      <c r="A137" s="95" t="s">
        <v>1609</v>
      </c>
      <c r="B137" s="95" t="s">
        <v>1668</v>
      </c>
      <c r="C137" s="95" t="s">
        <v>1427</v>
      </c>
      <c r="D137" s="101" t="s">
        <v>1454</v>
      </c>
      <c r="E137" s="101" t="s">
        <v>1455</v>
      </c>
      <c r="F137" s="101" t="s">
        <v>1670</v>
      </c>
      <c r="G137" s="101" t="s">
        <v>1457</v>
      </c>
      <c r="H137" s="101" t="str">
        <f>IFERROR(VLOOKUP(I137,'Raw material list'!$A$3:$C$695,3,0),"")</f>
        <v>PRD1-4327</v>
      </c>
      <c r="I137" s="97" t="s">
        <v>11</v>
      </c>
      <c r="J137" s="101" t="s">
        <v>111</v>
      </c>
      <c r="K137" s="101" t="str">
        <f>IFERROR(VLOOKUP(I137,'Raw material list'!$A$3:$E$695,5,0),"")</f>
        <v xml:space="preserve">Gram </v>
      </c>
      <c r="L137" s="95">
        <v>4.3099999999999996</v>
      </c>
      <c r="M137" s="98">
        <f t="shared" si="31"/>
        <v>5.3874999999999993</v>
      </c>
      <c r="N137" s="133">
        <v>80</v>
      </c>
      <c r="O137" s="95">
        <v>10</v>
      </c>
      <c r="P137" s="98">
        <f t="shared" si="24"/>
        <v>0.43099999999999994</v>
      </c>
      <c r="Q137" s="99">
        <f>IFERROR(VLOOKUP(I137,'Raw material list'!$A$3:$F$695,6,0),"")</f>
        <v>1.2999999999999999E-2</v>
      </c>
      <c r="R137" s="100">
        <f t="shared" si="28"/>
        <v>5.6029999999999986E-3</v>
      </c>
      <c r="S137" s="94">
        <f t="shared" si="32"/>
        <v>5.602999999999999E-4</v>
      </c>
      <c r="T137" s="94">
        <f t="shared" si="33"/>
        <v>6.1632999999999983E-3</v>
      </c>
      <c r="U137" s="93">
        <f t="shared" si="34"/>
        <v>6.1632999999999989E-4</v>
      </c>
      <c r="V137" s="93">
        <f t="shared" si="35"/>
        <v>6.1632999999999984E-5</v>
      </c>
      <c r="W137" s="93">
        <f t="shared" si="36"/>
        <v>6.1632999999999984E-5</v>
      </c>
      <c r="X137" s="93">
        <f t="shared" si="37"/>
        <v>6.9028959999999986E-3</v>
      </c>
      <c r="Y137" s="115"/>
    </row>
    <row r="138" spans="1:25" s="90" customFormat="1">
      <c r="A138" s="95" t="s">
        <v>1609</v>
      </c>
      <c r="B138" s="95" t="s">
        <v>1668</v>
      </c>
      <c r="C138" s="95" t="s">
        <v>1427</v>
      </c>
      <c r="D138" s="101" t="s">
        <v>1454</v>
      </c>
      <c r="E138" s="101" t="s">
        <v>1455</v>
      </c>
      <c r="F138" s="101" t="s">
        <v>1670</v>
      </c>
      <c r="G138" s="101" t="s">
        <v>1457</v>
      </c>
      <c r="H138" s="101" t="str">
        <f>IFERROR(VLOOKUP(I138,'Raw material list'!$A$3:$C$695,3,0),"")</f>
        <v>PRD1-239</v>
      </c>
      <c r="I138" s="97" t="s">
        <v>51</v>
      </c>
      <c r="J138" s="101" t="s">
        <v>111</v>
      </c>
      <c r="K138" s="101" t="str">
        <f>IFERROR(VLOOKUP(I138,'Raw material list'!$A$3:$E$695,5,0),"")</f>
        <v xml:space="preserve">Gram </v>
      </c>
      <c r="L138" s="95">
        <v>17.239999999999998</v>
      </c>
      <c r="M138" s="98">
        <f t="shared" si="31"/>
        <v>25.603960396039604</v>
      </c>
      <c r="N138" s="133">
        <v>67.333333333333329</v>
      </c>
      <c r="O138" s="95">
        <v>10</v>
      </c>
      <c r="P138" s="98">
        <f t="shared" si="24"/>
        <v>1.7239999999999998</v>
      </c>
      <c r="Q138" s="99">
        <f>IFERROR(VLOOKUP(I138,'Raw material list'!$A$3:$F$695,6,0),"")</f>
        <v>6.6864784546805346E-3</v>
      </c>
      <c r="R138" s="100">
        <f t="shared" si="28"/>
        <v>1.1527488855869241E-2</v>
      </c>
      <c r="S138" s="94">
        <f t="shared" si="32"/>
        <v>1.1527488855869242E-3</v>
      </c>
      <c r="T138" s="94">
        <f t="shared" si="33"/>
        <v>1.2680237741456164E-2</v>
      </c>
      <c r="U138" s="93">
        <f t="shared" si="34"/>
        <v>1.2680237741456166E-3</v>
      </c>
      <c r="V138" s="93">
        <f t="shared" si="35"/>
        <v>1.2680237741456165E-4</v>
      </c>
      <c r="W138" s="93">
        <f t="shared" si="36"/>
        <v>1.2680237741456165E-4</v>
      </c>
      <c r="X138" s="93">
        <f t="shared" si="37"/>
        <v>1.4201866270430904E-2</v>
      </c>
      <c r="Y138" s="115"/>
    </row>
    <row r="139" spans="1:25" s="90" customFormat="1">
      <c r="A139" s="95" t="s">
        <v>1609</v>
      </c>
      <c r="B139" s="95" t="s">
        <v>1668</v>
      </c>
      <c r="C139" s="95" t="s">
        <v>1427</v>
      </c>
      <c r="D139" s="101" t="s">
        <v>1454</v>
      </c>
      <c r="E139" s="101" t="s">
        <v>1455</v>
      </c>
      <c r="F139" s="101" t="s">
        <v>1670</v>
      </c>
      <c r="G139" s="101" t="s">
        <v>1457</v>
      </c>
      <c r="H139" s="101" t="str">
        <f>IFERROR(VLOOKUP(I139,'Raw material list'!$A$3:$C$695,3,0),"")</f>
        <v>PRD1-179</v>
      </c>
      <c r="I139" s="97" t="s">
        <v>971</v>
      </c>
      <c r="J139" s="101" t="s">
        <v>111</v>
      </c>
      <c r="K139" s="101" t="str">
        <f>IFERROR(VLOOKUP(I139,'Raw material list'!$A$3:$E$695,5,0),"")</f>
        <v xml:space="preserve">Gram </v>
      </c>
      <c r="L139" s="95">
        <v>0.34</v>
      </c>
      <c r="M139" s="98">
        <f t="shared" si="31"/>
        <v>0.34</v>
      </c>
      <c r="N139" s="98">
        <v>100</v>
      </c>
      <c r="O139" s="95">
        <v>10</v>
      </c>
      <c r="P139" s="98">
        <f t="shared" si="24"/>
        <v>3.4000000000000002E-2</v>
      </c>
      <c r="Q139" s="99">
        <f>IFERROR(VLOOKUP(I139,'Raw material list'!$A$3:$F$695,6,0),"")</f>
        <v>8.9999999999999993E-3</v>
      </c>
      <c r="R139" s="100">
        <f t="shared" si="28"/>
        <v>3.0600000000000001E-4</v>
      </c>
      <c r="S139" s="94">
        <f t="shared" si="32"/>
        <v>3.0600000000000005E-5</v>
      </c>
      <c r="T139" s="94">
        <f t="shared" si="33"/>
        <v>3.366E-4</v>
      </c>
      <c r="U139" s="93">
        <f t="shared" si="34"/>
        <v>3.366E-5</v>
      </c>
      <c r="V139" s="93">
        <f t="shared" si="35"/>
        <v>3.366E-6</v>
      </c>
      <c r="W139" s="93">
        <f t="shared" si="36"/>
        <v>3.366E-6</v>
      </c>
      <c r="X139" s="93">
        <f t="shared" si="37"/>
        <v>3.7699199999999993E-4</v>
      </c>
      <c r="Y139" s="115"/>
    </row>
    <row r="140" spans="1:25" s="90" customFormat="1">
      <c r="A140" s="95" t="s">
        <v>1609</v>
      </c>
      <c r="B140" s="95" t="s">
        <v>1668</v>
      </c>
      <c r="C140" s="95" t="s">
        <v>1427</v>
      </c>
      <c r="D140" s="101" t="s">
        <v>1454</v>
      </c>
      <c r="E140" s="101" t="s">
        <v>1455</v>
      </c>
      <c r="F140" s="101" t="s">
        <v>1670</v>
      </c>
      <c r="G140" s="101" t="s">
        <v>1457</v>
      </c>
      <c r="H140" s="101" t="str">
        <f>IFERROR(VLOOKUP(I140,'Raw material list'!$A$3:$C$695,3,0),"")</f>
        <v>DRS6-5088</v>
      </c>
      <c r="I140" s="97" t="s">
        <v>668</v>
      </c>
      <c r="J140" s="101" t="s">
        <v>111</v>
      </c>
      <c r="K140" s="101" t="str">
        <f>IFERROR(VLOOKUP(I140,'Raw material list'!$A$3:$E$695,5,0),"")</f>
        <v xml:space="preserve">Gram </v>
      </c>
      <c r="L140" s="95">
        <v>2.58</v>
      </c>
      <c r="M140" s="98">
        <f t="shared" si="31"/>
        <v>2.58</v>
      </c>
      <c r="N140" s="98">
        <v>100</v>
      </c>
      <c r="O140" s="95">
        <v>10</v>
      </c>
      <c r="P140" s="98">
        <f t="shared" si="24"/>
        <v>0.25800000000000001</v>
      </c>
      <c r="Q140" s="99">
        <f>IFERROR(VLOOKUP(I140,'Raw material list'!$A$3:$F$695,6,0),"")</f>
        <v>0.08</v>
      </c>
      <c r="R140" s="100">
        <f t="shared" si="28"/>
        <v>2.0640000000000002E-2</v>
      </c>
      <c r="S140" s="94">
        <f t="shared" si="32"/>
        <v>2.0640000000000003E-3</v>
      </c>
      <c r="T140" s="94">
        <f t="shared" si="33"/>
        <v>2.2704000000000002E-2</v>
      </c>
      <c r="U140" s="93">
        <f t="shared" si="34"/>
        <v>2.2704000000000001E-3</v>
      </c>
      <c r="V140" s="93">
        <f t="shared" si="35"/>
        <v>2.2704000000000002E-4</v>
      </c>
      <c r="W140" s="93">
        <f t="shared" si="36"/>
        <v>2.2704000000000002E-4</v>
      </c>
      <c r="X140" s="93">
        <f t="shared" si="37"/>
        <v>2.5428480000000003E-2</v>
      </c>
      <c r="Y140" s="115"/>
    </row>
    <row r="141" spans="1:25" s="90" customFormat="1">
      <c r="A141" s="95" t="s">
        <v>1609</v>
      </c>
      <c r="B141" s="95" t="s">
        <v>1668</v>
      </c>
      <c r="C141" s="95" t="s">
        <v>1427</v>
      </c>
      <c r="D141" s="101" t="s">
        <v>1454</v>
      </c>
      <c r="E141" s="101" t="s">
        <v>1455</v>
      </c>
      <c r="F141" s="101" t="s">
        <v>1670</v>
      </c>
      <c r="G141" s="101" t="s">
        <v>1457</v>
      </c>
      <c r="H141" s="101" t="str">
        <f>IFERROR(VLOOKUP(I141,'Raw material list'!$A$3:$C$695,3,0),"")</f>
        <v>DRS6-733</v>
      </c>
      <c r="I141" s="97" t="s">
        <v>60</v>
      </c>
      <c r="J141" s="101" t="s">
        <v>111</v>
      </c>
      <c r="K141" s="101" t="str">
        <f>IFERROR(VLOOKUP(I141,'Raw material list'!$A$3:$E$695,5,0),"")</f>
        <v xml:space="preserve">Gram </v>
      </c>
      <c r="L141" s="95">
        <v>1.48</v>
      </c>
      <c r="M141" s="98">
        <f t="shared" si="31"/>
        <v>1.48</v>
      </c>
      <c r="N141" s="98">
        <v>100</v>
      </c>
      <c r="O141" s="95">
        <v>10</v>
      </c>
      <c r="P141" s="98">
        <f t="shared" si="24"/>
        <v>0.14799999999999999</v>
      </c>
      <c r="Q141" s="99">
        <f>IFERROR(VLOOKUP(I141,'Raw material list'!$A$3:$F$695,6,0),"")</f>
        <v>2.8000000000000001E-2</v>
      </c>
      <c r="R141" s="100">
        <f t="shared" si="28"/>
        <v>4.1440000000000001E-3</v>
      </c>
      <c r="S141" s="94">
        <f t="shared" si="32"/>
        <v>4.1440000000000004E-4</v>
      </c>
      <c r="T141" s="94">
        <f t="shared" si="33"/>
        <v>4.5583999999999998E-3</v>
      </c>
      <c r="U141" s="93">
        <f t="shared" si="34"/>
        <v>4.5584E-4</v>
      </c>
      <c r="V141" s="93">
        <f t="shared" si="35"/>
        <v>4.5583999999999996E-5</v>
      </c>
      <c r="W141" s="93">
        <f t="shared" si="36"/>
        <v>4.5583999999999996E-5</v>
      </c>
      <c r="X141" s="93">
        <f t="shared" si="37"/>
        <v>5.1054080000000005E-3</v>
      </c>
      <c r="Y141" s="115"/>
    </row>
    <row r="142" spans="1:25" s="90" customFormat="1">
      <c r="A142" s="95" t="s">
        <v>1609</v>
      </c>
      <c r="B142" s="95" t="s">
        <v>1668</v>
      </c>
      <c r="C142" s="95" t="s">
        <v>1427</v>
      </c>
      <c r="D142" s="101" t="s">
        <v>1454</v>
      </c>
      <c r="E142" s="101" t="s">
        <v>1455</v>
      </c>
      <c r="F142" s="101" t="s">
        <v>1670</v>
      </c>
      <c r="G142" s="101" t="s">
        <v>1457</v>
      </c>
      <c r="H142" s="101" t="str">
        <f>IFERROR(VLOOKUP(I142,'Raw material list'!$A$3:$C$695,3,0),"")</f>
        <v>DRS6-1674</v>
      </c>
      <c r="I142" s="97" t="s">
        <v>47</v>
      </c>
      <c r="J142" s="101" t="s">
        <v>111</v>
      </c>
      <c r="K142" s="101" t="str">
        <f>IFERROR(VLOOKUP(I142,'Raw material list'!$A$3:$E$695,5,0),"")</f>
        <v xml:space="preserve">Gram </v>
      </c>
      <c r="L142" s="95">
        <v>0.51</v>
      </c>
      <c r="M142" s="98">
        <f t="shared" si="31"/>
        <v>0.51</v>
      </c>
      <c r="N142" s="98">
        <v>100</v>
      </c>
      <c r="O142" s="95">
        <v>10</v>
      </c>
      <c r="P142" s="98">
        <f t="shared" si="24"/>
        <v>5.1000000000000004E-2</v>
      </c>
      <c r="Q142" s="99">
        <f>IFERROR(VLOOKUP(I142,'Raw material list'!$A$3:$F$695,6,0),"")</f>
        <v>1.6E-2</v>
      </c>
      <c r="R142" s="100">
        <f t="shared" si="28"/>
        <v>8.160000000000001E-4</v>
      </c>
      <c r="S142" s="94">
        <f t="shared" si="32"/>
        <v>8.1600000000000018E-5</v>
      </c>
      <c r="T142" s="94">
        <f t="shared" si="33"/>
        <v>8.9760000000000013E-4</v>
      </c>
      <c r="U142" s="93">
        <f t="shared" si="34"/>
        <v>8.9760000000000022E-5</v>
      </c>
      <c r="V142" s="93">
        <f t="shared" si="35"/>
        <v>8.9760000000000018E-6</v>
      </c>
      <c r="W142" s="93">
        <f t="shared" si="36"/>
        <v>8.9760000000000018E-6</v>
      </c>
      <c r="X142" s="93">
        <f t="shared" si="37"/>
        <v>1.005312E-3</v>
      </c>
      <c r="Y142" s="115"/>
    </row>
    <row r="143" spans="1:25" s="90" customFormat="1">
      <c r="A143" s="95" t="s">
        <v>1609</v>
      </c>
      <c r="B143" s="95" t="s">
        <v>1668</v>
      </c>
      <c r="C143" s="95" t="s">
        <v>1427</v>
      </c>
      <c r="D143" s="101" t="s">
        <v>1454</v>
      </c>
      <c r="E143" s="101" t="s">
        <v>1455</v>
      </c>
      <c r="F143" s="101" t="s">
        <v>1670</v>
      </c>
      <c r="G143" s="101" t="s">
        <v>1457</v>
      </c>
      <c r="H143" s="101" t="str">
        <f>IFERROR(VLOOKUP(I143,'Raw material list'!$A$3:$C$695,3,0),"")</f>
        <v>DRS1-607</v>
      </c>
      <c r="I143" s="97" t="s">
        <v>207</v>
      </c>
      <c r="J143" s="101" t="s">
        <v>111</v>
      </c>
      <c r="K143" s="101" t="str">
        <f>IFERROR(VLOOKUP(I143,'Raw material list'!$A$3:$E$695,5,0),"")</f>
        <v xml:space="preserve">Gram </v>
      </c>
      <c r="L143" s="95">
        <v>431.03</v>
      </c>
      <c r="M143" s="98">
        <f t="shared" si="31"/>
        <v>431.03</v>
      </c>
      <c r="N143" s="98">
        <v>100</v>
      </c>
      <c r="O143" s="95">
        <v>10</v>
      </c>
      <c r="P143" s="98">
        <f t="shared" si="24"/>
        <v>43.102999999999994</v>
      </c>
      <c r="Q143" s="99">
        <f>IFERROR(VLOOKUP(I143,'Raw material list'!$A$3:$F$695,6,0),"")</f>
        <v>5.8823529411764714E-3</v>
      </c>
      <c r="R143" s="100">
        <f t="shared" ref="R143:R174" si="38">IFERROR(Q143*P143,0)</f>
        <v>0.2535470588235294</v>
      </c>
      <c r="S143" s="94">
        <f t="shared" si="32"/>
        <v>2.5354705882352942E-2</v>
      </c>
      <c r="T143" s="94">
        <f t="shared" si="33"/>
        <v>0.27890176470588235</v>
      </c>
      <c r="U143" s="93">
        <f t="shared" si="34"/>
        <v>2.7890176470588238E-2</v>
      </c>
      <c r="V143" s="93">
        <f t="shared" si="35"/>
        <v>2.7890176470588236E-3</v>
      </c>
      <c r="W143" s="93">
        <f t="shared" si="36"/>
        <v>2.7890176470588236E-3</v>
      </c>
      <c r="X143" s="93">
        <f t="shared" si="37"/>
        <v>0.31236997647058817</v>
      </c>
      <c r="Y143" s="115"/>
    </row>
    <row r="144" spans="1:25" s="90" customFormat="1">
      <c r="A144" s="95" t="s">
        <v>1609</v>
      </c>
      <c r="B144" s="95" t="s">
        <v>1668</v>
      </c>
      <c r="C144" s="95" t="s">
        <v>1427</v>
      </c>
      <c r="D144" s="101" t="s">
        <v>1454</v>
      </c>
      <c r="E144" s="101" t="s">
        <v>1455</v>
      </c>
      <c r="F144" s="101" t="s">
        <v>1670</v>
      </c>
      <c r="G144" s="101" t="s">
        <v>1457</v>
      </c>
      <c r="H144" s="101" t="str">
        <f>IFERROR(VLOOKUP(I144,'Raw material list'!$A$3:$C$695,3,0),"")</f>
        <v>DRS6-537</v>
      </c>
      <c r="I144" s="97" t="s">
        <v>25</v>
      </c>
      <c r="J144" s="101" t="s">
        <v>111</v>
      </c>
      <c r="K144" s="101" t="str">
        <f>IFERROR(VLOOKUP(I144,'Raw material list'!$A$3:$E$695,5,0),"")</f>
        <v xml:space="preserve">Gram </v>
      </c>
      <c r="L144" s="95">
        <v>0.17</v>
      </c>
      <c r="M144" s="98">
        <f t="shared" si="31"/>
        <v>0.17</v>
      </c>
      <c r="N144" s="98">
        <v>100</v>
      </c>
      <c r="O144" s="95">
        <v>10</v>
      </c>
      <c r="P144" s="98">
        <f t="shared" si="24"/>
        <v>1.7000000000000001E-2</v>
      </c>
      <c r="Q144" s="99">
        <f>IFERROR(VLOOKUP(I144,'Raw material list'!$A$3:$F$695,6,0),"")</f>
        <v>3.5000000000000003E-2</v>
      </c>
      <c r="R144" s="100">
        <f t="shared" si="38"/>
        <v>5.9500000000000015E-4</v>
      </c>
      <c r="S144" s="94">
        <f t="shared" si="32"/>
        <v>5.9500000000000016E-5</v>
      </c>
      <c r="T144" s="94">
        <f t="shared" si="33"/>
        <v>6.5450000000000013E-4</v>
      </c>
      <c r="U144" s="93">
        <f t="shared" si="34"/>
        <v>6.5450000000000019E-5</v>
      </c>
      <c r="V144" s="93">
        <f t="shared" si="35"/>
        <v>6.5450000000000017E-6</v>
      </c>
      <c r="W144" s="93">
        <f t="shared" si="36"/>
        <v>6.5450000000000017E-6</v>
      </c>
      <c r="X144" s="93">
        <f t="shared" si="37"/>
        <v>7.3304000000000023E-4</v>
      </c>
      <c r="Y144" s="115"/>
    </row>
    <row r="145" spans="1:25" s="90" customFormat="1">
      <c r="A145" s="95" t="s">
        <v>1609</v>
      </c>
      <c r="B145" s="95" t="s">
        <v>1668</v>
      </c>
      <c r="C145" s="95" t="s">
        <v>1427</v>
      </c>
      <c r="D145" s="101" t="s">
        <v>1454</v>
      </c>
      <c r="E145" s="101" t="s">
        <v>1455</v>
      </c>
      <c r="F145" s="101" t="s">
        <v>1670</v>
      </c>
      <c r="G145" s="101" t="s">
        <v>1457</v>
      </c>
      <c r="H145" s="101" t="str">
        <f>IFERROR(VLOOKUP(I145,'Raw material list'!$A$3:$C$695,3,0),"")</f>
        <v>DRS1-114</v>
      </c>
      <c r="I145" s="97" t="s">
        <v>279</v>
      </c>
      <c r="J145" s="101" t="s">
        <v>111</v>
      </c>
      <c r="K145" s="101" t="str">
        <f>IFERROR(VLOOKUP(I145,'Raw material list'!$A$3:$E$695,5,0),"")</f>
        <v xml:space="preserve">Gram </v>
      </c>
      <c r="L145" s="95">
        <v>2.75</v>
      </c>
      <c r="M145" s="98">
        <f t="shared" si="31"/>
        <v>2.75</v>
      </c>
      <c r="N145" s="98">
        <v>100</v>
      </c>
      <c r="O145" s="95">
        <v>10</v>
      </c>
      <c r="P145" s="98">
        <f t="shared" si="24"/>
        <v>0.27500000000000002</v>
      </c>
      <c r="Q145" s="99">
        <f>IFERROR(VLOOKUP(I145,'Raw material list'!$A$3:$F$695,6,0),"")</f>
        <v>4.7489823609226586E-3</v>
      </c>
      <c r="R145" s="100">
        <f t="shared" si="38"/>
        <v>1.3059701492537312E-3</v>
      </c>
      <c r="S145" s="94">
        <f t="shared" si="32"/>
        <v>1.3059701492537312E-4</v>
      </c>
      <c r="T145" s="94">
        <f t="shared" si="33"/>
        <v>1.4365671641791043E-3</v>
      </c>
      <c r="U145" s="93">
        <f t="shared" si="34"/>
        <v>1.4365671641791044E-4</v>
      </c>
      <c r="V145" s="93">
        <f t="shared" si="35"/>
        <v>1.4365671641791043E-5</v>
      </c>
      <c r="W145" s="93">
        <f t="shared" si="36"/>
        <v>1.4365671641791043E-5</v>
      </c>
      <c r="X145" s="93">
        <f t="shared" si="37"/>
        <v>1.608955223880597E-3</v>
      </c>
      <c r="Y145" s="115"/>
    </row>
    <row r="146" spans="1:25" s="90" customFormat="1">
      <c r="A146" s="95" t="s">
        <v>1609</v>
      </c>
      <c r="B146" s="95" t="s">
        <v>1668</v>
      </c>
      <c r="C146" s="95" t="s">
        <v>1427</v>
      </c>
      <c r="D146" s="101" t="s">
        <v>1454</v>
      </c>
      <c r="E146" s="101" t="s">
        <v>1455</v>
      </c>
      <c r="F146" s="101" t="s">
        <v>1670</v>
      </c>
      <c r="G146" s="101" t="s">
        <v>1457</v>
      </c>
      <c r="H146" s="101" t="str">
        <f>IFERROR(VLOOKUP(I146,'Raw material list'!$A$3:$C$695,3,0),"")</f>
        <v>DRY2-1858</v>
      </c>
      <c r="I146" s="97" t="s">
        <v>42</v>
      </c>
      <c r="J146" s="101" t="s">
        <v>161</v>
      </c>
      <c r="K146" s="101" t="str">
        <f>IFERROR(VLOOKUP(I146,'Raw material list'!$A$3:$E$695,5,0),"")</f>
        <v>Ml</v>
      </c>
      <c r="L146" s="95">
        <v>754.31</v>
      </c>
      <c r="M146" s="98">
        <f t="shared" si="31"/>
        <v>754.31</v>
      </c>
      <c r="N146" s="98">
        <v>100</v>
      </c>
      <c r="O146" s="95">
        <v>10</v>
      </c>
      <c r="P146" s="98">
        <f t="shared" si="24"/>
        <v>75.430999999999997</v>
      </c>
      <c r="Q146" s="99">
        <f>IFERROR(VLOOKUP(I146,'Raw material list'!$A$3:$F$695,6,0),"")</f>
        <v>9.8800000000000016E-3</v>
      </c>
      <c r="R146" s="100">
        <f t="shared" si="38"/>
        <v>0.74525828000000005</v>
      </c>
      <c r="S146" s="94">
        <f t="shared" si="32"/>
        <v>7.4525828000000002E-2</v>
      </c>
      <c r="T146" s="94">
        <f t="shared" si="33"/>
        <v>0.81978410800000001</v>
      </c>
      <c r="U146" s="93">
        <f t="shared" si="34"/>
        <v>8.1978410800000012E-2</v>
      </c>
      <c r="V146" s="93">
        <f t="shared" si="35"/>
        <v>8.1978410800000005E-3</v>
      </c>
      <c r="W146" s="93">
        <f t="shared" si="36"/>
        <v>8.1978410800000005E-3</v>
      </c>
      <c r="X146" s="93">
        <f t="shared" si="37"/>
        <v>0.91815820096</v>
      </c>
      <c r="Y146" s="115"/>
    </row>
    <row r="147" spans="1:25" s="90" customFormat="1">
      <c r="A147" s="95" t="s">
        <v>1609</v>
      </c>
      <c r="B147" s="95" t="s">
        <v>1668</v>
      </c>
      <c r="C147" s="95" t="s">
        <v>1427</v>
      </c>
      <c r="D147" s="101" t="s">
        <v>1454</v>
      </c>
      <c r="E147" s="101" t="s">
        <v>1455</v>
      </c>
      <c r="F147" s="101" t="s">
        <v>1670</v>
      </c>
      <c r="G147" s="101" t="s">
        <v>1457</v>
      </c>
      <c r="H147" s="101" t="str">
        <f>IFERROR(VLOOKUP(I147,'Raw material list'!$A$3:$C$695,3,0),"")</f>
        <v>DRS1-978</v>
      </c>
      <c r="I147" s="97" t="s">
        <v>49</v>
      </c>
      <c r="J147" s="101" t="s">
        <v>111</v>
      </c>
      <c r="K147" s="101" t="str">
        <f>IFERROR(VLOOKUP(I147,'Raw material list'!$A$3:$E$695,5,0),"")</f>
        <v xml:space="preserve">Gram </v>
      </c>
      <c r="L147" s="95">
        <v>4.3099999999999996</v>
      </c>
      <c r="M147" s="98">
        <f t="shared" si="31"/>
        <v>4.3099999999999996</v>
      </c>
      <c r="N147" s="98">
        <v>100</v>
      </c>
      <c r="O147" s="95">
        <v>10</v>
      </c>
      <c r="P147" s="98">
        <f t="shared" si="24"/>
        <v>0.43099999999999994</v>
      </c>
      <c r="Q147" s="99">
        <f>IFERROR(VLOOKUP(I147,'Raw material list'!$A$3:$F$695,6,0),"")</f>
        <v>2.1999999999999999E-2</v>
      </c>
      <c r="R147" s="100">
        <f t="shared" si="38"/>
        <v>9.4819999999999974E-3</v>
      </c>
      <c r="S147" s="94">
        <f t="shared" si="32"/>
        <v>9.4819999999999974E-4</v>
      </c>
      <c r="T147" s="94">
        <f t="shared" si="33"/>
        <v>1.0430199999999997E-2</v>
      </c>
      <c r="U147" s="93">
        <f t="shared" si="34"/>
        <v>1.0430199999999998E-3</v>
      </c>
      <c r="V147" s="93">
        <f t="shared" si="35"/>
        <v>1.0430199999999998E-4</v>
      </c>
      <c r="W147" s="93">
        <f t="shared" si="36"/>
        <v>1.0430199999999998E-4</v>
      </c>
      <c r="X147" s="93">
        <f t="shared" si="37"/>
        <v>1.1681823999999999E-2</v>
      </c>
      <c r="Y147" s="115"/>
    </row>
    <row r="148" spans="1:25" s="90" customFormat="1">
      <c r="A148" s="95" t="s">
        <v>1609</v>
      </c>
      <c r="B148" s="95" t="s">
        <v>1668</v>
      </c>
      <c r="C148" s="95" t="s">
        <v>1427</v>
      </c>
      <c r="D148" s="101" t="s">
        <v>1454</v>
      </c>
      <c r="E148" s="101" t="s">
        <v>1455</v>
      </c>
      <c r="F148" s="101" t="s">
        <v>1670</v>
      </c>
      <c r="G148" s="101" t="s">
        <v>1457</v>
      </c>
      <c r="H148" s="101" t="str">
        <f>IFERROR(VLOOKUP(I148,'Raw material list'!$A$3:$C$695,3,0),"")</f>
        <v>DRS6-3608</v>
      </c>
      <c r="I148" s="97" t="s">
        <v>37</v>
      </c>
      <c r="J148" s="101" t="s">
        <v>111</v>
      </c>
      <c r="K148" s="101" t="str">
        <f>IFERROR(VLOOKUP(I148,'Raw material list'!$A$3:$E$695,5,0),"")</f>
        <v xml:space="preserve">Gram </v>
      </c>
      <c r="L148" s="95">
        <v>44.82</v>
      </c>
      <c r="M148" s="98">
        <f t="shared" si="31"/>
        <v>44.82</v>
      </c>
      <c r="N148" s="98">
        <v>100</v>
      </c>
      <c r="O148" s="95">
        <v>10</v>
      </c>
      <c r="P148" s="98">
        <f t="shared" si="24"/>
        <v>4.4820000000000002</v>
      </c>
      <c r="Q148" s="99">
        <f>IFERROR(VLOOKUP(I148,'Raw material list'!$A$3:$F$695,6,0),"")</f>
        <v>1.6E-2</v>
      </c>
      <c r="R148" s="100">
        <f t="shared" si="38"/>
        <v>7.1711999999999998E-2</v>
      </c>
      <c r="S148" s="94">
        <f t="shared" si="32"/>
        <v>7.1712E-3</v>
      </c>
      <c r="T148" s="94">
        <f t="shared" si="33"/>
        <v>7.8883200000000001E-2</v>
      </c>
      <c r="U148" s="93">
        <f t="shared" si="34"/>
        <v>7.8883200000000007E-3</v>
      </c>
      <c r="V148" s="93">
        <f t="shared" si="35"/>
        <v>7.8883200000000005E-4</v>
      </c>
      <c r="W148" s="93">
        <f t="shared" si="36"/>
        <v>7.8883200000000005E-4</v>
      </c>
      <c r="X148" s="93">
        <f t="shared" si="37"/>
        <v>8.8349184000000011E-2</v>
      </c>
      <c r="Y148" s="115"/>
    </row>
    <row r="149" spans="1:25" s="90" customFormat="1">
      <c r="A149" s="95" t="s">
        <v>1609</v>
      </c>
      <c r="B149" s="95" t="s">
        <v>1668</v>
      </c>
      <c r="C149" s="95" t="s">
        <v>1427</v>
      </c>
      <c r="D149" s="101" t="s">
        <v>1454</v>
      </c>
      <c r="E149" s="101" t="s">
        <v>1455</v>
      </c>
      <c r="F149" s="101" t="s">
        <v>1670</v>
      </c>
      <c r="G149" s="101" t="s">
        <v>1457</v>
      </c>
      <c r="H149" s="101" t="str">
        <f>IFERROR(VLOOKUP(I149,'Raw material list'!$A$3:$C$695,3,0),"")</f>
        <v>WAT-001</v>
      </c>
      <c r="I149" s="97" t="s">
        <v>1406</v>
      </c>
      <c r="J149" s="101" t="s">
        <v>161</v>
      </c>
      <c r="K149" s="101" t="str">
        <f>IFERROR(VLOOKUP(I149,'Raw material list'!$A$3:$E$695,5,0),"")</f>
        <v>Ml</v>
      </c>
      <c r="L149" s="95">
        <v>215.51</v>
      </c>
      <c r="M149" s="98">
        <f t="shared" si="31"/>
        <v>215.51</v>
      </c>
      <c r="N149" s="98">
        <v>100</v>
      </c>
      <c r="O149" s="95">
        <v>10</v>
      </c>
      <c r="P149" s="98">
        <f t="shared" si="24"/>
        <v>21.550999999999998</v>
      </c>
      <c r="Q149" s="99">
        <f>IFERROR(VLOOKUP(I149,'Raw material list'!$A$3:$F$695,6,0),"")</f>
        <v>8.0000000000000007E-5</v>
      </c>
      <c r="R149" s="100">
        <f t="shared" si="38"/>
        <v>1.72408E-3</v>
      </c>
      <c r="S149" s="94">
        <f t="shared" si="32"/>
        <v>1.7240800000000001E-4</v>
      </c>
      <c r="T149" s="94">
        <f t="shared" si="33"/>
        <v>1.896488E-3</v>
      </c>
      <c r="U149" s="93">
        <f t="shared" si="34"/>
        <v>1.896488E-4</v>
      </c>
      <c r="V149" s="93">
        <f t="shared" si="35"/>
        <v>1.8964880000000001E-5</v>
      </c>
      <c r="W149" s="93">
        <f t="shared" si="36"/>
        <v>1.8964880000000001E-5</v>
      </c>
      <c r="X149" s="93">
        <f t="shared" si="37"/>
        <v>2.1240665600000003E-3</v>
      </c>
      <c r="Y149" s="115"/>
    </row>
    <row r="150" spans="1:25" s="90" customFormat="1">
      <c r="A150" s="95" t="s">
        <v>1609</v>
      </c>
      <c r="B150" s="95" t="s">
        <v>1668</v>
      </c>
      <c r="C150" s="95" t="s">
        <v>1427</v>
      </c>
      <c r="D150" s="101" t="s">
        <v>1454</v>
      </c>
      <c r="E150" s="101" t="s">
        <v>1455</v>
      </c>
      <c r="F150" s="101" t="s">
        <v>1670</v>
      </c>
      <c r="G150" s="101" t="s">
        <v>1446</v>
      </c>
      <c r="H150" s="101" t="str">
        <f>IFERROR(VLOOKUP(I150,'Raw material list'!$A$3:$C$695,3,0),"")</f>
        <v>DRY2-1008</v>
      </c>
      <c r="I150" s="97" t="s">
        <v>21</v>
      </c>
      <c r="J150" s="101" t="s">
        <v>111</v>
      </c>
      <c r="K150" s="101" t="str">
        <f>IFERROR(VLOOKUP(I150,'Raw material list'!$A$3:$E$695,5,0),"")</f>
        <v xml:space="preserve">Gram </v>
      </c>
      <c r="L150" s="95">
        <v>30</v>
      </c>
      <c r="M150" s="98">
        <f t="shared" si="31"/>
        <v>30</v>
      </c>
      <c r="N150" s="98">
        <v>100</v>
      </c>
      <c r="O150" s="95">
        <v>10</v>
      </c>
      <c r="P150" s="98">
        <f t="shared" si="24"/>
        <v>3</v>
      </c>
      <c r="Q150" s="99">
        <f>IFERROR(VLOOKUP(I150,'Raw material list'!$A$3:$F$695,6,0),"")</f>
        <v>3.7999999999999999E-2</v>
      </c>
      <c r="R150" s="100">
        <f t="shared" si="38"/>
        <v>0.11399999999999999</v>
      </c>
      <c r="S150" s="94">
        <f t="shared" si="32"/>
        <v>1.14E-2</v>
      </c>
      <c r="T150" s="94">
        <f t="shared" si="33"/>
        <v>0.12539999999999998</v>
      </c>
      <c r="U150" s="93">
        <f t="shared" si="34"/>
        <v>1.2539999999999999E-2</v>
      </c>
      <c r="V150" s="93">
        <f t="shared" si="35"/>
        <v>1.2539999999999999E-3</v>
      </c>
      <c r="W150" s="93">
        <f t="shared" si="36"/>
        <v>1.2539999999999999E-3</v>
      </c>
      <c r="X150" s="93">
        <f t="shared" si="37"/>
        <v>0.14044799999999999</v>
      </c>
      <c r="Y150" s="115"/>
    </row>
    <row r="151" spans="1:25" s="90" customFormat="1">
      <c r="A151" s="95" t="s">
        <v>1609</v>
      </c>
      <c r="B151" s="95" t="s">
        <v>1668</v>
      </c>
      <c r="C151" s="95" t="s">
        <v>1427</v>
      </c>
      <c r="D151" s="101" t="s">
        <v>1454</v>
      </c>
      <c r="E151" s="101" t="s">
        <v>1455</v>
      </c>
      <c r="F151" s="101" t="s">
        <v>1670</v>
      </c>
      <c r="G151" s="101" t="s">
        <v>1446</v>
      </c>
      <c r="H151" s="101" t="str">
        <f>IFERROR(VLOOKUP(I151,'Raw material list'!$A$3:$C$695,3,0),"")</f>
        <v>DRS6-1727</v>
      </c>
      <c r="I151" s="97" t="s">
        <v>41</v>
      </c>
      <c r="J151" s="101" t="s">
        <v>111</v>
      </c>
      <c r="K151" s="101" t="str">
        <f>IFERROR(VLOOKUP(I151,'Raw material list'!$A$3:$E$695,5,0),"")</f>
        <v xml:space="preserve">Gram </v>
      </c>
      <c r="L151" s="95">
        <v>3</v>
      </c>
      <c r="M151" s="98">
        <f t="shared" si="31"/>
        <v>3</v>
      </c>
      <c r="N151" s="98">
        <v>100</v>
      </c>
      <c r="O151" s="95">
        <v>10</v>
      </c>
      <c r="P151" s="98">
        <f t="shared" si="24"/>
        <v>0.3</v>
      </c>
      <c r="Q151" s="99">
        <f>IFERROR(VLOOKUP(I151,'Raw material list'!$A$3:$F$695,6,0),"")</f>
        <v>2.5000000000000001E-2</v>
      </c>
      <c r="R151" s="100">
        <f t="shared" si="38"/>
        <v>7.4999999999999997E-3</v>
      </c>
      <c r="S151" s="94">
        <f t="shared" si="32"/>
        <v>7.5000000000000002E-4</v>
      </c>
      <c r="T151" s="94">
        <f t="shared" si="33"/>
        <v>8.2500000000000004E-3</v>
      </c>
      <c r="U151" s="93">
        <f t="shared" si="34"/>
        <v>8.250000000000001E-4</v>
      </c>
      <c r="V151" s="93">
        <f t="shared" si="35"/>
        <v>8.25E-5</v>
      </c>
      <c r="W151" s="93">
        <f t="shared" si="36"/>
        <v>8.25E-5</v>
      </c>
      <c r="X151" s="93">
        <f t="shared" si="37"/>
        <v>9.2399999999999982E-3</v>
      </c>
      <c r="Y151" s="115"/>
    </row>
    <row r="152" spans="1:25" s="90" customFormat="1">
      <c r="A152" s="95" t="s">
        <v>1451</v>
      </c>
      <c r="B152" s="95" t="s">
        <v>1668</v>
      </c>
      <c r="C152" s="95" t="s">
        <v>1427</v>
      </c>
      <c r="D152" s="101" t="s">
        <v>1458</v>
      </c>
      <c r="E152" s="101" t="s">
        <v>1455</v>
      </c>
      <c r="F152" s="101" t="s">
        <v>1671</v>
      </c>
      <c r="G152" s="101" t="s">
        <v>1617</v>
      </c>
      <c r="H152" s="101" t="str">
        <f>IFERROR(VLOOKUP(I152,'Raw material list'!$A$3:$C$695,3,0),"")</f>
        <v>MET2-1051</v>
      </c>
      <c r="I152" s="97" t="s">
        <v>882</v>
      </c>
      <c r="J152" s="101" t="s">
        <v>111</v>
      </c>
      <c r="K152" s="101" t="str">
        <f>IFERROR(VLOOKUP(I152,'Raw material list'!$A$3:$E$695,5,0),"")</f>
        <v xml:space="preserve">Gram </v>
      </c>
      <c r="L152" s="95">
        <v>1500</v>
      </c>
      <c r="M152" s="98">
        <f t="shared" si="31"/>
        <v>2918.2879377431905</v>
      </c>
      <c r="N152" s="98">
        <v>51.4</v>
      </c>
      <c r="O152" s="95">
        <v>10</v>
      </c>
      <c r="P152" s="98">
        <f t="shared" si="24"/>
        <v>150</v>
      </c>
      <c r="Q152" s="99">
        <f>IFERROR(VLOOKUP(I152,'Raw material list'!$A$3:$F$695,6,0),"")</f>
        <v>8.4705882352941173E-2</v>
      </c>
      <c r="R152" s="100">
        <f t="shared" si="38"/>
        <v>12.705882352941176</v>
      </c>
      <c r="S152" s="94">
        <f t="shared" si="32"/>
        <v>1.2705882352941176</v>
      </c>
      <c r="T152" s="94">
        <f t="shared" si="33"/>
        <v>13.976470588235294</v>
      </c>
      <c r="U152" s="93">
        <f t="shared" si="34"/>
        <v>1.3976470588235295</v>
      </c>
      <c r="V152" s="93">
        <f t="shared" si="35"/>
        <v>0.13976470588235296</v>
      </c>
      <c r="W152" s="93">
        <f t="shared" si="36"/>
        <v>0.13976470588235296</v>
      </c>
      <c r="X152" s="93">
        <f t="shared" si="37"/>
        <v>15.65364705882353</v>
      </c>
      <c r="Y152" s="127" t="s">
        <v>1679</v>
      </c>
    </row>
    <row r="153" spans="1:25" s="90" customFormat="1">
      <c r="A153" s="95" t="s">
        <v>1451</v>
      </c>
      <c r="B153" s="95" t="s">
        <v>1668</v>
      </c>
      <c r="C153" s="95" t="s">
        <v>1427</v>
      </c>
      <c r="D153" s="101" t="s">
        <v>1458</v>
      </c>
      <c r="E153" s="101" t="s">
        <v>1455</v>
      </c>
      <c r="F153" s="95" t="s">
        <v>1671</v>
      </c>
      <c r="G153" s="101" t="s">
        <v>1617</v>
      </c>
      <c r="H153" s="101" t="str">
        <f>IFERROR(VLOOKUP(I153,'Raw material list'!$A$3:$C$695,3,0),"")</f>
        <v>DRS1-1142</v>
      </c>
      <c r="I153" s="97" t="s">
        <v>775</v>
      </c>
      <c r="J153" s="101" t="s">
        <v>111</v>
      </c>
      <c r="K153" s="101" t="str">
        <f>IFERROR(VLOOKUP(I153,'Raw material list'!$A$3:$E$695,5,0),"")</f>
        <v>Ml</v>
      </c>
      <c r="L153" s="95">
        <v>100</v>
      </c>
      <c r="M153" s="98">
        <f t="shared" si="31"/>
        <v>100</v>
      </c>
      <c r="N153" s="98">
        <v>100</v>
      </c>
      <c r="O153" s="95">
        <v>10</v>
      </c>
      <c r="P153" s="98">
        <f t="shared" ref="P153:P158" si="39">IFERROR(L153/O153,0)</f>
        <v>10</v>
      </c>
      <c r="Q153" s="99">
        <f>IFERROR(VLOOKUP(I153,'Raw material list'!$A$3:$F$695,6,0),"")</f>
        <v>2.358E-2</v>
      </c>
      <c r="R153" s="100">
        <f t="shared" ref="R153:R158" si="40">IFERROR(Q153*P153,0)</f>
        <v>0.23580000000000001</v>
      </c>
      <c r="S153" s="94">
        <f t="shared" si="32"/>
        <v>2.3580000000000004E-2</v>
      </c>
      <c r="T153" s="94">
        <f t="shared" si="33"/>
        <v>0.25938</v>
      </c>
      <c r="U153" s="93">
        <f t="shared" si="34"/>
        <v>2.5938000000000003E-2</v>
      </c>
      <c r="V153" s="93">
        <f t="shared" si="35"/>
        <v>2.5937999999999998E-3</v>
      </c>
      <c r="W153" s="93">
        <f t="shared" si="36"/>
        <v>2.5937999999999998E-3</v>
      </c>
      <c r="X153" s="93">
        <f t="shared" si="37"/>
        <v>0.29050559999999997</v>
      </c>
      <c r="Y153" s="116"/>
    </row>
    <row r="154" spans="1:25" s="90" customFormat="1">
      <c r="A154" s="95" t="s">
        <v>1451</v>
      </c>
      <c r="B154" s="95" t="s">
        <v>1668</v>
      </c>
      <c r="C154" s="95" t="s">
        <v>1427</v>
      </c>
      <c r="D154" s="101" t="s">
        <v>1458</v>
      </c>
      <c r="E154" s="101" t="s">
        <v>1455</v>
      </c>
      <c r="F154" s="101" t="s">
        <v>1671</v>
      </c>
      <c r="G154" s="101" t="s">
        <v>1617</v>
      </c>
      <c r="H154" s="101" t="str">
        <f>IFERROR(VLOOKUP(I154,'Raw material list'!$A$3:$C$695,3,0),"")</f>
        <v>PRD1-4327</v>
      </c>
      <c r="I154" s="97" t="s">
        <v>11</v>
      </c>
      <c r="J154" s="101" t="s">
        <v>111</v>
      </c>
      <c r="K154" s="101" t="str">
        <f>IFERROR(VLOOKUP(I154,'Raw material list'!$A$3:$E$695,5,0),"")</f>
        <v xml:space="preserve">Gram </v>
      </c>
      <c r="L154" s="95">
        <v>10</v>
      </c>
      <c r="M154" s="98">
        <f t="shared" si="31"/>
        <v>12.5</v>
      </c>
      <c r="N154" s="133">
        <v>80</v>
      </c>
      <c r="O154" s="95">
        <v>10</v>
      </c>
      <c r="P154" s="98">
        <f t="shared" si="39"/>
        <v>1</v>
      </c>
      <c r="Q154" s="99">
        <f>IFERROR(VLOOKUP(I154,'Raw material list'!$A$3:$F$695,6,0),"")</f>
        <v>1.2999999999999999E-2</v>
      </c>
      <c r="R154" s="100">
        <f t="shared" si="40"/>
        <v>1.2999999999999999E-2</v>
      </c>
      <c r="S154" s="94">
        <f t="shared" si="32"/>
        <v>1.2999999999999999E-3</v>
      </c>
      <c r="T154" s="94">
        <f t="shared" si="33"/>
        <v>1.43E-2</v>
      </c>
      <c r="U154" s="93">
        <f t="shared" si="34"/>
        <v>1.4300000000000001E-3</v>
      </c>
      <c r="V154" s="93">
        <f t="shared" si="35"/>
        <v>1.4300000000000001E-4</v>
      </c>
      <c r="W154" s="93">
        <f t="shared" si="36"/>
        <v>1.4300000000000001E-4</v>
      </c>
      <c r="X154" s="93">
        <f t="shared" si="37"/>
        <v>1.6016000000000002E-2</v>
      </c>
      <c r="Y154" s="116"/>
    </row>
    <row r="155" spans="1:25" s="90" customFormat="1">
      <c r="A155" s="95" t="s">
        <v>1451</v>
      </c>
      <c r="B155" s="95" t="s">
        <v>1668</v>
      </c>
      <c r="C155" s="95" t="s">
        <v>1427</v>
      </c>
      <c r="D155" s="101" t="s">
        <v>1458</v>
      </c>
      <c r="E155" s="101" t="s">
        <v>1455</v>
      </c>
      <c r="F155" s="101" t="s">
        <v>1671</v>
      </c>
      <c r="G155" s="101" t="s">
        <v>1617</v>
      </c>
      <c r="H155" s="101" t="str">
        <f>IFERROR(VLOOKUP(I155,'Raw material list'!$A$3:$C$695,3,0),"")</f>
        <v>PRD1-209</v>
      </c>
      <c r="I155" s="97" t="s">
        <v>26</v>
      </c>
      <c r="J155" s="101" t="s">
        <v>111</v>
      </c>
      <c r="K155" s="101" t="str">
        <f>IFERROR(VLOOKUP(I155,'Raw material list'!$A$3:$E$695,5,0),"")</f>
        <v xml:space="preserve">Gram </v>
      </c>
      <c r="L155" s="95">
        <v>15</v>
      </c>
      <c r="M155" s="98">
        <f t="shared" si="31"/>
        <v>39.473684210526315</v>
      </c>
      <c r="N155" s="98">
        <v>38</v>
      </c>
      <c r="O155" s="95">
        <v>10</v>
      </c>
      <c r="P155" s="98">
        <f t="shared" si="39"/>
        <v>1.5</v>
      </c>
      <c r="Q155" s="99">
        <f>IFERROR(VLOOKUP(I155,'Raw material list'!$A$3:$F$695,6,0),"")</f>
        <v>1.0088272383354351E-2</v>
      </c>
      <c r="R155" s="100">
        <f t="shared" si="40"/>
        <v>1.5132408575031526E-2</v>
      </c>
      <c r="S155" s="94">
        <f t="shared" si="32"/>
        <v>1.5132408575031526E-3</v>
      </c>
      <c r="T155" s="94">
        <f t="shared" si="33"/>
        <v>1.664564943253468E-2</v>
      </c>
      <c r="U155" s="93">
        <f t="shared" si="34"/>
        <v>1.6645649432534681E-3</v>
      </c>
      <c r="V155" s="93">
        <f t="shared" si="35"/>
        <v>1.6645649432534682E-4</v>
      </c>
      <c r="W155" s="93">
        <f t="shared" si="36"/>
        <v>1.6645649432534682E-4</v>
      </c>
      <c r="X155" s="93">
        <f t="shared" si="37"/>
        <v>1.8643127364438843E-2</v>
      </c>
      <c r="Y155" s="116"/>
    </row>
    <row r="156" spans="1:25" s="90" customFormat="1">
      <c r="A156" s="95" t="s">
        <v>1451</v>
      </c>
      <c r="B156" s="95" t="s">
        <v>1668</v>
      </c>
      <c r="C156" s="95" t="s">
        <v>1427</v>
      </c>
      <c r="D156" s="101" t="s">
        <v>1458</v>
      </c>
      <c r="E156" s="101" t="s">
        <v>1455</v>
      </c>
      <c r="F156" s="95" t="s">
        <v>1671</v>
      </c>
      <c r="G156" s="101" t="s">
        <v>1617</v>
      </c>
      <c r="H156" s="101" t="str">
        <f>IFERROR(VLOOKUP(I156,'Raw material list'!$A$3:$C$695,3,0),"")</f>
        <v>DRS6-537</v>
      </c>
      <c r="I156" s="97" t="s">
        <v>25</v>
      </c>
      <c r="J156" s="101" t="s">
        <v>111</v>
      </c>
      <c r="K156" s="101" t="str">
        <f>IFERROR(VLOOKUP(I156,'Raw material list'!$A$3:$E$695,5,0),"")</f>
        <v xml:space="preserve">Gram </v>
      </c>
      <c r="L156" s="95">
        <v>1</v>
      </c>
      <c r="M156" s="98">
        <f t="shared" si="31"/>
        <v>1</v>
      </c>
      <c r="N156" s="98">
        <v>100</v>
      </c>
      <c r="O156" s="95">
        <v>10</v>
      </c>
      <c r="P156" s="98">
        <f t="shared" si="39"/>
        <v>0.1</v>
      </c>
      <c r="Q156" s="99">
        <f>IFERROR(VLOOKUP(I156,'Raw material list'!$A$3:$F$695,6,0),"")</f>
        <v>3.5000000000000003E-2</v>
      </c>
      <c r="R156" s="100">
        <f t="shared" si="40"/>
        <v>3.5000000000000005E-3</v>
      </c>
      <c r="S156" s="94">
        <f t="shared" si="32"/>
        <v>3.5000000000000005E-4</v>
      </c>
      <c r="T156" s="94">
        <f t="shared" si="33"/>
        <v>3.8500000000000006E-3</v>
      </c>
      <c r="U156" s="93">
        <f t="shared" si="34"/>
        <v>3.8500000000000009E-4</v>
      </c>
      <c r="V156" s="93">
        <f t="shared" si="35"/>
        <v>3.8500000000000007E-5</v>
      </c>
      <c r="W156" s="93">
        <f t="shared" si="36"/>
        <v>3.8500000000000007E-5</v>
      </c>
      <c r="X156" s="93">
        <f t="shared" si="37"/>
        <v>4.3120000000000016E-3</v>
      </c>
      <c r="Y156" s="116"/>
    </row>
    <row r="157" spans="1:25" s="90" customFormat="1">
      <c r="A157" s="95" t="s">
        <v>1451</v>
      </c>
      <c r="B157" s="95" t="s">
        <v>1668</v>
      </c>
      <c r="C157" s="95" t="s">
        <v>1427</v>
      </c>
      <c r="D157" s="101" t="s">
        <v>1458</v>
      </c>
      <c r="E157" s="101" t="s">
        <v>1455</v>
      </c>
      <c r="F157" s="95" t="s">
        <v>1671</v>
      </c>
      <c r="G157" s="101" t="s">
        <v>1617</v>
      </c>
      <c r="H157" s="101" t="str">
        <f>IFERROR(VLOOKUP(I157,'Raw material list'!$A$3:$C$695,3,0),"")</f>
        <v>WAT-001</v>
      </c>
      <c r="I157" s="97" t="s">
        <v>1406</v>
      </c>
      <c r="J157" s="101" t="s">
        <v>111</v>
      </c>
      <c r="K157" s="101" t="str">
        <f>IFERROR(VLOOKUP(I157,'Raw material list'!$A$3:$E$695,5,0),"")</f>
        <v>Ml</v>
      </c>
      <c r="L157" s="95">
        <v>100</v>
      </c>
      <c r="M157" s="98">
        <f t="shared" si="31"/>
        <v>100</v>
      </c>
      <c r="N157" s="98">
        <v>100</v>
      </c>
      <c r="O157" s="95">
        <v>10</v>
      </c>
      <c r="P157" s="98">
        <f t="shared" si="39"/>
        <v>10</v>
      </c>
      <c r="Q157" s="99">
        <f>IFERROR(VLOOKUP(I157,'Raw material list'!$A$3:$F$695,6,0),"")</f>
        <v>8.0000000000000007E-5</v>
      </c>
      <c r="R157" s="100">
        <f t="shared" si="40"/>
        <v>8.0000000000000004E-4</v>
      </c>
      <c r="S157" s="94">
        <f t="shared" si="32"/>
        <v>8.0000000000000007E-5</v>
      </c>
      <c r="T157" s="94">
        <f t="shared" si="33"/>
        <v>8.8000000000000003E-4</v>
      </c>
      <c r="U157" s="93">
        <f t="shared" si="34"/>
        <v>8.8000000000000011E-5</v>
      </c>
      <c r="V157" s="93">
        <f t="shared" si="35"/>
        <v>8.8000000000000004E-6</v>
      </c>
      <c r="W157" s="93">
        <f t="shared" si="36"/>
        <v>8.8000000000000004E-6</v>
      </c>
      <c r="X157" s="93">
        <f t="shared" si="37"/>
        <v>9.856000000000001E-4</v>
      </c>
      <c r="Y157" s="116"/>
    </row>
    <row r="158" spans="1:25" s="90" customFormat="1">
      <c r="A158" s="95" t="s">
        <v>1451</v>
      </c>
      <c r="B158" s="95" t="s">
        <v>1668</v>
      </c>
      <c r="C158" s="95" t="s">
        <v>1427</v>
      </c>
      <c r="D158" s="101" t="s">
        <v>1458</v>
      </c>
      <c r="E158" s="101" t="s">
        <v>1455</v>
      </c>
      <c r="F158" s="101" t="s">
        <v>1671</v>
      </c>
      <c r="G158" s="101" t="s">
        <v>1617</v>
      </c>
      <c r="H158" s="101" t="str">
        <f>IFERROR(VLOOKUP(I158,'Raw material list'!$A$3:$C$695,3,0),"")</f>
        <v>PRD1-573</v>
      </c>
      <c r="I158" s="97" t="s">
        <v>1059</v>
      </c>
      <c r="J158" s="101" t="s">
        <v>111</v>
      </c>
      <c r="K158" s="101" t="str">
        <f>IFERROR(VLOOKUP(I158,'Raw material list'!$A$3:$E$695,5,0),"")</f>
        <v xml:space="preserve">Gram </v>
      </c>
      <c r="L158" s="95">
        <v>10</v>
      </c>
      <c r="M158" s="98">
        <f t="shared" si="31"/>
        <v>13.698630136986301</v>
      </c>
      <c r="N158" s="98">
        <v>73</v>
      </c>
      <c r="O158" s="95">
        <v>10</v>
      </c>
      <c r="P158" s="98">
        <f t="shared" si="39"/>
        <v>1</v>
      </c>
      <c r="Q158" s="99">
        <f>IFERROR(VLOOKUP(I158,'Raw material list'!$A$3:$F$695,6,0),"")</f>
        <v>5.4794520547945206E-3</v>
      </c>
      <c r="R158" s="100">
        <f t="shared" si="40"/>
        <v>5.4794520547945206E-3</v>
      </c>
      <c r="S158" s="94">
        <f t="shared" si="32"/>
        <v>5.4794520547945212E-4</v>
      </c>
      <c r="T158" s="94">
        <f t="shared" si="33"/>
        <v>6.0273972602739728E-3</v>
      </c>
      <c r="U158" s="93">
        <f t="shared" si="34"/>
        <v>6.027397260273973E-4</v>
      </c>
      <c r="V158" s="93">
        <f t="shared" si="35"/>
        <v>6.027397260273973E-5</v>
      </c>
      <c r="W158" s="93">
        <f t="shared" si="36"/>
        <v>6.027397260273973E-5</v>
      </c>
      <c r="X158" s="93">
        <f t="shared" si="37"/>
        <v>6.7506849315068507E-3</v>
      </c>
      <c r="Y158" s="116"/>
    </row>
    <row r="159" spans="1:25" s="90" customFormat="1">
      <c r="A159" s="95" t="s">
        <v>1451</v>
      </c>
      <c r="B159" s="95" t="s">
        <v>1668</v>
      </c>
      <c r="C159" s="95" t="s">
        <v>1427</v>
      </c>
      <c r="D159" s="101" t="s">
        <v>1458</v>
      </c>
      <c r="E159" s="101" t="s">
        <v>1455</v>
      </c>
      <c r="F159" s="101" t="s">
        <v>1670</v>
      </c>
      <c r="G159" s="101" t="s">
        <v>1426</v>
      </c>
      <c r="H159" s="101" t="str">
        <f>IFERROR(VLOOKUP(I159,'Raw material list'!$A$3:$C$695,3,0),"")</f>
        <v>PRD3-1675</v>
      </c>
      <c r="I159" s="97" t="s">
        <v>943</v>
      </c>
      <c r="J159" s="101" t="s">
        <v>111</v>
      </c>
      <c r="K159" s="101" t="str">
        <f>IFERROR(VLOOKUP(I159,'Raw material list'!$A$3:$E$695,5,0),"")</f>
        <v xml:space="preserve">Gram </v>
      </c>
      <c r="L159" s="95">
        <v>10</v>
      </c>
      <c r="M159" s="98">
        <f t="shared" si="31"/>
        <v>10</v>
      </c>
      <c r="N159" s="98">
        <v>100</v>
      </c>
      <c r="O159" s="95">
        <v>10</v>
      </c>
      <c r="P159" s="98">
        <f t="shared" si="24"/>
        <v>1</v>
      </c>
      <c r="Q159" s="99">
        <f>IFERROR(VLOOKUP(I159,'Raw material list'!$A$3:$F$695,6,0),"")</f>
        <v>1.2E-2</v>
      </c>
      <c r="R159" s="100">
        <f t="shared" si="38"/>
        <v>1.2E-2</v>
      </c>
      <c r="S159" s="94">
        <f t="shared" si="32"/>
        <v>1.2000000000000001E-3</v>
      </c>
      <c r="T159" s="94">
        <f t="shared" si="33"/>
        <v>1.32E-2</v>
      </c>
      <c r="U159" s="93">
        <f t="shared" si="34"/>
        <v>1.32E-3</v>
      </c>
      <c r="V159" s="93">
        <f t="shared" si="35"/>
        <v>1.3200000000000001E-4</v>
      </c>
      <c r="W159" s="93">
        <f t="shared" si="36"/>
        <v>1.3200000000000001E-4</v>
      </c>
      <c r="X159" s="93">
        <f t="shared" si="37"/>
        <v>1.4784E-2</v>
      </c>
      <c r="Y159" s="115"/>
    </row>
    <row r="160" spans="1:25" s="90" customFormat="1">
      <c r="A160" s="95" t="s">
        <v>1451</v>
      </c>
      <c r="B160" s="95" t="s">
        <v>1668</v>
      </c>
      <c r="C160" s="95" t="s">
        <v>1427</v>
      </c>
      <c r="D160" s="101" t="s">
        <v>1458</v>
      </c>
      <c r="E160" s="101" t="s">
        <v>1455</v>
      </c>
      <c r="F160" s="101" t="s">
        <v>1670</v>
      </c>
      <c r="G160" s="101" t="s">
        <v>1459</v>
      </c>
      <c r="H160" s="101" t="str">
        <f>IFERROR(VLOOKUP(I160,'Raw material list'!$A$3:$C$695,3,0),"")</f>
        <v>PRD3-1675</v>
      </c>
      <c r="I160" s="97" t="s">
        <v>943</v>
      </c>
      <c r="J160" s="101" t="s">
        <v>111</v>
      </c>
      <c r="K160" s="101" t="str">
        <f>IFERROR(VLOOKUP(I160,'Raw material list'!$A$3:$E$695,5,0),"")</f>
        <v xml:space="preserve">Gram </v>
      </c>
      <c r="L160" s="95">
        <v>15.38</v>
      </c>
      <c r="M160" s="98">
        <f t="shared" si="31"/>
        <v>15.380000000000003</v>
      </c>
      <c r="N160" s="98">
        <v>100</v>
      </c>
      <c r="O160" s="95">
        <v>10</v>
      </c>
      <c r="P160" s="98">
        <f t="shared" si="24"/>
        <v>1.538</v>
      </c>
      <c r="Q160" s="99">
        <f>IFERROR(VLOOKUP(I160,'Raw material list'!$A$3:$F$695,6,0),"")</f>
        <v>1.2E-2</v>
      </c>
      <c r="R160" s="100">
        <f t="shared" si="38"/>
        <v>1.8456E-2</v>
      </c>
      <c r="S160" s="94">
        <f t="shared" si="32"/>
        <v>1.8456000000000002E-3</v>
      </c>
      <c r="T160" s="94">
        <f t="shared" si="33"/>
        <v>2.03016E-2</v>
      </c>
      <c r="U160" s="93">
        <f t="shared" si="34"/>
        <v>2.03016E-3</v>
      </c>
      <c r="V160" s="93">
        <f t="shared" si="35"/>
        <v>2.0301600000000001E-4</v>
      </c>
      <c r="W160" s="93">
        <f t="shared" si="36"/>
        <v>2.0301600000000001E-4</v>
      </c>
      <c r="X160" s="93">
        <f t="shared" si="37"/>
        <v>2.2737792E-2</v>
      </c>
      <c r="Y160" s="115"/>
    </row>
    <row r="161" spans="1:25" s="90" customFormat="1">
      <c r="A161" s="95" t="s">
        <v>1451</v>
      </c>
      <c r="B161" s="95" t="s">
        <v>1668</v>
      </c>
      <c r="C161" s="95" t="s">
        <v>1427</v>
      </c>
      <c r="D161" s="101" t="s">
        <v>1458</v>
      </c>
      <c r="E161" s="101" t="s">
        <v>1455</v>
      </c>
      <c r="F161" s="101" t="s">
        <v>1670</v>
      </c>
      <c r="G161" s="101" t="s">
        <v>1459</v>
      </c>
      <c r="H161" s="101" t="str">
        <f>IFERROR(VLOOKUP(I161,'Raw material list'!$A$3:$C$695,3,0),"")</f>
        <v>DRS6-537</v>
      </c>
      <c r="I161" s="97" t="s">
        <v>25</v>
      </c>
      <c r="J161" s="101" t="s">
        <v>111</v>
      </c>
      <c r="K161" s="101" t="str">
        <f>IFERROR(VLOOKUP(I161,'Raw material list'!$A$3:$E$695,5,0),"")</f>
        <v xml:space="preserve">Gram </v>
      </c>
      <c r="L161" s="95">
        <v>1.53</v>
      </c>
      <c r="M161" s="98">
        <f t="shared" si="31"/>
        <v>1.53</v>
      </c>
      <c r="N161" s="98">
        <v>100</v>
      </c>
      <c r="O161" s="95">
        <v>10</v>
      </c>
      <c r="P161" s="98">
        <f t="shared" ref="P161:P224" si="41">IFERROR(L161/O161,0)</f>
        <v>0.153</v>
      </c>
      <c r="Q161" s="99">
        <f>IFERROR(VLOOKUP(I161,'Raw material list'!$A$3:$F$695,6,0),"")</f>
        <v>3.5000000000000003E-2</v>
      </c>
      <c r="R161" s="100">
        <f t="shared" si="38"/>
        <v>5.3550000000000004E-3</v>
      </c>
      <c r="S161" s="94">
        <f t="shared" si="32"/>
        <v>5.3550000000000006E-4</v>
      </c>
      <c r="T161" s="94">
        <f t="shared" si="33"/>
        <v>5.8905000000000008E-3</v>
      </c>
      <c r="U161" s="93">
        <f t="shared" si="34"/>
        <v>5.8905000000000014E-4</v>
      </c>
      <c r="V161" s="93">
        <f t="shared" si="35"/>
        <v>5.8905000000000006E-5</v>
      </c>
      <c r="W161" s="93">
        <f t="shared" si="36"/>
        <v>5.8905000000000006E-5</v>
      </c>
      <c r="X161" s="93">
        <f t="shared" si="37"/>
        <v>6.59736E-3</v>
      </c>
      <c r="Y161" s="115"/>
    </row>
    <row r="162" spans="1:25" s="90" customFormat="1">
      <c r="A162" s="95" t="s">
        <v>1451</v>
      </c>
      <c r="B162" s="95" t="s">
        <v>1668</v>
      </c>
      <c r="C162" s="95" t="s">
        <v>1427</v>
      </c>
      <c r="D162" s="101" t="s">
        <v>1458</v>
      </c>
      <c r="E162" s="101" t="s">
        <v>1455</v>
      </c>
      <c r="F162" s="101" t="s">
        <v>1670</v>
      </c>
      <c r="G162" s="101" t="s">
        <v>1459</v>
      </c>
      <c r="H162" s="101" t="str">
        <f>IFERROR(VLOOKUP(I162,'Raw material list'!$A$3:$C$695,3,0),"")</f>
        <v>DRY2-1858</v>
      </c>
      <c r="I162" s="97" t="s">
        <v>42</v>
      </c>
      <c r="J162" s="101" t="s">
        <v>161</v>
      </c>
      <c r="K162" s="101" t="str">
        <f>IFERROR(VLOOKUP(I162,'Raw material list'!$A$3:$E$695,5,0),"")</f>
        <v>Ml</v>
      </c>
      <c r="L162" s="95">
        <v>846.92</v>
      </c>
      <c r="M162" s="98">
        <f t="shared" si="31"/>
        <v>846.91999999999985</v>
      </c>
      <c r="N162" s="98">
        <v>100</v>
      </c>
      <c r="O162" s="95">
        <v>10</v>
      </c>
      <c r="P162" s="98">
        <f t="shared" si="41"/>
        <v>84.691999999999993</v>
      </c>
      <c r="Q162" s="99">
        <f>IFERROR(VLOOKUP(I162,'Raw material list'!$A$3:$F$695,6,0),"")</f>
        <v>9.8800000000000016E-3</v>
      </c>
      <c r="R162" s="100">
        <f t="shared" si="38"/>
        <v>0.83675696000000011</v>
      </c>
      <c r="S162" s="94">
        <f t="shared" si="32"/>
        <v>8.3675696000000022E-2</v>
      </c>
      <c r="T162" s="94">
        <f t="shared" si="33"/>
        <v>0.92043265600000013</v>
      </c>
      <c r="U162" s="93">
        <f t="shared" si="34"/>
        <v>9.2043265600000021E-2</v>
      </c>
      <c r="V162" s="93">
        <f t="shared" si="35"/>
        <v>9.2043265600000018E-3</v>
      </c>
      <c r="W162" s="93">
        <f t="shared" si="36"/>
        <v>9.2043265600000018E-3</v>
      </c>
      <c r="X162" s="93">
        <f t="shared" si="37"/>
        <v>1.0308845747199999</v>
      </c>
      <c r="Y162" s="115"/>
    </row>
    <row r="163" spans="1:25" s="90" customFormat="1">
      <c r="A163" s="95" t="s">
        <v>1451</v>
      </c>
      <c r="B163" s="95" t="s">
        <v>1668</v>
      </c>
      <c r="C163" s="95" t="s">
        <v>1427</v>
      </c>
      <c r="D163" s="101" t="s">
        <v>1458</v>
      </c>
      <c r="E163" s="101" t="s">
        <v>1455</v>
      </c>
      <c r="F163" s="101" t="s">
        <v>1670</v>
      </c>
      <c r="G163" s="101" t="s">
        <v>1459</v>
      </c>
      <c r="H163" s="101" t="str">
        <f>IFERROR(VLOOKUP(I163,'Raw material list'!$A$3:$C$695,3,0),"")</f>
        <v>DRS1-3357</v>
      </c>
      <c r="I163" s="97" t="s">
        <v>56</v>
      </c>
      <c r="J163" s="101" t="s">
        <v>111</v>
      </c>
      <c r="K163" s="101" t="str">
        <f>IFERROR(VLOOKUP(I163,'Raw material list'!$A$3:$E$695,5,0),"")</f>
        <v xml:space="preserve">Gram </v>
      </c>
      <c r="L163" s="95">
        <v>13.84</v>
      </c>
      <c r="M163" s="98">
        <f t="shared" si="31"/>
        <v>13.84</v>
      </c>
      <c r="N163" s="98">
        <v>100</v>
      </c>
      <c r="O163" s="95">
        <v>10</v>
      </c>
      <c r="P163" s="98">
        <f t="shared" si="41"/>
        <v>1.3839999999999999</v>
      </c>
      <c r="Q163" s="99">
        <f>IFERROR(VLOOKUP(I163,'Raw material list'!$A$3:$F$695,6,0),"")</f>
        <v>6.8440000000000001E-2</v>
      </c>
      <c r="R163" s="100">
        <f t="shared" si="38"/>
        <v>9.4720959999999993E-2</v>
      </c>
      <c r="S163" s="94">
        <f t="shared" si="32"/>
        <v>9.4720959999999993E-3</v>
      </c>
      <c r="T163" s="94">
        <f t="shared" si="33"/>
        <v>0.10419305599999999</v>
      </c>
      <c r="U163" s="93">
        <f t="shared" si="34"/>
        <v>1.04193056E-2</v>
      </c>
      <c r="V163" s="93">
        <f t="shared" si="35"/>
        <v>1.0419305599999999E-3</v>
      </c>
      <c r="W163" s="93">
        <f t="shared" si="36"/>
        <v>1.0419305599999999E-3</v>
      </c>
      <c r="X163" s="93">
        <f t="shared" si="37"/>
        <v>0.11669622271999999</v>
      </c>
      <c r="Y163" s="115"/>
    </row>
    <row r="164" spans="1:25" s="90" customFormat="1">
      <c r="A164" s="95" t="s">
        <v>1451</v>
      </c>
      <c r="B164" s="95" t="s">
        <v>1668</v>
      </c>
      <c r="C164" s="95" t="s">
        <v>1427</v>
      </c>
      <c r="D164" s="101" t="s">
        <v>1458</v>
      </c>
      <c r="E164" s="101" t="s">
        <v>1455</v>
      </c>
      <c r="F164" s="101" t="s">
        <v>1670</v>
      </c>
      <c r="G164" s="101" t="s">
        <v>1459</v>
      </c>
      <c r="H164" s="101" t="str">
        <f>IFERROR(VLOOKUP(I164,'Raw material list'!$A$3:$C$695,3,0),"")</f>
        <v>PRD1-209</v>
      </c>
      <c r="I164" s="97" t="s">
        <v>26</v>
      </c>
      <c r="J164" s="101" t="s">
        <v>111</v>
      </c>
      <c r="K164" s="101" t="str">
        <f>IFERROR(VLOOKUP(I164,'Raw material list'!$A$3:$E$695,5,0),"")</f>
        <v xml:space="preserve">Gram </v>
      </c>
      <c r="L164" s="95">
        <v>15.38</v>
      </c>
      <c r="M164" s="98">
        <f t="shared" si="31"/>
        <v>40.473684210526315</v>
      </c>
      <c r="N164" s="98">
        <v>38</v>
      </c>
      <c r="O164" s="95">
        <v>10</v>
      </c>
      <c r="P164" s="98">
        <f t="shared" si="41"/>
        <v>1.538</v>
      </c>
      <c r="Q164" s="99">
        <f>IFERROR(VLOOKUP(I164,'Raw material list'!$A$3:$F$695,6,0),"")</f>
        <v>1.0088272383354351E-2</v>
      </c>
      <c r="R164" s="100">
        <f t="shared" si="38"/>
        <v>1.5515762925598992E-2</v>
      </c>
      <c r="S164" s="94">
        <f t="shared" si="32"/>
        <v>1.5515762925598993E-3</v>
      </c>
      <c r="T164" s="94">
        <f t="shared" si="33"/>
        <v>1.7067339218158891E-2</v>
      </c>
      <c r="U164" s="93">
        <f t="shared" si="34"/>
        <v>1.7067339218158892E-3</v>
      </c>
      <c r="V164" s="93">
        <f t="shared" si="35"/>
        <v>1.7067339218158892E-4</v>
      </c>
      <c r="W164" s="93">
        <f t="shared" si="36"/>
        <v>1.7067339218158892E-4</v>
      </c>
      <c r="X164" s="93">
        <f t="shared" si="37"/>
        <v>1.9115419924337958E-2</v>
      </c>
      <c r="Y164" s="115"/>
    </row>
    <row r="165" spans="1:25" s="90" customFormat="1">
      <c r="A165" s="95" t="s">
        <v>1451</v>
      </c>
      <c r="B165" s="95" t="s">
        <v>1668</v>
      </c>
      <c r="C165" s="95" t="s">
        <v>1427</v>
      </c>
      <c r="D165" s="101" t="s">
        <v>1458</v>
      </c>
      <c r="E165" s="101" t="s">
        <v>1455</v>
      </c>
      <c r="F165" s="101" t="s">
        <v>1670</v>
      </c>
      <c r="G165" s="101" t="s">
        <v>1459</v>
      </c>
      <c r="H165" s="101" t="str">
        <f>IFERROR(VLOOKUP(I165,'Raw material list'!$A$3:$C$695,3,0),"")</f>
        <v>WAT-001</v>
      </c>
      <c r="I165" s="97" t="s">
        <v>1406</v>
      </c>
      <c r="J165" s="101" t="s">
        <v>161</v>
      </c>
      <c r="K165" s="101" t="str">
        <f>IFERROR(VLOOKUP(I165,'Raw material list'!$A$3:$E$695,5,0),"")</f>
        <v>Ml</v>
      </c>
      <c r="L165" s="95">
        <v>307.69</v>
      </c>
      <c r="M165" s="98">
        <f t="shared" si="31"/>
        <v>307.69</v>
      </c>
      <c r="N165" s="98">
        <v>100</v>
      </c>
      <c r="O165" s="95">
        <v>10</v>
      </c>
      <c r="P165" s="98">
        <f t="shared" si="41"/>
        <v>30.768999999999998</v>
      </c>
      <c r="Q165" s="99">
        <f>IFERROR(VLOOKUP(I165,'Raw material list'!$A$3:$F$695,6,0),"")</f>
        <v>8.0000000000000007E-5</v>
      </c>
      <c r="R165" s="100">
        <f t="shared" si="38"/>
        <v>2.46152E-3</v>
      </c>
      <c r="S165" s="94">
        <f t="shared" si="32"/>
        <v>2.4615200000000002E-4</v>
      </c>
      <c r="T165" s="94">
        <f t="shared" si="33"/>
        <v>2.7076719999999999E-3</v>
      </c>
      <c r="U165" s="93">
        <f t="shared" si="34"/>
        <v>2.7076720000000001E-4</v>
      </c>
      <c r="V165" s="93">
        <f t="shared" si="35"/>
        <v>2.7076719999999999E-5</v>
      </c>
      <c r="W165" s="93">
        <f t="shared" si="36"/>
        <v>2.7076719999999999E-5</v>
      </c>
      <c r="X165" s="93">
        <f t="shared" si="37"/>
        <v>3.0325926400000002E-3</v>
      </c>
      <c r="Y165" s="115"/>
    </row>
    <row r="166" spans="1:25" s="90" customFormat="1">
      <c r="A166" s="95" t="s">
        <v>1451</v>
      </c>
      <c r="B166" s="95" t="s">
        <v>1668</v>
      </c>
      <c r="C166" s="95" t="s">
        <v>1427</v>
      </c>
      <c r="D166" s="101" t="s">
        <v>1458</v>
      </c>
      <c r="E166" s="101" t="s">
        <v>1455</v>
      </c>
      <c r="F166" s="101" t="s">
        <v>1670</v>
      </c>
      <c r="G166" s="101" t="s">
        <v>1459</v>
      </c>
      <c r="H166" s="101" t="str">
        <f>IFERROR(VLOOKUP(I166,'Raw material list'!$A$3:$C$695,3,0),"")</f>
        <v>DRS5-21</v>
      </c>
      <c r="I166" s="97" t="s">
        <v>412</v>
      </c>
      <c r="J166" s="101" t="s">
        <v>111</v>
      </c>
      <c r="K166" s="101" t="str">
        <f>IFERROR(VLOOKUP(I166,'Raw material list'!$A$3:$E$695,5,0),"")</f>
        <v xml:space="preserve">Gram </v>
      </c>
      <c r="L166" s="95">
        <v>7.69</v>
      </c>
      <c r="M166" s="98">
        <f t="shared" si="31"/>
        <v>7.6900000000000013</v>
      </c>
      <c r="N166" s="98">
        <v>100</v>
      </c>
      <c r="O166" s="95">
        <v>10</v>
      </c>
      <c r="P166" s="98">
        <f t="shared" si="41"/>
        <v>0.76900000000000002</v>
      </c>
      <c r="Q166" s="99">
        <f>IFERROR(VLOOKUP(I166,'Raw material list'!$A$3:$F$695,6,0),"")</f>
        <v>2.0799999999999998E-3</v>
      </c>
      <c r="R166" s="100">
        <f t="shared" si="38"/>
        <v>1.5995199999999999E-3</v>
      </c>
      <c r="S166" s="94">
        <f t="shared" si="32"/>
        <v>1.5995199999999999E-4</v>
      </c>
      <c r="T166" s="94">
        <f t="shared" si="33"/>
        <v>1.7594719999999998E-3</v>
      </c>
      <c r="U166" s="93">
        <f t="shared" si="34"/>
        <v>1.7594719999999999E-4</v>
      </c>
      <c r="V166" s="93">
        <f t="shared" si="35"/>
        <v>1.7594719999999997E-5</v>
      </c>
      <c r="W166" s="93">
        <f t="shared" si="36"/>
        <v>1.7594719999999997E-5</v>
      </c>
      <c r="X166" s="93">
        <f t="shared" si="37"/>
        <v>1.9706086399999996E-3</v>
      </c>
      <c r="Y166" s="115"/>
    </row>
    <row r="167" spans="1:25" s="90" customFormat="1">
      <c r="A167" s="95" t="s">
        <v>1451</v>
      </c>
      <c r="B167" s="95" t="s">
        <v>1668</v>
      </c>
      <c r="C167" s="95" t="s">
        <v>1427</v>
      </c>
      <c r="D167" s="101" t="s">
        <v>1458</v>
      </c>
      <c r="E167" s="101" t="s">
        <v>1455</v>
      </c>
      <c r="F167" s="101" t="s">
        <v>1670</v>
      </c>
      <c r="G167" s="101" t="s">
        <v>1433</v>
      </c>
      <c r="H167" s="101" t="str">
        <f>IFERROR(VLOOKUP(I167,'Raw material list'!$A$3:$C$695,3,0),"")</f>
        <v>DRS4-498</v>
      </c>
      <c r="I167" s="97" t="s">
        <v>62</v>
      </c>
      <c r="J167" s="101" t="s">
        <v>111</v>
      </c>
      <c r="K167" s="101" t="str">
        <f>IFERROR(VLOOKUP(I167,'Raw material list'!$A$3:$E$695,5,0),"")</f>
        <v xml:space="preserve">Gram </v>
      </c>
      <c r="L167" s="95">
        <v>600</v>
      </c>
      <c r="M167" s="98">
        <f t="shared" si="31"/>
        <v>600</v>
      </c>
      <c r="N167" s="98">
        <v>100</v>
      </c>
      <c r="O167" s="95">
        <v>10</v>
      </c>
      <c r="P167" s="98">
        <f t="shared" si="41"/>
        <v>60</v>
      </c>
      <c r="Q167" s="99">
        <f>IFERROR(VLOOKUP(I167,'Raw material list'!$A$3:$F$695,6,0),"")</f>
        <v>5.7499999999999999E-3</v>
      </c>
      <c r="R167" s="100">
        <f t="shared" si="38"/>
        <v>0.34499999999999997</v>
      </c>
      <c r="S167" s="94">
        <f t="shared" si="32"/>
        <v>3.4499999999999996E-2</v>
      </c>
      <c r="T167" s="94">
        <f t="shared" si="33"/>
        <v>0.37949999999999995</v>
      </c>
      <c r="U167" s="93">
        <f t="shared" si="34"/>
        <v>3.7949999999999998E-2</v>
      </c>
      <c r="V167" s="93">
        <f t="shared" si="35"/>
        <v>3.7949999999999998E-3</v>
      </c>
      <c r="W167" s="93">
        <f t="shared" si="36"/>
        <v>3.7949999999999998E-3</v>
      </c>
      <c r="X167" s="93">
        <f t="shared" si="37"/>
        <v>0.42503999999999992</v>
      </c>
      <c r="Y167" s="115"/>
    </row>
    <row r="168" spans="1:25" s="90" customFormat="1">
      <c r="A168" s="95" t="s">
        <v>1451</v>
      </c>
      <c r="B168" s="95" t="s">
        <v>1668</v>
      </c>
      <c r="C168" s="95" t="s">
        <v>1427</v>
      </c>
      <c r="D168" s="101" t="s">
        <v>1458</v>
      </c>
      <c r="E168" s="101" t="s">
        <v>1455</v>
      </c>
      <c r="F168" s="101" t="s">
        <v>1670</v>
      </c>
      <c r="G168" s="101" t="s">
        <v>1433</v>
      </c>
      <c r="H168" s="101" t="str">
        <f>IFERROR(VLOOKUP(I168,'Raw material list'!$A$3:$C$695,3,0),"")</f>
        <v>WAT-001</v>
      </c>
      <c r="I168" s="97" t="s">
        <v>1406</v>
      </c>
      <c r="J168" s="101" t="s">
        <v>161</v>
      </c>
      <c r="K168" s="101" t="str">
        <f>IFERROR(VLOOKUP(I168,'Raw material list'!$A$3:$E$695,5,0),"")</f>
        <v>Ml</v>
      </c>
      <c r="L168" s="95">
        <v>1100</v>
      </c>
      <c r="M168" s="98">
        <f t="shared" si="31"/>
        <v>1100</v>
      </c>
      <c r="N168" s="98">
        <v>100</v>
      </c>
      <c r="O168" s="95">
        <v>10</v>
      </c>
      <c r="P168" s="98">
        <f t="shared" si="41"/>
        <v>110</v>
      </c>
      <c r="Q168" s="99">
        <f>IFERROR(VLOOKUP(I168,'Raw material list'!$A$3:$F$695,6,0),"")</f>
        <v>8.0000000000000007E-5</v>
      </c>
      <c r="R168" s="100">
        <f t="shared" si="38"/>
        <v>8.8000000000000005E-3</v>
      </c>
      <c r="S168" s="94">
        <f t="shared" si="32"/>
        <v>8.8000000000000014E-4</v>
      </c>
      <c r="T168" s="94">
        <f t="shared" si="33"/>
        <v>9.6800000000000011E-3</v>
      </c>
      <c r="U168" s="93">
        <f t="shared" si="34"/>
        <v>9.6800000000000011E-4</v>
      </c>
      <c r="V168" s="93">
        <f t="shared" si="35"/>
        <v>9.6800000000000008E-5</v>
      </c>
      <c r="W168" s="93">
        <f t="shared" si="36"/>
        <v>9.6800000000000008E-5</v>
      </c>
      <c r="X168" s="93">
        <f t="shared" si="37"/>
        <v>1.08416E-2</v>
      </c>
      <c r="Y168" s="115"/>
    </row>
    <row r="169" spans="1:25" s="90" customFormat="1">
      <c r="A169" s="95" t="s">
        <v>1451</v>
      </c>
      <c r="B169" s="95" t="s">
        <v>1668</v>
      </c>
      <c r="C169" s="95" t="s">
        <v>1427</v>
      </c>
      <c r="D169" s="101" t="s">
        <v>1458</v>
      </c>
      <c r="E169" s="101" t="s">
        <v>1455</v>
      </c>
      <c r="F169" s="101" t="s">
        <v>1670</v>
      </c>
      <c r="G169" s="101" t="s">
        <v>1433</v>
      </c>
      <c r="H169" s="101" t="str">
        <f>IFERROR(VLOOKUP(I169,'Raw material list'!$A$3:$C$695,3,0),"")</f>
        <v>DRS1-3880</v>
      </c>
      <c r="I169" s="97" t="s">
        <v>1398</v>
      </c>
      <c r="J169" s="101" t="s">
        <v>111</v>
      </c>
      <c r="K169" s="101" t="str">
        <f>IFERROR(VLOOKUP(I169,'Raw material list'!$A$3:$E$695,5,0),"")</f>
        <v xml:space="preserve">Gram </v>
      </c>
      <c r="L169" s="95">
        <v>14</v>
      </c>
      <c r="M169" s="98">
        <f t="shared" si="31"/>
        <v>14.000000000000002</v>
      </c>
      <c r="N169" s="98">
        <v>100</v>
      </c>
      <c r="O169" s="95">
        <v>10</v>
      </c>
      <c r="P169" s="98">
        <f t="shared" si="41"/>
        <v>1.4</v>
      </c>
      <c r="Q169" s="99">
        <f>IFERROR(VLOOKUP(I169,'Raw material list'!$A$3:$F$695,6,0),"")</f>
        <v>5.0000000000000001E-4</v>
      </c>
      <c r="R169" s="100">
        <f t="shared" si="38"/>
        <v>6.9999999999999999E-4</v>
      </c>
      <c r="S169" s="94">
        <f t="shared" si="32"/>
        <v>7.0000000000000007E-5</v>
      </c>
      <c r="T169" s="94">
        <f t="shared" si="33"/>
        <v>7.6999999999999996E-4</v>
      </c>
      <c r="U169" s="93">
        <f t="shared" si="34"/>
        <v>7.7000000000000001E-5</v>
      </c>
      <c r="V169" s="93">
        <f t="shared" si="35"/>
        <v>7.6999999999999991E-6</v>
      </c>
      <c r="W169" s="93">
        <f t="shared" si="36"/>
        <v>7.6999999999999991E-6</v>
      </c>
      <c r="X169" s="93">
        <f t="shared" si="37"/>
        <v>8.6240000000000004E-4</v>
      </c>
      <c r="Y169" s="115"/>
    </row>
    <row r="170" spans="1:25" s="90" customFormat="1">
      <c r="A170" s="95" t="s">
        <v>1451</v>
      </c>
      <c r="B170" s="95" t="s">
        <v>1668</v>
      </c>
      <c r="C170" s="95" t="s">
        <v>1427</v>
      </c>
      <c r="D170" s="101" t="s">
        <v>1458</v>
      </c>
      <c r="E170" s="101" t="s">
        <v>1455</v>
      </c>
      <c r="F170" s="101" t="s">
        <v>1670</v>
      </c>
      <c r="G170" s="101" t="s">
        <v>1433</v>
      </c>
      <c r="H170" s="101" t="str">
        <f>IFERROR(VLOOKUP(I170,'Raw material list'!$A$3:$C$695,3,0),"")</f>
        <v>DRS6-309</v>
      </c>
      <c r="I170" s="97" t="s">
        <v>35</v>
      </c>
      <c r="J170" s="101" t="s">
        <v>111</v>
      </c>
      <c r="K170" s="101" t="str">
        <f>IFERROR(VLOOKUP(I170,'Raw material list'!$A$3:$E$695,5,0),"")</f>
        <v xml:space="preserve">Gram </v>
      </c>
      <c r="L170" s="95">
        <v>1</v>
      </c>
      <c r="M170" s="98">
        <f t="shared" si="31"/>
        <v>1</v>
      </c>
      <c r="N170" s="98">
        <v>100</v>
      </c>
      <c r="O170" s="95">
        <v>10</v>
      </c>
      <c r="P170" s="98">
        <f t="shared" si="41"/>
        <v>0.1</v>
      </c>
      <c r="Q170" s="99">
        <f>IFERROR(VLOOKUP(I170,'Raw material list'!$A$3:$F$695,6,0),"")</f>
        <v>2.8000000000000001E-2</v>
      </c>
      <c r="R170" s="100">
        <f t="shared" si="38"/>
        <v>2.8000000000000004E-3</v>
      </c>
      <c r="S170" s="94">
        <f t="shared" si="32"/>
        <v>2.8000000000000003E-4</v>
      </c>
      <c r="T170" s="94">
        <f t="shared" si="33"/>
        <v>3.0800000000000003E-3</v>
      </c>
      <c r="U170" s="93">
        <f t="shared" si="34"/>
        <v>3.0800000000000006E-4</v>
      </c>
      <c r="V170" s="93">
        <f t="shared" si="35"/>
        <v>3.0800000000000003E-5</v>
      </c>
      <c r="W170" s="93">
        <f t="shared" si="36"/>
        <v>3.0800000000000003E-5</v>
      </c>
      <c r="X170" s="93">
        <f t="shared" si="37"/>
        <v>3.4496000000000006E-3</v>
      </c>
      <c r="Y170" s="115"/>
    </row>
    <row r="171" spans="1:25" s="90" customFormat="1">
      <c r="A171" s="95" t="s">
        <v>1451</v>
      </c>
      <c r="B171" s="95" t="s">
        <v>1668</v>
      </c>
      <c r="C171" s="95" t="s">
        <v>1427</v>
      </c>
      <c r="D171" s="101" t="s">
        <v>1458</v>
      </c>
      <c r="E171" s="101" t="s">
        <v>1455</v>
      </c>
      <c r="F171" s="101" t="s">
        <v>1670</v>
      </c>
      <c r="G171" s="101" t="s">
        <v>1433</v>
      </c>
      <c r="H171" s="101" t="str">
        <f>IFERROR(VLOOKUP(I171,'Raw material list'!$A$3:$C$695,3,0),"")</f>
        <v>DRS6-3593</v>
      </c>
      <c r="I171" s="97" t="s">
        <v>1417</v>
      </c>
      <c r="J171" s="101" t="s">
        <v>111</v>
      </c>
      <c r="K171" s="101" t="str">
        <f>IFERROR(VLOOKUP(I171,'Raw material list'!$A$3:$E$695,5,0),"")</f>
        <v xml:space="preserve">Gram </v>
      </c>
      <c r="L171" s="95">
        <v>1</v>
      </c>
      <c r="M171" s="98">
        <f t="shared" si="31"/>
        <v>1</v>
      </c>
      <c r="N171" s="98">
        <v>100</v>
      </c>
      <c r="O171" s="95">
        <v>10</v>
      </c>
      <c r="P171" s="98">
        <f t="shared" si="41"/>
        <v>0.1</v>
      </c>
      <c r="Q171" s="99">
        <f>IFERROR(VLOOKUP(I171,'Raw material list'!$A$3:$F$695,6,0),"")</f>
        <v>1.0500000000000001E-2</v>
      </c>
      <c r="R171" s="100">
        <f t="shared" si="38"/>
        <v>1.0500000000000002E-3</v>
      </c>
      <c r="S171" s="94">
        <f t="shared" si="32"/>
        <v>1.0500000000000002E-4</v>
      </c>
      <c r="T171" s="94">
        <f t="shared" si="33"/>
        <v>1.1550000000000002E-3</v>
      </c>
      <c r="U171" s="93">
        <f t="shared" si="34"/>
        <v>1.1550000000000003E-4</v>
      </c>
      <c r="V171" s="93">
        <f t="shared" si="35"/>
        <v>1.1550000000000003E-5</v>
      </c>
      <c r="W171" s="93">
        <f t="shared" si="36"/>
        <v>1.1550000000000003E-5</v>
      </c>
      <c r="X171" s="93">
        <f t="shared" si="37"/>
        <v>1.2936E-3</v>
      </c>
      <c r="Y171" s="115"/>
    </row>
    <row r="172" spans="1:25" s="90" customFormat="1">
      <c r="A172" s="95" t="s">
        <v>1451</v>
      </c>
      <c r="B172" s="95" t="s">
        <v>1668</v>
      </c>
      <c r="C172" s="95" t="s">
        <v>1427</v>
      </c>
      <c r="D172" s="101" t="s">
        <v>1458</v>
      </c>
      <c r="E172" s="101" t="s">
        <v>1455</v>
      </c>
      <c r="F172" s="101" t="s">
        <v>1670</v>
      </c>
      <c r="G172" s="101" t="s">
        <v>1433</v>
      </c>
      <c r="H172" s="101" t="str">
        <f>IFERROR(VLOOKUP(I172,'Raw material list'!$A$3:$C$695,3,0),"")</f>
        <v>DRS3-1813</v>
      </c>
      <c r="I172" s="97" t="s">
        <v>39</v>
      </c>
      <c r="J172" s="101" t="s">
        <v>161</v>
      </c>
      <c r="K172" s="101" t="str">
        <f>IFERROR(VLOOKUP(I172,'Raw material list'!$A$3:$E$695,5,0),"")</f>
        <v>Ml</v>
      </c>
      <c r="L172" s="95">
        <v>30</v>
      </c>
      <c r="M172" s="98">
        <f t="shared" si="31"/>
        <v>30</v>
      </c>
      <c r="N172" s="98">
        <v>100</v>
      </c>
      <c r="O172" s="95">
        <v>10</v>
      </c>
      <c r="P172" s="98">
        <f t="shared" si="41"/>
        <v>3</v>
      </c>
      <c r="Q172" s="99">
        <f>IFERROR(VLOOKUP(I172,'Raw material list'!$A$3:$F$695,6,0),"")</f>
        <v>8.0555555555555554E-3</v>
      </c>
      <c r="R172" s="100">
        <f t="shared" si="38"/>
        <v>2.4166666666666666E-2</v>
      </c>
      <c r="S172" s="94">
        <f t="shared" si="32"/>
        <v>2.4166666666666668E-3</v>
      </c>
      <c r="T172" s="94">
        <f t="shared" si="33"/>
        <v>2.6583333333333334E-2</v>
      </c>
      <c r="U172" s="93">
        <f t="shared" si="34"/>
        <v>2.6583333333333337E-3</v>
      </c>
      <c r="V172" s="93">
        <f t="shared" si="35"/>
        <v>2.6583333333333336E-4</v>
      </c>
      <c r="W172" s="93">
        <f t="shared" si="36"/>
        <v>2.6583333333333336E-4</v>
      </c>
      <c r="X172" s="93">
        <f t="shared" si="37"/>
        <v>2.9773333333333332E-2</v>
      </c>
      <c r="Y172" s="115"/>
    </row>
    <row r="173" spans="1:25" s="90" customFormat="1">
      <c r="A173" s="95" t="s">
        <v>1451</v>
      </c>
      <c r="B173" s="95" t="s">
        <v>1668</v>
      </c>
      <c r="C173" s="95" t="s">
        <v>1427</v>
      </c>
      <c r="D173" s="101" t="s">
        <v>1458</v>
      </c>
      <c r="E173" s="101" t="s">
        <v>1455</v>
      </c>
      <c r="F173" s="101" t="s">
        <v>1670</v>
      </c>
      <c r="G173" s="101" t="s">
        <v>1433</v>
      </c>
      <c r="H173" s="101" t="str">
        <f>IFERROR(VLOOKUP(I173,'Raw material list'!$A$3:$C$695,3,0),"")</f>
        <v>DRS6-539</v>
      </c>
      <c r="I173" s="97" t="s">
        <v>717</v>
      </c>
      <c r="J173" s="101" t="s">
        <v>111</v>
      </c>
      <c r="K173" s="101" t="str">
        <f>IFERROR(VLOOKUP(I173,'Raw material list'!$A$3:$E$695,5,0),"")</f>
        <v xml:space="preserve">Gram </v>
      </c>
      <c r="L173" s="95">
        <v>2</v>
      </c>
      <c r="M173" s="98">
        <f t="shared" si="31"/>
        <v>2</v>
      </c>
      <c r="N173" s="98">
        <v>100</v>
      </c>
      <c r="O173" s="95">
        <v>10</v>
      </c>
      <c r="P173" s="98">
        <f t="shared" si="41"/>
        <v>0.2</v>
      </c>
      <c r="Q173" s="99">
        <f>IFERROR(VLOOKUP(I173,'Raw material list'!$A$3:$F$695,6,0),"")</f>
        <v>0.16</v>
      </c>
      <c r="R173" s="100">
        <f t="shared" si="38"/>
        <v>3.2000000000000001E-2</v>
      </c>
      <c r="S173" s="94">
        <f t="shared" si="32"/>
        <v>3.2000000000000002E-3</v>
      </c>
      <c r="T173" s="94">
        <f t="shared" si="33"/>
        <v>3.5200000000000002E-2</v>
      </c>
      <c r="U173" s="93">
        <f t="shared" si="34"/>
        <v>3.5200000000000006E-3</v>
      </c>
      <c r="V173" s="93">
        <f t="shared" si="35"/>
        <v>3.5200000000000005E-4</v>
      </c>
      <c r="W173" s="93">
        <f t="shared" si="36"/>
        <v>3.5200000000000005E-4</v>
      </c>
      <c r="X173" s="93">
        <f t="shared" si="37"/>
        <v>3.9424000000000001E-2</v>
      </c>
      <c r="Y173" s="115"/>
    </row>
    <row r="174" spans="1:25" s="90" customFormat="1">
      <c r="A174" s="95" t="s">
        <v>1451</v>
      </c>
      <c r="B174" s="95" t="s">
        <v>1668</v>
      </c>
      <c r="C174" s="95" t="s">
        <v>1427</v>
      </c>
      <c r="D174" s="101" t="s">
        <v>1458</v>
      </c>
      <c r="E174" s="101" t="s">
        <v>1455</v>
      </c>
      <c r="F174" s="101" t="s">
        <v>1670</v>
      </c>
      <c r="G174" s="101" t="s">
        <v>1433</v>
      </c>
      <c r="H174" s="101" t="str">
        <f>IFERROR(VLOOKUP(I174,'Raw material list'!$A$3:$C$695,3,0),"")</f>
        <v>DRS6-261</v>
      </c>
      <c r="I174" s="97" t="s">
        <v>1565</v>
      </c>
      <c r="J174" s="101" t="s">
        <v>111</v>
      </c>
      <c r="K174" s="101" t="str">
        <f>IFERROR(VLOOKUP(I174,'Raw material list'!$A$3:$E$695,5,0),"")</f>
        <v xml:space="preserve">Gram </v>
      </c>
      <c r="L174" s="95">
        <v>0.3</v>
      </c>
      <c r="M174" s="98">
        <f t="shared" si="31"/>
        <v>0.3</v>
      </c>
      <c r="N174" s="98">
        <v>100</v>
      </c>
      <c r="O174" s="95">
        <v>10</v>
      </c>
      <c r="P174" s="98">
        <f t="shared" si="41"/>
        <v>0.03</v>
      </c>
      <c r="Q174" s="99">
        <f>IFERROR(VLOOKUP(I174,'Raw material list'!$A$3:$F$695,6,0),"")</f>
        <v>1.4E-2</v>
      </c>
      <c r="R174" s="100">
        <f t="shared" si="38"/>
        <v>4.2000000000000002E-4</v>
      </c>
      <c r="S174" s="94">
        <f t="shared" si="32"/>
        <v>4.2000000000000004E-5</v>
      </c>
      <c r="T174" s="94">
        <f t="shared" si="33"/>
        <v>4.6200000000000001E-4</v>
      </c>
      <c r="U174" s="93">
        <f t="shared" si="34"/>
        <v>4.6200000000000005E-5</v>
      </c>
      <c r="V174" s="93">
        <f t="shared" si="35"/>
        <v>4.6199999999999998E-6</v>
      </c>
      <c r="W174" s="93">
        <f t="shared" si="36"/>
        <v>4.6199999999999998E-6</v>
      </c>
      <c r="X174" s="93">
        <f t="shared" si="37"/>
        <v>5.1743999999999998E-4</v>
      </c>
      <c r="Y174" s="115"/>
    </row>
    <row r="175" spans="1:25" s="90" customFormat="1">
      <c r="A175" s="95" t="s">
        <v>1467</v>
      </c>
      <c r="B175" s="95" t="s">
        <v>1668</v>
      </c>
      <c r="C175" s="95" t="s">
        <v>1427</v>
      </c>
      <c r="D175" s="101" t="s">
        <v>1460</v>
      </c>
      <c r="E175" s="101" t="s">
        <v>1455</v>
      </c>
      <c r="F175" s="101" t="s">
        <v>1671</v>
      </c>
      <c r="G175" s="101"/>
      <c r="H175" s="97" t="str">
        <f>IFERROR(VLOOKUP(I175,'Raw material list'!$A$3:$C$695,3,0),"")</f>
        <v>PLT2-3278</v>
      </c>
      <c r="I175" s="97" t="s">
        <v>61</v>
      </c>
      <c r="J175" s="101" t="s">
        <v>111</v>
      </c>
      <c r="K175" s="101" t="str">
        <f>IFERROR(VLOOKUP(I175,'Raw material list'!$A$3:$E$695,5,0),"")</f>
        <v xml:space="preserve">Gram </v>
      </c>
      <c r="L175" s="95">
        <v>1000</v>
      </c>
      <c r="M175" s="98">
        <f t="shared" si="31"/>
        <v>1312.3359580052493</v>
      </c>
      <c r="N175" s="98">
        <v>76.2</v>
      </c>
      <c r="O175" s="95">
        <v>10</v>
      </c>
      <c r="P175" s="98">
        <f t="shared" si="41"/>
        <v>100</v>
      </c>
      <c r="Q175" s="99">
        <f>IFERROR(VLOOKUP(I175,'Raw material list'!$A$3:$F$695,6,0),"")</f>
        <v>3.035714285714285E-2</v>
      </c>
      <c r="R175" s="100">
        <f t="shared" ref="R175" si="42">IFERROR(Q175*P175,0)</f>
        <v>3.0357142857142851</v>
      </c>
      <c r="S175" s="94">
        <f t="shared" si="32"/>
        <v>0.30357142857142855</v>
      </c>
      <c r="T175" s="94">
        <f t="shared" si="33"/>
        <v>3.3392857142857135</v>
      </c>
      <c r="U175" s="93">
        <f t="shared" si="34"/>
        <v>0.33392857142857135</v>
      </c>
      <c r="V175" s="93">
        <f t="shared" si="35"/>
        <v>3.3392857142857134E-2</v>
      </c>
      <c r="W175" s="93">
        <f t="shared" si="36"/>
        <v>3.3392857142857134E-2</v>
      </c>
      <c r="X175" s="93">
        <f t="shared" si="37"/>
        <v>3.7399999999999993</v>
      </c>
      <c r="Y175" s="127" t="s">
        <v>1675</v>
      </c>
    </row>
    <row r="176" spans="1:25" s="90" customFormat="1">
      <c r="A176" s="95" t="s">
        <v>1467</v>
      </c>
      <c r="B176" s="95" t="s">
        <v>1668</v>
      </c>
      <c r="C176" s="95" t="s">
        <v>1427</v>
      </c>
      <c r="D176" s="101" t="s">
        <v>1460</v>
      </c>
      <c r="E176" s="101" t="s">
        <v>1455</v>
      </c>
      <c r="F176" s="101" t="s">
        <v>1670</v>
      </c>
      <c r="G176" s="101" t="s">
        <v>1461</v>
      </c>
      <c r="H176" s="97" t="str">
        <f>IFERROR(VLOOKUP(I176,'Raw material list'!$A$3:$C$695,3,0),"")</f>
        <v>PRD3-5038</v>
      </c>
      <c r="I176" s="97" t="s">
        <v>955</v>
      </c>
      <c r="J176" s="101" t="s">
        <v>111</v>
      </c>
      <c r="K176" s="101" t="str">
        <f>IFERROR(VLOOKUP(I176,'Raw material list'!$A$3:$E$695,5,0),"")</f>
        <v xml:space="preserve">Gram </v>
      </c>
      <c r="L176" s="95">
        <v>70</v>
      </c>
      <c r="M176" s="98">
        <f t="shared" si="31"/>
        <v>70</v>
      </c>
      <c r="N176" s="98">
        <v>100</v>
      </c>
      <c r="O176" s="95">
        <v>10</v>
      </c>
      <c r="P176" s="98">
        <f t="shared" si="41"/>
        <v>7</v>
      </c>
      <c r="Q176" s="99">
        <f>IFERROR(VLOOKUP(I176,'Raw material list'!$A$3:$F$695,6,0),"")</f>
        <v>2.5999999999999999E-2</v>
      </c>
      <c r="R176" s="100">
        <f t="shared" ref="R176:R243" si="43">IFERROR(Q176*P176,0)</f>
        <v>0.182</v>
      </c>
      <c r="S176" s="94">
        <f t="shared" si="32"/>
        <v>1.8200000000000001E-2</v>
      </c>
      <c r="T176" s="94">
        <f t="shared" si="33"/>
        <v>0.20019999999999999</v>
      </c>
      <c r="U176" s="93">
        <f t="shared" si="34"/>
        <v>2.002E-2</v>
      </c>
      <c r="V176" s="93">
        <f t="shared" si="35"/>
        <v>2.0019999999999999E-3</v>
      </c>
      <c r="W176" s="93">
        <f t="shared" si="36"/>
        <v>2.0019999999999999E-3</v>
      </c>
      <c r="X176" s="93">
        <f t="shared" si="37"/>
        <v>0.22422400000000001</v>
      </c>
      <c r="Y176" s="117"/>
    </row>
    <row r="177" spans="1:25" s="90" customFormat="1">
      <c r="A177" s="95" t="s">
        <v>1467</v>
      </c>
      <c r="B177" s="95" t="s">
        <v>1668</v>
      </c>
      <c r="C177" s="95" t="s">
        <v>1427</v>
      </c>
      <c r="D177" s="101" t="s">
        <v>1460</v>
      </c>
      <c r="E177" s="101" t="s">
        <v>1455</v>
      </c>
      <c r="F177" s="101" t="s">
        <v>1670</v>
      </c>
      <c r="G177" s="101" t="s">
        <v>1461</v>
      </c>
      <c r="H177" s="97" t="str">
        <f>IFERROR(VLOOKUP(I177,'Raw material list'!$A$3:$C$695,3,0),"")</f>
        <v>PRD1-194</v>
      </c>
      <c r="I177" s="97" t="s">
        <v>991</v>
      </c>
      <c r="J177" s="101" t="s">
        <v>111</v>
      </c>
      <c r="K177" s="101" t="str">
        <f>IFERROR(VLOOKUP(I177,'Raw material list'!$A$3:$E$695,5,0),"")</f>
        <v xml:space="preserve">Gram </v>
      </c>
      <c r="L177" s="95">
        <v>5</v>
      </c>
      <c r="M177" s="98">
        <f t="shared" si="31"/>
        <v>5.4347826086956523</v>
      </c>
      <c r="N177" s="133">
        <v>92</v>
      </c>
      <c r="O177" s="95">
        <v>10</v>
      </c>
      <c r="P177" s="98">
        <f t="shared" si="41"/>
        <v>0.5</v>
      </c>
      <c r="Q177" s="99">
        <f>IFERROR(VLOOKUP(I177,'Raw material list'!$A$3:$F$695,6,0),"")</f>
        <v>0.11</v>
      </c>
      <c r="R177" s="100">
        <f t="shared" si="43"/>
        <v>5.5E-2</v>
      </c>
      <c r="S177" s="94">
        <f t="shared" si="32"/>
        <v>5.5000000000000005E-3</v>
      </c>
      <c r="T177" s="94">
        <f t="shared" si="33"/>
        <v>6.0499999999999998E-2</v>
      </c>
      <c r="U177" s="93">
        <f t="shared" si="34"/>
        <v>6.0499999999999998E-3</v>
      </c>
      <c r="V177" s="93">
        <f t="shared" si="35"/>
        <v>6.0499999999999996E-4</v>
      </c>
      <c r="W177" s="93">
        <f t="shared" si="36"/>
        <v>6.0499999999999996E-4</v>
      </c>
      <c r="X177" s="93">
        <f t="shared" si="37"/>
        <v>6.7759999999999987E-2</v>
      </c>
      <c r="Y177" s="117"/>
    </row>
    <row r="178" spans="1:25" s="90" customFormat="1">
      <c r="A178" s="95" t="s">
        <v>1467</v>
      </c>
      <c r="B178" s="95" t="s">
        <v>1668</v>
      </c>
      <c r="C178" s="95" t="s">
        <v>1427</v>
      </c>
      <c r="D178" s="101" t="s">
        <v>1460</v>
      </c>
      <c r="E178" s="101" t="s">
        <v>1455</v>
      </c>
      <c r="F178" s="101" t="s">
        <v>1670</v>
      </c>
      <c r="G178" s="101" t="s">
        <v>1462</v>
      </c>
      <c r="H178" s="97" t="str">
        <f>IFERROR(VLOOKUP(I178,'Raw material list'!$A$3:$C$695,3,0),"")</f>
        <v>WAT-001</v>
      </c>
      <c r="I178" s="97" t="s">
        <v>1406</v>
      </c>
      <c r="J178" s="101" t="s">
        <v>161</v>
      </c>
      <c r="K178" s="101" t="str">
        <f>IFERROR(VLOOKUP(I178,'Raw material list'!$A$3:$E$695,5,0),"")</f>
        <v>Ml</v>
      </c>
      <c r="L178" s="95">
        <v>1000</v>
      </c>
      <c r="M178" s="98">
        <f t="shared" si="31"/>
        <v>1000</v>
      </c>
      <c r="N178" s="98">
        <v>100</v>
      </c>
      <c r="O178" s="95">
        <v>10</v>
      </c>
      <c r="P178" s="98">
        <f t="shared" si="41"/>
        <v>100</v>
      </c>
      <c r="Q178" s="99">
        <f>IFERROR(VLOOKUP(I178,'Raw material list'!$A$3:$F$695,6,0),"")</f>
        <v>8.0000000000000007E-5</v>
      </c>
      <c r="R178" s="100">
        <f t="shared" si="43"/>
        <v>8.0000000000000002E-3</v>
      </c>
      <c r="S178" s="94">
        <f t="shared" si="32"/>
        <v>8.0000000000000004E-4</v>
      </c>
      <c r="T178" s="94">
        <f t="shared" si="33"/>
        <v>8.8000000000000005E-3</v>
      </c>
      <c r="U178" s="93">
        <f t="shared" si="34"/>
        <v>8.8000000000000014E-4</v>
      </c>
      <c r="V178" s="93">
        <f t="shared" si="35"/>
        <v>8.8000000000000011E-5</v>
      </c>
      <c r="W178" s="93">
        <f t="shared" si="36"/>
        <v>8.8000000000000011E-5</v>
      </c>
      <c r="X178" s="93">
        <f t="shared" si="37"/>
        <v>9.8560000000000002E-3</v>
      </c>
      <c r="Y178" s="117"/>
    </row>
    <row r="179" spans="1:25" s="90" customFormat="1">
      <c r="A179" s="95" t="s">
        <v>1467</v>
      </c>
      <c r="B179" s="95" t="s">
        <v>1668</v>
      </c>
      <c r="C179" s="95" t="s">
        <v>1427</v>
      </c>
      <c r="D179" s="101" t="s">
        <v>1460</v>
      </c>
      <c r="E179" s="101" t="s">
        <v>1455</v>
      </c>
      <c r="F179" s="101" t="s">
        <v>1670</v>
      </c>
      <c r="G179" s="101" t="s">
        <v>1462</v>
      </c>
      <c r="H179" s="97" t="str">
        <f>IFERROR(VLOOKUP(I179,'Raw material list'!$A$3:$C$695,3,0),"")</f>
        <v>DRS6-537</v>
      </c>
      <c r="I179" s="97" t="s">
        <v>25</v>
      </c>
      <c r="J179" s="101" t="s">
        <v>111</v>
      </c>
      <c r="K179" s="101" t="str">
        <f>IFERROR(VLOOKUP(I179,'Raw material list'!$A$3:$E$695,5,0),"")</f>
        <v xml:space="preserve">Gram </v>
      </c>
      <c r="L179" s="95">
        <v>1.5</v>
      </c>
      <c r="M179" s="98">
        <f t="shared" si="31"/>
        <v>1.5</v>
      </c>
      <c r="N179" s="98">
        <v>100</v>
      </c>
      <c r="O179" s="95">
        <v>10</v>
      </c>
      <c r="P179" s="98">
        <f t="shared" si="41"/>
        <v>0.15</v>
      </c>
      <c r="Q179" s="99">
        <f>IFERROR(VLOOKUP(I179,'Raw material list'!$A$3:$F$695,6,0),"")</f>
        <v>3.5000000000000003E-2</v>
      </c>
      <c r="R179" s="100">
        <f t="shared" si="43"/>
        <v>5.2500000000000003E-3</v>
      </c>
      <c r="S179" s="94">
        <f t="shared" si="32"/>
        <v>5.2500000000000008E-4</v>
      </c>
      <c r="T179" s="94">
        <f t="shared" si="33"/>
        <v>5.7750000000000006E-3</v>
      </c>
      <c r="U179" s="93">
        <f t="shared" si="34"/>
        <v>5.7750000000000011E-4</v>
      </c>
      <c r="V179" s="93">
        <f t="shared" si="35"/>
        <v>5.7750000000000008E-5</v>
      </c>
      <c r="W179" s="93">
        <f t="shared" si="36"/>
        <v>5.7750000000000008E-5</v>
      </c>
      <c r="X179" s="93">
        <f t="shared" si="37"/>
        <v>6.4679999999999998E-3</v>
      </c>
      <c r="Y179" s="117"/>
    </row>
    <row r="180" spans="1:25" s="90" customFormat="1">
      <c r="A180" s="95" t="s">
        <v>1467</v>
      </c>
      <c r="B180" s="95" t="s">
        <v>1668</v>
      </c>
      <c r="C180" s="95" t="s">
        <v>1427</v>
      </c>
      <c r="D180" s="101" t="s">
        <v>1460</v>
      </c>
      <c r="E180" s="101" t="s">
        <v>1455</v>
      </c>
      <c r="F180" s="101" t="s">
        <v>1670</v>
      </c>
      <c r="G180" s="101" t="s">
        <v>1462</v>
      </c>
      <c r="H180" s="97" t="str">
        <f>IFERROR(VLOOKUP(I180,'Raw material list'!$A$3:$C$695,3,0),"")</f>
        <v>DRS6-1020</v>
      </c>
      <c r="I180" s="97" t="s">
        <v>720</v>
      </c>
      <c r="J180" s="101" t="s">
        <v>111</v>
      </c>
      <c r="K180" s="101" t="str">
        <f>IFERROR(VLOOKUP(I180,'Raw material list'!$A$3:$E$695,5,0),"")</f>
        <v xml:space="preserve">Gram </v>
      </c>
      <c r="L180" s="95">
        <v>1.5</v>
      </c>
      <c r="M180" s="98">
        <f t="shared" si="31"/>
        <v>1.5</v>
      </c>
      <c r="N180" s="98">
        <v>100</v>
      </c>
      <c r="O180" s="95">
        <v>10</v>
      </c>
      <c r="P180" s="98">
        <f t="shared" si="41"/>
        <v>0.15</v>
      </c>
      <c r="Q180" s="99">
        <f>IFERROR(VLOOKUP(I180,'Raw material list'!$A$3:$F$695,6,0),"")</f>
        <v>5.5E-2</v>
      </c>
      <c r="R180" s="100">
        <f t="shared" si="43"/>
        <v>8.2500000000000004E-3</v>
      </c>
      <c r="S180" s="94">
        <f t="shared" si="32"/>
        <v>8.250000000000001E-4</v>
      </c>
      <c r="T180" s="94">
        <f t="shared" si="33"/>
        <v>9.0749999999999997E-3</v>
      </c>
      <c r="U180" s="93">
        <f t="shared" si="34"/>
        <v>9.075E-4</v>
      </c>
      <c r="V180" s="93">
        <f t="shared" si="35"/>
        <v>9.0749999999999997E-5</v>
      </c>
      <c r="W180" s="93">
        <f t="shared" si="36"/>
        <v>9.0749999999999997E-5</v>
      </c>
      <c r="X180" s="93">
        <f t="shared" si="37"/>
        <v>1.0164000000000001E-2</v>
      </c>
      <c r="Y180" s="117"/>
    </row>
    <row r="181" spans="1:25" s="90" customFormat="1">
      <c r="A181" s="95" t="s">
        <v>1467</v>
      </c>
      <c r="B181" s="95" t="s">
        <v>1668</v>
      </c>
      <c r="C181" s="95" t="s">
        <v>1427</v>
      </c>
      <c r="D181" s="101" t="s">
        <v>1460</v>
      </c>
      <c r="E181" s="101" t="s">
        <v>1455</v>
      </c>
      <c r="F181" s="101" t="s">
        <v>1670</v>
      </c>
      <c r="G181" s="101" t="s">
        <v>1462</v>
      </c>
      <c r="H181" s="97" t="str">
        <f>IFERROR(VLOOKUP(I181,'Raw material list'!$A$3:$C$695,3,0),"")</f>
        <v>DRS6-261</v>
      </c>
      <c r="I181" s="97" t="s">
        <v>1565</v>
      </c>
      <c r="J181" s="101" t="s">
        <v>111</v>
      </c>
      <c r="K181" s="101" t="str">
        <f>IFERROR(VLOOKUP(I181,'Raw material list'!$A$3:$E$695,5,0),"")</f>
        <v xml:space="preserve">Gram </v>
      </c>
      <c r="L181" s="95">
        <v>1.5</v>
      </c>
      <c r="M181" s="98">
        <f t="shared" si="31"/>
        <v>1.5</v>
      </c>
      <c r="N181" s="98">
        <v>100</v>
      </c>
      <c r="O181" s="95">
        <v>10</v>
      </c>
      <c r="P181" s="98">
        <f t="shared" si="41"/>
        <v>0.15</v>
      </c>
      <c r="Q181" s="99">
        <f>IFERROR(VLOOKUP(I181,'Raw material list'!$A$3:$F$695,6,0),"")</f>
        <v>1.4E-2</v>
      </c>
      <c r="R181" s="100">
        <f t="shared" si="43"/>
        <v>2.0999999999999999E-3</v>
      </c>
      <c r="S181" s="94">
        <f t="shared" si="32"/>
        <v>2.1000000000000001E-4</v>
      </c>
      <c r="T181" s="94">
        <f t="shared" si="33"/>
        <v>2.31E-3</v>
      </c>
      <c r="U181" s="93">
        <f t="shared" si="34"/>
        <v>2.31E-4</v>
      </c>
      <c r="V181" s="93">
        <f t="shared" si="35"/>
        <v>2.3099999999999999E-5</v>
      </c>
      <c r="W181" s="93">
        <f t="shared" si="36"/>
        <v>2.3099999999999999E-5</v>
      </c>
      <c r="X181" s="93">
        <f t="shared" si="37"/>
        <v>2.5871999999999996E-3</v>
      </c>
      <c r="Y181" s="117"/>
    </row>
    <row r="182" spans="1:25" s="90" customFormat="1">
      <c r="A182" s="95" t="s">
        <v>1467</v>
      </c>
      <c r="B182" s="95" t="s">
        <v>1668</v>
      </c>
      <c r="C182" s="95" t="s">
        <v>1427</v>
      </c>
      <c r="D182" s="101" t="s">
        <v>1460</v>
      </c>
      <c r="E182" s="101" t="s">
        <v>1455</v>
      </c>
      <c r="F182" s="101" t="s">
        <v>1670</v>
      </c>
      <c r="G182" s="101" t="s">
        <v>1462</v>
      </c>
      <c r="H182" s="97" t="str">
        <f>IFERROR(VLOOKUP(I182,'Raw material list'!$A$3:$C$695,3,0),"")</f>
        <v>PRD1-4265</v>
      </c>
      <c r="I182" s="97" t="s">
        <v>10</v>
      </c>
      <c r="J182" s="101" t="s">
        <v>111</v>
      </c>
      <c r="K182" s="101" t="str">
        <f>IFERROR(VLOOKUP(I182,'Raw material list'!$A$3:$E$695,5,0),"")</f>
        <v xml:space="preserve">Gram </v>
      </c>
      <c r="L182" s="95">
        <v>128</v>
      </c>
      <c r="M182" s="98">
        <f t="shared" si="31"/>
        <v>150.58823529411765</v>
      </c>
      <c r="N182" s="98">
        <v>85</v>
      </c>
      <c r="O182" s="95">
        <v>10</v>
      </c>
      <c r="P182" s="98">
        <f t="shared" si="41"/>
        <v>12.8</v>
      </c>
      <c r="Q182" s="99">
        <f>IFERROR(VLOOKUP(I182,'Raw material list'!$A$3:$F$695,6,0),"")</f>
        <v>3.529411764705882E-3</v>
      </c>
      <c r="R182" s="100">
        <f t="shared" si="43"/>
        <v>4.517647058823529E-2</v>
      </c>
      <c r="S182" s="94">
        <f t="shared" si="32"/>
        <v>4.517647058823529E-3</v>
      </c>
      <c r="T182" s="94">
        <f t="shared" si="33"/>
        <v>4.9694117647058819E-2</v>
      </c>
      <c r="U182" s="93">
        <f t="shared" si="34"/>
        <v>4.9694117647058819E-3</v>
      </c>
      <c r="V182" s="93">
        <f t="shared" si="35"/>
        <v>4.9694117647058824E-4</v>
      </c>
      <c r="W182" s="93">
        <f t="shared" si="36"/>
        <v>4.9694117647058824E-4</v>
      </c>
      <c r="X182" s="93">
        <f t="shared" si="37"/>
        <v>5.5657411764705879E-2</v>
      </c>
      <c r="Y182" s="117"/>
    </row>
    <row r="183" spans="1:25" s="90" customFormat="1">
      <c r="A183" s="95" t="s">
        <v>1467</v>
      </c>
      <c r="B183" s="95" t="s">
        <v>1668</v>
      </c>
      <c r="C183" s="95" t="s">
        <v>1427</v>
      </c>
      <c r="D183" s="101" t="s">
        <v>1460</v>
      </c>
      <c r="E183" s="101" t="s">
        <v>1455</v>
      </c>
      <c r="F183" s="101" t="s">
        <v>1670</v>
      </c>
      <c r="G183" s="101" t="s">
        <v>1462</v>
      </c>
      <c r="H183" s="97" t="str">
        <f>IFERROR(VLOOKUP(I183,'Raw material list'!$A$3:$C$695,3,0),"")</f>
        <v>PRD1-4327</v>
      </c>
      <c r="I183" s="97" t="s">
        <v>11</v>
      </c>
      <c r="J183" s="101" t="s">
        <v>111</v>
      </c>
      <c r="K183" s="101" t="str">
        <f>IFERROR(VLOOKUP(I183,'Raw material list'!$A$3:$E$695,5,0),"")</f>
        <v xml:space="preserve">Gram </v>
      </c>
      <c r="L183" s="95">
        <v>10</v>
      </c>
      <c r="M183" s="98">
        <f t="shared" si="31"/>
        <v>12.5</v>
      </c>
      <c r="N183" s="133">
        <v>80</v>
      </c>
      <c r="O183" s="95">
        <v>10</v>
      </c>
      <c r="P183" s="98">
        <f t="shared" si="41"/>
        <v>1</v>
      </c>
      <c r="Q183" s="99">
        <f>IFERROR(VLOOKUP(I183,'Raw material list'!$A$3:$F$695,6,0),"")</f>
        <v>1.2999999999999999E-2</v>
      </c>
      <c r="R183" s="100">
        <f t="shared" si="43"/>
        <v>1.2999999999999999E-2</v>
      </c>
      <c r="S183" s="94">
        <f t="shared" si="32"/>
        <v>1.2999999999999999E-3</v>
      </c>
      <c r="T183" s="94">
        <f t="shared" si="33"/>
        <v>1.43E-2</v>
      </c>
      <c r="U183" s="93">
        <f t="shared" si="34"/>
        <v>1.4300000000000001E-3</v>
      </c>
      <c r="V183" s="93">
        <f t="shared" si="35"/>
        <v>1.4300000000000001E-4</v>
      </c>
      <c r="W183" s="93">
        <f t="shared" si="36"/>
        <v>1.4300000000000001E-4</v>
      </c>
      <c r="X183" s="93">
        <f t="shared" si="37"/>
        <v>1.6016000000000002E-2</v>
      </c>
      <c r="Y183" s="117"/>
    </row>
    <row r="184" spans="1:25" s="90" customFormat="1">
      <c r="A184" s="95" t="s">
        <v>1467</v>
      </c>
      <c r="B184" s="95" t="s">
        <v>1668</v>
      </c>
      <c r="C184" s="95" t="s">
        <v>1427</v>
      </c>
      <c r="D184" s="101" t="s">
        <v>1460</v>
      </c>
      <c r="E184" s="101" t="s">
        <v>1455</v>
      </c>
      <c r="F184" s="101" t="s">
        <v>1670</v>
      </c>
      <c r="G184" s="101" t="s">
        <v>1462</v>
      </c>
      <c r="H184" s="97" t="str">
        <f>IFERROR(VLOOKUP(I184,'Raw material list'!$A$3:$C$695,3,0),"")</f>
        <v>DRS1-114</v>
      </c>
      <c r="I184" s="97" t="s">
        <v>279</v>
      </c>
      <c r="J184" s="101" t="s">
        <v>111</v>
      </c>
      <c r="K184" s="101" t="str">
        <f>IFERROR(VLOOKUP(I184,'Raw material list'!$A$3:$E$695,5,0),"")</f>
        <v xml:space="preserve">Gram </v>
      </c>
      <c r="L184" s="95">
        <v>10</v>
      </c>
      <c r="M184" s="98">
        <f t="shared" si="31"/>
        <v>10</v>
      </c>
      <c r="N184" s="98">
        <v>100</v>
      </c>
      <c r="O184" s="95">
        <v>10</v>
      </c>
      <c r="P184" s="98">
        <f t="shared" si="41"/>
        <v>1</v>
      </c>
      <c r="Q184" s="99">
        <f>IFERROR(VLOOKUP(I184,'Raw material list'!$A$3:$F$695,6,0),"")</f>
        <v>4.7489823609226586E-3</v>
      </c>
      <c r="R184" s="100">
        <f t="shared" si="43"/>
        <v>4.7489823609226586E-3</v>
      </c>
      <c r="S184" s="94">
        <f t="shared" si="32"/>
        <v>4.7489823609226587E-4</v>
      </c>
      <c r="T184" s="94">
        <f t="shared" si="33"/>
        <v>5.2238805970149247E-3</v>
      </c>
      <c r="U184" s="93">
        <f t="shared" si="34"/>
        <v>5.2238805970149249E-4</v>
      </c>
      <c r="V184" s="93">
        <f t="shared" si="35"/>
        <v>5.2238805970149246E-5</v>
      </c>
      <c r="W184" s="93">
        <f t="shared" si="36"/>
        <v>5.2238805970149246E-5</v>
      </c>
      <c r="X184" s="93">
        <f t="shared" si="37"/>
        <v>5.8507462686567162E-3</v>
      </c>
      <c r="Y184" s="117"/>
    </row>
    <row r="185" spans="1:25" s="90" customFormat="1">
      <c r="A185" s="95" t="s">
        <v>1467</v>
      </c>
      <c r="B185" s="95" t="s">
        <v>1668</v>
      </c>
      <c r="C185" s="95" t="s">
        <v>1427</v>
      </c>
      <c r="D185" s="101" t="s">
        <v>1460</v>
      </c>
      <c r="E185" s="101" t="s">
        <v>1455</v>
      </c>
      <c r="F185" s="101" t="s">
        <v>1670</v>
      </c>
      <c r="G185" s="101" t="s">
        <v>1463</v>
      </c>
      <c r="H185" s="97" t="str">
        <f>IFERROR(VLOOKUP(I185,'Raw material list'!$A$3:$C$695,3,0),"")</f>
        <v>DRY2-1160</v>
      </c>
      <c r="I185" s="97" t="s">
        <v>393</v>
      </c>
      <c r="J185" s="101" t="s">
        <v>111</v>
      </c>
      <c r="K185" s="101" t="str">
        <f>IFERROR(VLOOKUP(I185,'Raw material list'!$A$3:$E$695,5,0),"")</f>
        <v xml:space="preserve">Gram </v>
      </c>
      <c r="L185" s="95">
        <v>111.88</v>
      </c>
      <c r="M185" s="98">
        <f t="shared" si="31"/>
        <v>111.88</v>
      </c>
      <c r="N185" s="98">
        <v>100</v>
      </c>
      <c r="O185" s="95">
        <v>10</v>
      </c>
      <c r="P185" s="98">
        <f t="shared" si="41"/>
        <v>11.187999999999999</v>
      </c>
      <c r="Q185" s="99">
        <f>IFERROR(VLOOKUP(I185,'Raw material list'!$A$3:$F$695,6,0),"")</f>
        <v>4.4000000000000003E-3</v>
      </c>
      <c r="R185" s="100">
        <f t="shared" si="43"/>
        <v>4.9227199999999999E-2</v>
      </c>
      <c r="S185" s="94">
        <f t="shared" si="32"/>
        <v>4.9227200000000002E-3</v>
      </c>
      <c r="T185" s="94">
        <f t="shared" si="33"/>
        <v>5.4149919999999997E-2</v>
      </c>
      <c r="U185" s="93">
        <f t="shared" si="34"/>
        <v>5.4149920000000004E-3</v>
      </c>
      <c r="V185" s="93">
        <f t="shared" si="35"/>
        <v>5.4149919999999993E-4</v>
      </c>
      <c r="W185" s="93">
        <f t="shared" si="36"/>
        <v>5.4149919999999993E-4</v>
      </c>
      <c r="X185" s="93">
        <f t="shared" si="37"/>
        <v>6.0647910399999991E-2</v>
      </c>
      <c r="Y185" s="117"/>
    </row>
    <row r="186" spans="1:25" s="90" customFormat="1">
      <c r="A186" s="95" t="s">
        <v>1467</v>
      </c>
      <c r="B186" s="95" t="s">
        <v>1668</v>
      </c>
      <c r="C186" s="95" t="s">
        <v>1427</v>
      </c>
      <c r="D186" s="101" t="s">
        <v>1460</v>
      </c>
      <c r="E186" s="101" t="s">
        <v>1455</v>
      </c>
      <c r="F186" s="101" t="s">
        <v>1670</v>
      </c>
      <c r="G186" s="101" t="s">
        <v>1463</v>
      </c>
      <c r="H186" s="97" t="str">
        <f>IFERROR(VLOOKUP(I186,'Raw material list'!$A$3:$C$695,3,0),"")</f>
        <v>DRS1-103</v>
      </c>
      <c r="I186" s="97" t="s">
        <v>784</v>
      </c>
      <c r="J186" s="101" t="s">
        <v>111</v>
      </c>
      <c r="K186" s="101" t="str">
        <f>IFERROR(VLOOKUP(I186,'Raw material list'!$A$3:$E$695,5,0),"")</f>
        <v xml:space="preserve">Gram </v>
      </c>
      <c r="L186" s="95">
        <v>90.9</v>
      </c>
      <c r="M186" s="98">
        <f t="shared" si="31"/>
        <v>90.9</v>
      </c>
      <c r="N186" s="98">
        <v>100</v>
      </c>
      <c r="O186" s="95">
        <v>10</v>
      </c>
      <c r="P186" s="98">
        <f t="shared" si="41"/>
        <v>9.09</v>
      </c>
      <c r="Q186" s="99">
        <f>IFERROR(VLOOKUP(I186,'Raw material list'!$A$3:$F$695,6,0),"")</f>
        <v>1.0999999999999999E-2</v>
      </c>
      <c r="R186" s="100">
        <f t="shared" si="43"/>
        <v>9.9989999999999996E-2</v>
      </c>
      <c r="S186" s="94">
        <f t="shared" si="32"/>
        <v>9.9990000000000009E-3</v>
      </c>
      <c r="T186" s="94">
        <f t="shared" si="33"/>
        <v>0.109989</v>
      </c>
      <c r="U186" s="93">
        <f t="shared" si="34"/>
        <v>1.0998900000000001E-2</v>
      </c>
      <c r="V186" s="93">
        <f t="shared" si="35"/>
        <v>1.0998900000000001E-3</v>
      </c>
      <c r="W186" s="93">
        <f t="shared" si="36"/>
        <v>1.0998900000000001E-3</v>
      </c>
      <c r="X186" s="93">
        <f t="shared" si="37"/>
        <v>0.12318768000000002</v>
      </c>
      <c r="Y186" s="117"/>
    </row>
    <row r="187" spans="1:25" s="90" customFormat="1">
      <c r="A187" s="95" t="s">
        <v>1467</v>
      </c>
      <c r="B187" s="95" t="s">
        <v>1668</v>
      </c>
      <c r="C187" s="95" t="s">
        <v>1427</v>
      </c>
      <c r="D187" s="101" t="s">
        <v>1460</v>
      </c>
      <c r="E187" s="101" t="s">
        <v>1455</v>
      </c>
      <c r="F187" s="101" t="s">
        <v>1670</v>
      </c>
      <c r="G187" s="101" t="s">
        <v>1463</v>
      </c>
      <c r="H187" s="97" t="str">
        <f>IFERROR(VLOOKUP(I187,'Raw material list'!$A$3:$C$695,3,0),"")</f>
        <v>WAT-001</v>
      </c>
      <c r="I187" s="97" t="s">
        <v>1406</v>
      </c>
      <c r="J187" s="101" t="s">
        <v>161</v>
      </c>
      <c r="K187" s="101" t="str">
        <f>IFERROR(VLOOKUP(I187,'Raw material list'!$A$3:$E$695,5,0),"")</f>
        <v>Ml</v>
      </c>
      <c r="L187" s="95">
        <v>69.930000000000007</v>
      </c>
      <c r="M187" s="98">
        <f t="shared" si="31"/>
        <v>69.930000000000007</v>
      </c>
      <c r="N187" s="98">
        <v>100</v>
      </c>
      <c r="O187" s="95">
        <v>10</v>
      </c>
      <c r="P187" s="98">
        <f t="shared" si="41"/>
        <v>6.9930000000000003</v>
      </c>
      <c r="Q187" s="99">
        <f>IFERROR(VLOOKUP(I187,'Raw material list'!$A$3:$F$695,6,0),"")</f>
        <v>8.0000000000000007E-5</v>
      </c>
      <c r="R187" s="100">
        <f t="shared" si="43"/>
        <v>5.5944000000000002E-4</v>
      </c>
      <c r="S187" s="94">
        <f t="shared" si="32"/>
        <v>5.5944000000000005E-5</v>
      </c>
      <c r="T187" s="94">
        <f t="shared" si="33"/>
        <v>6.1538400000000007E-4</v>
      </c>
      <c r="U187" s="93">
        <f t="shared" si="34"/>
        <v>6.1538400000000007E-5</v>
      </c>
      <c r="V187" s="93">
        <f t="shared" si="35"/>
        <v>6.1538400000000005E-6</v>
      </c>
      <c r="W187" s="93">
        <f t="shared" si="36"/>
        <v>6.1538400000000005E-6</v>
      </c>
      <c r="X187" s="93">
        <f t="shared" si="37"/>
        <v>6.8923007999999999E-4</v>
      </c>
      <c r="Y187" s="117"/>
    </row>
    <row r="188" spans="1:25" s="90" customFormat="1">
      <c r="A188" s="95" t="s">
        <v>1467</v>
      </c>
      <c r="B188" s="95" t="s">
        <v>1668</v>
      </c>
      <c r="C188" s="95" t="s">
        <v>1427</v>
      </c>
      <c r="D188" s="101" t="s">
        <v>1460</v>
      </c>
      <c r="E188" s="101" t="s">
        <v>1455</v>
      </c>
      <c r="F188" s="101" t="s">
        <v>1670</v>
      </c>
      <c r="G188" s="101" t="s">
        <v>1463</v>
      </c>
      <c r="H188" s="97" t="str">
        <f>IFERROR(VLOOKUP(I188,'Raw material list'!$A$3:$C$695,3,0),"")</f>
        <v>PRD1-209</v>
      </c>
      <c r="I188" s="97" t="s">
        <v>26</v>
      </c>
      <c r="J188" s="101" t="s">
        <v>111</v>
      </c>
      <c r="K188" s="101" t="str">
        <f>IFERROR(VLOOKUP(I188,'Raw material list'!$A$3:$E$695,5,0),"")</f>
        <v xml:space="preserve">Gram </v>
      </c>
      <c r="L188" s="95">
        <v>26.57</v>
      </c>
      <c r="M188" s="98">
        <f t="shared" si="31"/>
        <v>69.921052631578945</v>
      </c>
      <c r="N188" s="98">
        <v>38</v>
      </c>
      <c r="O188" s="95">
        <v>10</v>
      </c>
      <c r="P188" s="98">
        <f t="shared" si="41"/>
        <v>2.657</v>
      </c>
      <c r="Q188" s="99">
        <f>IFERROR(VLOOKUP(I188,'Raw material list'!$A$3:$F$695,6,0),"")</f>
        <v>1.0088272383354351E-2</v>
      </c>
      <c r="R188" s="100">
        <f t="shared" si="43"/>
        <v>2.6804539722572511E-2</v>
      </c>
      <c r="S188" s="94">
        <f t="shared" si="32"/>
        <v>2.6804539722572514E-3</v>
      </c>
      <c r="T188" s="94">
        <f t="shared" si="33"/>
        <v>2.9484993694829764E-2</v>
      </c>
      <c r="U188" s="93">
        <f t="shared" si="34"/>
        <v>2.9484993694829766E-3</v>
      </c>
      <c r="V188" s="93">
        <f t="shared" si="35"/>
        <v>2.9484993694829767E-4</v>
      </c>
      <c r="W188" s="93">
        <f t="shared" si="36"/>
        <v>2.9484993694829767E-4</v>
      </c>
      <c r="X188" s="93">
        <f t="shared" si="37"/>
        <v>3.3023192938209336E-2</v>
      </c>
      <c r="Y188" s="117"/>
    </row>
    <row r="189" spans="1:25" s="90" customFormat="1">
      <c r="A189" s="95" t="s">
        <v>1467</v>
      </c>
      <c r="B189" s="95" t="s">
        <v>1668</v>
      </c>
      <c r="C189" s="95" t="s">
        <v>1427</v>
      </c>
      <c r="D189" s="101" t="s">
        <v>1460</v>
      </c>
      <c r="E189" s="101" t="s">
        <v>1455</v>
      </c>
      <c r="F189" s="101" t="s">
        <v>1670</v>
      </c>
      <c r="G189" s="101" t="s">
        <v>1463</v>
      </c>
      <c r="H189" s="97" t="str">
        <f>IFERROR(VLOOKUP(I189,'Raw material list'!$A$3:$C$695,3,0),"")</f>
        <v>DRS1-114</v>
      </c>
      <c r="I189" s="97" t="s">
        <v>279</v>
      </c>
      <c r="J189" s="101" t="s">
        <v>111</v>
      </c>
      <c r="K189" s="101" t="str">
        <f>IFERROR(VLOOKUP(I189,'Raw material list'!$A$3:$E$695,5,0),"")</f>
        <v xml:space="preserve">Gram </v>
      </c>
      <c r="L189" s="95">
        <v>0.48</v>
      </c>
      <c r="M189" s="98">
        <f t="shared" si="31"/>
        <v>0.48</v>
      </c>
      <c r="N189" s="98">
        <v>100</v>
      </c>
      <c r="O189" s="95">
        <v>10</v>
      </c>
      <c r="P189" s="98">
        <f t="shared" si="41"/>
        <v>4.8000000000000001E-2</v>
      </c>
      <c r="Q189" s="99">
        <f>IFERROR(VLOOKUP(I189,'Raw material list'!$A$3:$F$695,6,0),"")</f>
        <v>4.7489823609226586E-3</v>
      </c>
      <c r="R189" s="100">
        <f t="shared" si="43"/>
        <v>2.2795115332428762E-4</v>
      </c>
      <c r="S189" s="94">
        <f t="shared" si="32"/>
        <v>2.2795115332428762E-5</v>
      </c>
      <c r="T189" s="94">
        <f t="shared" si="33"/>
        <v>2.5074626865671638E-4</v>
      </c>
      <c r="U189" s="93">
        <f t="shared" si="34"/>
        <v>2.5074626865671639E-5</v>
      </c>
      <c r="V189" s="93">
        <f t="shared" si="35"/>
        <v>2.507462686567164E-6</v>
      </c>
      <c r="W189" s="93">
        <f t="shared" si="36"/>
        <v>2.507462686567164E-6</v>
      </c>
      <c r="X189" s="93">
        <f t="shared" si="37"/>
        <v>2.8083582089552241E-4</v>
      </c>
      <c r="Y189" s="117"/>
    </row>
    <row r="190" spans="1:25" s="90" customFormat="1">
      <c r="A190" s="95" t="s">
        <v>1467</v>
      </c>
      <c r="B190" s="95" t="s">
        <v>1668</v>
      </c>
      <c r="C190" s="95" t="s">
        <v>1427</v>
      </c>
      <c r="D190" s="101" t="s">
        <v>1460</v>
      </c>
      <c r="E190" s="101" t="s">
        <v>1455</v>
      </c>
      <c r="F190" s="101" t="s">
        <v>1670</v>
      </c>
      <c r="G190" s="101" t="s">
        <v>1463</v>
      </c>
      <c r="H190" s="97" t="str">
        <f>IFERROR(VLOOKUP(I190,'Raw material list'!$A$3:$C$695,3,0),"")</f>
        <v>DRS6-537</v>
      </c>
      <c r="I190" s="97" t="s">
        <v>25</v>
      </c>
      <c r="J190" s="101" t="s">
        <v>111</v>
      </c>
      <c r="K190" s="101" t="str">
        <f>IFERROR(VLOOKUP(I190,'Raw material list'!$A$3:$E$695,5,0),"")</f>
        <v xml:space="preserve">Gram </v>
      </c>
      <c r="L190" s="95">
        <v>0.27</v>
      </c>
      <c r="M190" s="98">
        <f t="shared" si="31"/>
        <v>0.27</v>
      </c>
      <c r="N190" s="98">
        <v>100</v>
      </c>
      <c r="O190" s="95">
        <v>10</v>
      </c>
      <c r="P190" s="98">
        <f t="shared" si="41"/>
        <v>2.7000000000000003E-2</v>
      </c>
      <c r="Q190" s="99">
        <f>IFERROR(VLOOKUP(I190,'Raw material list'!$A$3:$F$695,6,0),"")</f>
        <v>3.5000000000000003E-2</v>
      </c>
      <c r="R190" s="100">
        <f t="shared" si="43"/>
        <v>9.450000000000002E-4</v>
      </c>
      <c r="S190" s="94">
        <f t="shared" si="32"/>
        <v>9.450000000000002E-5</v>
      </c>
      <c r="T190" s="94">
        <f t="shared" si="33"/>
        <v>1.0395000000000003E-3</v>
      </c>
      <c r="U190" s="93">
        <f t="shared" si="34"/>
        <v>1.0395000000000003E-4</v>
      </c>
      <c r="V190" s="93">
        <f t="shared" si="35"/>
        <v>1.0395000000000003E-5</v>
      </c>
      <c r="W190" s="93">
        <f t="shared" si="36"/>
        <v>1.0395000000000003E-5</v>
      </c>
      <c r="X190" s="93">
        <f t="shared" si="37"/>
        <v>1.1642400000000004E-3</v>
      </c>
      <c r="Y190" s="117"/>
    </row>
    <row r="191" spans="1:25" s="90" customFormat="1">
      <c r="A191" s="95" t="s">
        <v>1467</v>
      </c>
      <c r="B191" s="95" t="s">
        <v>1668</v>
      </c>
      <c r="C191" s="95" t="s">
        <v>1427</v>
      </c>
      <c r="D191" s="101" t="s">
        <v>1460</v>
      </c>
      <c r="E191" s="101" t="s">
        <v>1455</v>
      </c>
      <c r="F191" s="101" t="s">
        <v>1670</v>
      </c>
      <c r="G191" s="101" t="s">
        <v>1464</v>
      </c>
      <c r="H191" s="97" t="str">
        <f>IFERROR(VLOOKUP(I191,'Raw material list'!$A$3:$C$695,3,0),"")</f>
        <v>DRS3-1615</v>
      </c>
      <c r="I191" s="97" t="s">
        <v>24</v>
      </c>
      <c r="J191" s="101" t="s">
        <v>161</v>
      </c>
      <c r="K191" s="101" t="str">
        <f>IFERROR(VLOOKUP(I191,'Raw material list'!$A$3:$E$695,5,0),"")</f>
        <v>Ml</v>
      </c>
      <c r="L191" s="95">
        <v>54.54</v>
      </c>
      <c r="M191" s="98">
        <f t="shared" si="31"/>
        <v>54.54</v>
      </c>
      <c r="N191" s="98">
        <v>100</v>
      </c>
      <c r="O191" s="95">
        <v>10</v>
      </c>
      <c r="P191" s="98">
        <f t="shared" si="41"/>
        <v>5.4539999999999997</v>
      </c>
      <c r="Q191" s="99">
        <f>IFERROR(VLOOKUP(I191,'Raw material list'!$A$3:$F$695,6,0),"")</f>
        <v>1.2E-2</v>
      </c>
      <c r="R191" s="100">
        <f t="shared" si="43"/>
        <v>6.5447999999999992E-2</v>
      </c>
      <c r="S191" s="94">
        <f t="shared" si="32"/>
        <v>6.5447999999999999E-3</v>
      </c>
      <c r="T191" s="94">
        <f t="shared" si="33"/>
        <v>7.1992799999999996E-2</v>
      </c>
      <c r="U191" s="93">
        <f t="shared" si="34"/>
        <v>7.1992799999999997E-3</v>
      </c>
      <c r="V191" s="93">
        <f t="shared" si="35"/>
        <v>7.19928E-4</v>
      </c>
      <c r="W191" s="93">
        <f t="shared" si="36"/>
        <v>7.19928E-4</v>
      </c>
      <c r="X191" s="93">
        <f t="shared" si="37"/>
        <v>8.0631935999999987E-2</v>
      </c>
      <c r="Y191" s="117"/>
    </row>
    <row r="192" spans="1:25" s="90" customFormat="1">
      <c r="A192" s="95" t="s">
        <v>1467</v>
      </c>
      <c r="B192" s="95" t="s">
        <v>1668</v>
      </c>
      <c r="C192" s="95" t="s">
        <v>1427</v>
      </c>
      <c r="D192" s="101" t="s">
        <v>1460</v>
      </c>
      <c r="E192" s="101" t="s">
        <v>1455</v>
      </c>
      <c r="F192" s="101" t="s">
        <v>1671</v>
      </c>
      <c r="G192" s="101" t="s">
        <v>1464</v>
      </c>
      <c r="H192" s="97" t="str">
        <f>IFERROR(VLOOKUP(I192,'Raw material list'!$A$3:$C$695,3,0),"")</f>
        <v>PLT2-3278</v>
      </c>
      <c r="I192" s="97" t="s">
        <v>61</v>
      </c>
      <c r="J192" s="101" t="s">
        <v>111</v>
      </c>
      <c r="K192" s="101" t="str">
        <f>IFERROR(VLOOKUP(I192,'Raw material list'!$A$3:$E$695,5,0),"")</f>
        <v xml:space="preserve">Gram </v>
      </c>
      <c r="L192" s="95">
        <v>646</v>
      </c>
      <c r="M192" s="98">
        <f t="shared" si="31"/>
        <v>847.76902887139101</v>
      </c>
      <c r="N192" s="98">
        <v>76.2</v>
      </c>
      <c r="O192" s="95">
        <v>10</v>
      </c>
      <c r="P192" s="98">
        <f t="shared" si="41"/>
        <v>64.599999999999994</v>
      </c>
      <c r="Q192" s="99">
        <f>IFERROR(VLOOKUP(I192,'Raw material list'!$A$3:$F$695,6,0),"")</f>
        <v>3.035714285714285E-2</v>
      </c>
      <c r="R192" s="100">
        <f t="shared" si="43"/>
        <v>1.9610714285714279</v>
      </c>
      <c r="S192" s="94">
        <f t="shared" si="32"/>
        <v>0.19610714285714281</v>
      </c>
      <c r="T192" s="94">
        <f t="shared" si="33"/>
        <v>2.1571785714285707</v>
      </c>
      <c r="U192" s="93">
        <f t="shared" si="34"/>
        <v>0.21571785714285707</v>
      </c>
      <c r="V192" s="93">
        <f t="shared" si="35"/>
        <v>2.1571785714285707E-2</v>
      </c>
      <c r="W192" s="93">
        <f t="shared" si="36"/>
        <v>2.1571785714285707E-2</v>
      </c>
      <c r="X192" s="93">
        <f t="shared" si="37"/>
        <v>2.4160399999999997</v>
      </c>
      <c r="Y192" s="127" t="s">
        <v>1675</v>
      </c>
    </row>
    <row r="193" spans="1:25" s="90" customFormat="1">
      <c r="A193" s="95" t="s">
        <v>1467</v>
      </c>
      <c r="B193" s="95" t="s">
        <v>1668</v>
      </c>
      <c r="C193" s="95" t="s">
        <v>1427</v>
      </c>
      <c r="D193" s="101" t="s">
        <v>1460</v>
      </c>
      <c r="E193" s="101" t="s">
        <v>1455</v>
      </c>
      <c r="F193" s="101" t="s">
        <v>1670</v>
      </c>
      <c r="G193" s="101" t="s">
        <v>1464</v>
      </c>
      <c r="H193" s="97" t="str">
        <f>IFERROR(VLOOKUP(I193,'Raw material list'!$A$3:$C$695,3,0),"")</f>
        <v>PRD1-4265</v>
      </c>
      <c r="I193" s="97" t="s">
        <v>10</v>
      </c>
      <c r="J193" s="101" t="s">
        <v>111</v>
      </c>
      <c r="K193" s="101" t="str">
        <f>IFERROR(VLOOKUP(I193,'Raw material list'!$A$3:$E$695,5,0),"")</f>
        <v xml:space="preserve">Gram </v>
      </c>
      <c r="L193" s="95">
        <v>218.18</v>
      </c>
      <c r="M193" s="98">
        <f t="shared" si="31"/>
        <v>256.68235294117648</v>
      </c>
      <c r="N193" s="98">
        <v>85</v>
      </c>
      <c r="O193" s="95">
        <v>10</v>
      </c>
      <c r="P193" s="98">
        <f t="shared" si="41"/>
        <v>21.818000000000001</v>
      </c>
      <c r="Q193" s="99">
        <f>IFERROR(VLOOKUP(I193,'Raw material list'!$A$3:$F$695,6,0),"")</f>
        <v>3.529411764705882E-3</v>
      </c>
      <c r="R193" s="100">
        <f t="shared" si="43"/>
        <v>7.7004705882352933E-2</v>
      </c>
      <c r="S193" s="94">
        <f t="shared" si="32"/>
        <v>7.7004705882352939E-3</v>
      </c>
      <c r="T193" s="94">
        <f t="shared" si="33"/>
        <v>8.4705176470588228E-2</v>
      </c>
      <c r="U193" s="93">
        <f t="shared" si="34"/>
        <v>8.4705176470588235E-3</v>
      </c>
      <c r="V193" s="93">
        <f t="shared" si="35"/>
        <v>8.4705176470588231E-4</v>
      </c>
      <c r="W193" s="93">
        <f t="shared" si="36"/>
        <v>8.4705176470588231E-4</v>
      </c>
      <c r="X193" s="93">
        <f t="shared" si="37"/>
        <v>9.4869797647058815E-2</v>
      </c>
      <c r="Y193" s="117"/>
    </row>
    <row r="194" spans="1:25" s="90" customFormat="1">
      <c r="A194" s="95" t="s">
        <v>1467</v>
      </c>
      <c r="B194" s="95" t="s">
        <v>1668</v>
      </c>
      <c r="C194" s="95" t="s">
        <v>1427</v>
      </c>
      <c r="D194" s="101" t="s">
        <v>1460</v>
      </c>
      <c r="E194" s="101" t="s">
        <v>1455</v>
      </c>
      <c r="F194" s="101" t="s">
        <v>1670</v>
      </c>
      <c r="G194" s="101" t="s">
        <v>1464</v>
      </c>
      <c r="H194" s="97" t="str">
        <f>IFERROR(VLOOKUP(I194,'Raw material list'!$A$3:$C$695,3,0),"")</f>
        <v>PRD1-4327</v>
      </c>
      <c r="I194" s="97" t="s">
        <v>11</v>
      </c>
      <c r="J194" s="101" t="s">
        <v>111</v>
      </c>
      <c r="K194" s="101" t="str">
        <f>IFERROR(VLOOKUP(I194,'Raw material list'!$A$3:$E$695,5,0),"")</f>
        <v xml:space="preserve">Gram </v>
      </c>
      <c r="L194" s="95">
        <v>18.18</v>
      </c>
      <c r="M194" s="98">
        <f t="shared" si="31"/>
        <v>22.725000000000001</v>
      </c>
      <c r="N194" s="133">
        <v>80</v>
      </c>
      <c r="O194" s="95">
        <v>10</v>
      </c>
      <c r="P194" s="98">
        <f t="shared" si="41"/>
        <v>1.8180000000000001</v>
      </c>
      <c r="Q194" s="99">
        <f>IFERROR(VLOOKUP(I194,'Raw material list'!$A$3:$F$695,6,0),"")</f>
        <v>1.2999999999999999E-2</v>
      </c>
      <c r="R194" s="100">
        <f t="shared" si="43"/>
        <v>2.3633999999999999E-2</v>
      </c>
      <c r="S194" s="94">
        <f t="shared" si="32"/>
        <v>2.3633999999999999E-3</v>
      </c>
      <c r="T194" s="94">
        <f t="shared" si="33"/>
        <v>2.5997399999999997E-2</v>
      </c>
      <c r="U194" s="93">
        <f t="shared" si="34"/>
        <v>2.5997399999999997E-3</v>
      </c>
      <c r="V194" s="93">
        <f t="shared" si="35"/>
        <v>2.5997399999999995E-4</v>
      </c>
      <c r="W194" s="93">
        <f t="shared" si="36"/>
        <v>2.5997399999999995E-4</v>
      </c>
      <c r="X194" s="93">
        <f t="shared" si="37"/>
        <v>2.9117087999999996E-2</v>
      </c>
      <c r="Y194" s="117"/>
    </row>
    <row r="195" spans="1:25" s="90" customFormat="1">
      <c r="A195" s="95" t="s">
        <v>1467</v>
      </c>
      <c r="B195" s="95" t="s">
        <v>1668</v>
      </c>
      <c r="C195" s="95" t="s">
        <v>1427</v>
      </c>
      <c r="D195" s="101" t="s">
        <v>1460</v>
      </c>
      <c r="E195" s="101" t="s">
        <v>1455</v>
      </c>
      <c r="F195" s="101" t="s">
        <v>1670</v>
      </c>
      <c r="G195" s="101" t="s">
        <v>1464</v>
      </c>
      <c r="H195" s="97" t="str">
        <f>IFERROR(VLOOKUP(I195,'Raw material list'!$A$3:$C$695,3,0),"")</f>
        <v>DRS6-537</v>
      </c>
      <c r="I195" s="97" t="s">
        <v>25</v>
      </c>
      <c r="J195" s="101" t="s">
        <v>111</v>
      </c>
      <c r="K195" s="101" t="str">
        <f>IFERROR(VLOOKUP(I195,'Raw material list'!$A$3:$E$695,5,0),"")</f>
        <v xml:space="preserve">Gram </v>
      </c>
      <c r="L195" s="95">
        <v>0.1</v>
      </c>
      <c r="M195" s="98">
        <f t="shared" si="31"/>
        <v>0.1</v>
      </c>
      <c r="N195" s="98">
        <v>100</v>
      </c>
      <c r="O195" s="95">
        <v>10</v>
      </c>
      <c r="P195" s="98">
        <f t="shared" si="41"/>
        <v>0.01</v>
      </c>
      <c r="Q195" s="99">
        <f>IFERROR(VLOOKUP(I195,'Raw material list'!$A$3:$F$695,6,0),"")</f>
        <v>3.5000000000000003E-2</v>
      </c>
      <c r="R195" s="100">
        <f t="shared" si="43"/>
        <v>3.5000000000000005E-4</v>
      </c>
      <c r="S195" s="94">
        <f t="shared" si="32"/>
        <v>3.5000000000000004E-5</v>
      </c>
      <c r="T195" s="94">
        <f t="shared" si="33"/>
        <v>3.8500000000000003E-4</v>
      </c>
      <c r="U195" s="93">
        <f t="shared" si="34"/>
        <v>3.8500000000000007E-5</v>
      </c>
      <c r="V195" s="93">
        <f t="shared" si="35"/>
        <v>3.8500000000000004E-6</v>
      </c>
      <c r="W195" s="93">
        <f t="shared" si="36"/>
        <v>3.8500000000000004E-6</v>
      </c>
      <c r="X195" s="93">
        <f t="shared" si="37"/>
        <v>4.3120000000000007E-4</v>
      </c>
      <c r="Y195" s="117"/>
    </row>
    <row r="196" spans="1:25" s="90" customFormat="1">
      <c r="A196" s="95" t="s">
        <v>1467</v>
      </c>
      <c r="B196" s="95" t="s">
        <v>1668</v>
      </c>
      <c r="C196" s="95" t="s">
        <v>1427</v>
      </c>
      <c r="D196" s="101" t="s">
        <v>1460</v>
      </c>
      <c r="E196" s="101" t="s">
        <v>1455</v>
      </c>
      <c r="F196" s="101" t="s">
        <v>1670</v>
      </c>
      <c r="G196" s="101" t="s">
        <v>1464</v>
      </c>
      <c r="H196" s="97" t="str">
        <f>IFERROR(VLOOKUP(I196,'Raw material list'!$A$3:$C$695,3,0),"")</f>
        <v>DRS1-3811</v>
      </c>
      <c r="I196" s="97" t="s">
        <v>36</v>
      </c>
      <c r="J196" s="101" t="s">
        <v>111</v>
      </c>
      <c r="K196" s="101" t="str">
        <f>IFERROR(VLOOKUP(I196,'Raw material list'!$A$3:$E$695,5,0),"")</f>
        <v xml:space="preserve">Gram </v>
      </c>
      <c r="L196" s="95">
        <v>227.27</v>
      </c>
      <c r="M196" s="98">
        <f t="shared" si="31"/>
        <v>227.26999999999998</v>
      </c>
      <c r="N196" s="98">
        <v>100</v>
      </c>
      <c r="O196" s="95">
        <v>10</v>
      </c>
      <c r="P196" s="98">
        <f t="shared" si="41"/>
        <v>22.727</v>
      </c>
      <c r="Q196" s="99">
        <f>IFERROR(VLOOKUP(I196,'Raw material list'!$A$3:$F$695,6,0),"")</f>
        <v>2.8475E-2</v>
      </c>
      <c r="R196" s="100">
        <f t="shared" si="43"/>
        <v>0.64715132500000005</v>
      </c>
      <c r="S196" s="94">
        <f t="shared" si="32"/>
        <v>6.4715132500000008E-2</v>
      </c>
      <c r="T196" s="94">
        <f t="shared" si="33"/>
        <v>0.7118664575000001</v>
      </c>
      <c r="U196" s="93">
        <f t="shared" si="34"/>
        <v>7.1186645750000013E-2</v>
      </c>
      <c r="V196" s="93">
        <f t="shared" si="35"/>
        <v>7.118664575000001E-3</v>
      </c>
      <c r="W196" s="93">
        <f t="shared" si="36"/>
        <v>7.118664575000001E-3</v>
      </c>
      <c r="X196" s="93">
        <f t="shared" si="37"/>
        <v>0.79729043240000008</v>
      </c>
      <c r="Y196" s="117"/>
    </row>
    <row r="197" spans="1:25" s="90" customFormat="1">
      <c r="A197" s="95" t="s">
        <v>1467</v>
      </c>
      <c r="B197" s="95" t="s">
        <v>1668</v>
      </c>
      <c r="C197" s="95" t="s">
        <v>1427</v>
      </c>
      <c r="D197" s="101" t="s">
        <v>1460</v>
      </c>
      <c r="E197" s="101" t="s">
        <v>1455</v>
      </c>
      <c r="F197" s="101" t="s">
        <v>1670</v>
      </c>
      <c r="G197" s="101" t="s">
        <v>1464</v>
      </c>
      <c r="H197" s="97" t="str">
        <f>IFERROR(VLOOKUP(I197,'Raw material list'!$A$3:$C$695,3,0),"")</f>
        <v>PRD1-209</v>
      </c>
      <c r="I197" s="97" t="s">
        <v>26</v>
      </c>
      <c r="J197" s="101" t="s">
        <v>111</v>
      </c>
      <c r="K197" s="101" t="str">
        <f>IFERROR(VLOOKUP(I197,'Raw material list'!$A$3:$E$695,5,0),"")</f>
        <v xml:space="preserve">Gram </v>
      </c>
      <c r="L197" s="95">
        <v>18.18</v>
      </c>
      <c r="M197" s="98">
        <f t="shared" si="31"/>
        <v>47.84210526315789</v>
      </c>
      <c r="N197" s="98">
        <v>38</v>
      </c>
      <c r="O197" s="95">
        <v>10</v>
      </c>
      <c r="P197" s="98">
        <f t="shared" si="41"/>
        <v>1.8180000000000001</v>
      </c>
      <c r="Q197" s="99">
        <f>IFERROR(VLOOKUP(I197,'Raw material list'!$A$3:$F$695,6,0),"")</f>
        <v>1.0088272383354351E-2</v>
      </c>
      <c r="R197" s="100">
        <f t="shared" si="43"/>
        <v>1.834047919293821E-2</v>
      </c>
      <c r="S197" s="94">
        <f t="shared" si="32"/>
        <v>1.8340479192938211E-3</v>
      </c>
      <c r="T197" s="94">
        <f t="shared" si="33"/>
        <v>2.017452711223203E-2</v>
      </c>
      <c r="U197" s="93">
        <f t="shared" si="34"/>
        <v>2.017452711223203E-3</v>
      </c>
      <c r="V197" s="93">
        <f t="shared" si="35"/>
        <v>2.0174527112232031E-4</v>
      </c>
      <c r="W197" s="93">
        <f t="shared" si="36"/>
        <v>2.0174527112232031E-4</v>
      </c>
      <c r="X197" s="93">
        <f t="shared" si="37"/>
        <v>2.2595470365699873E-2</v>
      </c>
      <c r="Y197" s="117"/>
    </row>
    <row r="198" spans="1:25" s="90" customFormat="1">
      <c r="A198" s="95" t="s">
        <v>1467</v>
      </c>
      <c r="B198" s="95" t="s">
        <v>1668</v>
      </c>
      <c r="C198" s="95" t="s">
        <v>1427</v>
      </c>
      <c r="D198" s="101" t="s">
        <v>1460</v>
      </c>
      <c r="E198" s="101" t="s">
        <v>1455</v>
      </c>
      <c r="F198" s="101" t="s">
        <v>1670</v>
      </c>
      <c r="G198" s="101" t="s">
        <v>1464</v>
      </c>
      <c r="H198" s="97" t="str">
        <f>IFERROR(VLOOKUP(I198,'Raw material list'!$A$3:$C$695,3,0),"")</f>
        <v>DRS6-307</v>
      </c>
      <c r="I198" s="97" t="s">
        <v>732</v>
      </c>
      <c r="J198" s="101" t="s">
        <v>111</v>
      </c>
      <c r="K198" s="101" t="str">
        <f>IFERROR(VLOOKUP(I198,'Raw material list'!$A$3:$E$695,5,0),"")</f>
        <v xml:space="preserve">Gram </v>
      </c>
      <c r="L198" s="95">
        <v>27.27</v>
      </c>
      <c r="M198" s="98">
        <f t="shared" ref="M198:M261" si="44">L198/N198*100</f>
        <v>27.27</v>
      </c>
      <c r="N198" s="98">
        <v>100</v>
      </c>
      <c r="O198" s="95">
        <v>10</v>
      </c>
      <c r="P198" s="98">
        <f t="shared" si="41"/>
        <v>2.7269999999999999</v>
      </c>
      <c r="Q198" s="99">
        <f>IFERROR(VLOOKUP(I198,'Raw material list'!$A$3:$F$695,6,0),"")</f>
        <v>8.0000000000000002E-3</v>
      </c>
      <c r="R198" s="100">
        <f t="shared" si="43"/>
        <v>2.1815999999999999E-2</v>
      </c>
      <c r="S198" s="94">
        <f t="shared" ref="S198:S261" si="45">R198*10%</f>
        <v>2.1816000000000001E-3</v>
      </c>
      <c r="T198" s="94">
        <f t="shared" ref="T198:T261" si="46">R198+S198</f>
        <v>2.3997599999999997E-2</v>
      </c>
      <c r="U198" s="93">
        <f t="shared" ref="U198:U261" si="47">T198*10%</f>
        <v>2.3997599999999999E-3</v>
      </c>
      <c r="V198" s="93">
        <f t="shared" ref="V198:V261" si="48">T198*1%</f>
        <v>2.3997599999999998E-4</v>
      </c>
      <c r="W198" s="93">
        <f t="shared" ref="W198:W261" si="49">T198*1%</f>
        <v>2.3997599999999998E-4</v>
      </c>
      <c r="X198" s="93">
        <f t="shared" ref="X198:X261" si="50">T198+U198+V198+W198</f>
        <v>2.6877311999999997E-2</v>
      </c>
      <c r="Y198" s="117"/>
    </row>
    <row r="199" spans="1:25" s="90" customFormat="1">
      <c r="A199" s="95" t="s">
        <v>1467</v>
      </c>
      <c r="B199" s="95" t="s">
        <v>1668</v>
      </c>
      <c r="C199" s="95" t="s">
        <v>1427</v>
      </c>
      <c r="D199" s="101" t="s">
        <v>1460</v>
      </c>
      <c r="E199" s="101" t="s">
        <v>1455</v>
      </c>
      <c r="F199" s="101" t="s">
        <v>1670</v>
      </c>
      <c r="G199" s="101" t="s">
        <v>1433</v>
      </c>
      <c r="H199" s="97" t="str">
        <f>IFERROR(VLOOKUP(I199,'Raw material list'!$A$3:$C$695,3,0),"")</f>
        <v>DRS4-498</v>
      </c>
      <c r="I199" s="97" t="s">
        <v>62</v>
      </c>
      <c r="J199" s="101" t="s">
        <v>111</v>
      </c>
      <c r="K199" s="101" t="str">
        <f>IFERROR(VLOOKUP(I199,'Raw material list'!$A$3:$E$695,5,0),"")</f>
        <v xml:space="preserve">Gram </v>
      </c>
      <c r="L199" s="95">
        <v>600</v>
      </c>
      <c r="M199" s="98">
        <f t="shared" si="44"/>
        <v>600</v>
      </c>
      <c r="N199" s="98">
        <v>100</v>
      </c>
      <c r="O199" s="95">
        <v>10</v>
      </c>
      <c r="P199" s="98">
        <f t="shared" si="41"/>
        <v>60</v>
      </c>
      <c r="Q199" s="99">
        <f>IFERROR(VLOOKUP(I199,'Raw material list'!$A$3:$F$695,6,0),"")</f>
        <v>5.7499999999999999E-3</v>
      </c>
      <c r="R199" s="100">
        <f t="shared" si="43"/>
        <v>0.34499999999999997</v>
      </c>
      <c r="S199" s="94">
        <f t="shared" si="45"/>
        <v>3.4499999999999996E-2</v>
      </c>
      <c r="T199" s="94">
        <f t="shared" si="46"/>
        <v>0.37949999999999995</v>
      </c>
      <c r="U199" s="93">
        <f t="shared" si="47"/>
        <v>3.7949999999999998E-2</v>
      </c>
      <c r="V199" s="93">
        <f t="shared" si="48"/>
        <v>3.7949999999999998E-3</v>
      </c>
      <c r="W199" s="93">
        <f t="shared" si="49"/>
        <v>3.7949999999999998E-3</v>
      </c>
      <c r="X199" s="93">
        <f t="shared" si="50"/>
        <v>0.42503999999999992</v>
      </c>
      <c r="Y199" s="117"/>
    </row>
    <row r="200" spans="1:25" s="90" customFormat="1">
      <c r="A200" s="95" t="s">
        <v>1467</v>
      </c>
      <c r="B200" s="95" t="s">
        <v>1668</v>
      </c>
      <c r="C200" s="95" t="s">
        <v>1427</v>
      </c>
      <c r="D200" s="101" t="s">
        <v>1460</v>
      </c>
      <c r="E200" s="101" t="s">
        <v>1455</v>
      </c>
      <c r="F200" s="101" t="s">
        <v>1670</v>
      </c>
      <c r="G200" s="101" t="s">
        <v>1433</v>
      </c>
      <c r="H200" s="97" t="str">
        <f>IFERROR(VLOOKUP(I200,'Raw material list'!$A$3:$C$695,3,0),"")</f>
        <v>WAT-001</v>
      </c>
      <c r="I200" s="97" t="s">
        <v>1406</v>
      </c>
      <c r="J200" s="101" t="s">
        <v>161</v>
      </c>
      <c r="K200" s="101" t="str">
        <f>IFERROR(VLOOKUP(I200,'Raw material list'!$A$3:$E$695,5,0),"")</f>
        <v>Ml</v>
      </c>
      <c r="L200" s="95">
        <v>1100</v>
      </c>
      <c r="M200" s="98">
        <f t="shared" si="44"/>
        <v>1100</v>
      </c>
      <c r="N200" s="98">
        <v>100</v>
      </c>
      <c r="O200" s="95">
        <v>10</v>
      </c>
      <c r="P200" s="98">
        <f t="shared" si="41"/>
        <v>110</v>
      </c>
      <c r="Q200" s="99">
        <f>IFERROR(VLOOKUP(I200,'Raw material list'!$A$3:$F$695,6,0),"")</f>
        <v>8.0000000000000007E-5</v>
      </c>
      <c r="R200" s="100">
        <f t="shared" si="43"/>
        <v>8.8000000000000005E-3</v>
      </c>
      <c r="S200" s="94">
        <f t="shared" si="45"/>
        <v>8.8000000000000014E-4</v>
      </c>
      <c r="T200" s="94">
        <f t="shared" si="46"/>
        <v>9.6800000000000011E-3</v>
      </c>
      <c r="U200" s="93">
        <f t="shared" si="47"/>
        <v>9.6800000000000011E-4</v>
      </c>
      <c r="V200" s="93">
        <f t="shared" si="48"/>
        <v>9.6800000000000008E-5</v>
      </c>
      <c r="W200" s="93">
        <f t="shared" si="49"/>
        <v>9.6800000000000008E-5</v>
      </c>
      <c r="X200" s="93">
        <f t="shared" si="50"/>
        <v>1.08416E-2</v>
      </c>
      <c r="Y200" s="117"/>
    </row>
    <row r="201" spans="1:25" s="90" customFormat="1">
      <c r="A201" s="95" t="s">
        <v>1467</v>
      </c>
      <c r="B201" s="95" t="s">
        <v>1668</v>
      </c>
      <c r="C201" s="95" t="s">
        <v>1427</v>
      </c>
      <c r="D201" s="101" t="s">
        <v>1460</v>
      </c>
      <c r="E201" s="101" t="s">
        <v>1455</v>
      </c>
      <c r="F201" s="101" t="s">
        <v>1670</v>
      </c>
      <c r="G201" s="101" t="s">
        <v>1433</v>
      </c>
      <c r="H201" s="97" t="str">
        <f>IFERROR(VLOOKUP(I201,'Raw material list'!$A$3:$C$695,3,0),"")</f>
        <v>DRS1-3880</v>
      </c>
      <c r="I201" s="97" t="s">
        <v>1398</v>
      </c>
      <c r="J201" s="101" t="s">
        <v>111</v>
      </c>
      <c r="K201" s="101" t="str">
        <f>IFERROR(VLOOKUP(I201,'Raw material list'!$A$3:$E$695,5,0),"")</f>
        <v xml:space="preserve">Gram </v>
      </c>
      <c r="L201" s="95">
        <v>14</v>
      </c>
      <c r="M201" s="98">
        <f t="shared" si="44"/>
        <v>14.000000000000002</v>
      </c>
      <c r="N201" s="98">
        <v>100</v>
      </c>
      <c r="O201" s="95">
        <v>10</v>
      </c>
      <c r="P201" s="98">
        <f t="shared" si="41"/>
        <v>1.4</v>
      </c>
      <c r="Q201" s="99">
        <f>IFERROR(VLOOKUP(I201,'Raw material list'!$A$3:$F$695,6,0),"")</f>
        <v>5.0000000000000001E-4</v>
      </c>
      <c r="R201" s="100">
        <f t="shared" si="43"/>
        <v>6.9999999999999999E-4</v>
      </c>
      <c r="S201" s="94">
        <f t="shared" si="45"/>
        <v>7.0000000000000007E-5</v>
      </c>
      <c r="T201" s="94">
        <f t="shared" si="46"/>
        <v>7.6999999999999996E-4</v>
      </c>
      <c r="U201" s="93">
        <f t="shared" si="47"/>
        <v>7.7000000000000001E-5</v>
      </c>
      <c r="V201" s="93">
        <f t="shared" si="48"/>
        <v>7.6999999999999991E-6</v>
      </c>
      <c r="W201" s="93">
        <f t="shared" si="49"/>
        <v>7.6999999999999991E-6</v>
      </c>
      <c r="X201" s="93">
        <f t="shared" si="50"/>
        <v>8.6240000000000004E-4</v>
      </c>
      <c r="Y201" s="117"/>
    </row>
    <row r="202" spans="1:25" s="90" customFormat="1">
      <c r="A202" s="95" t="s">
        <v>1467</v>
      </c>
      <c r="B202" s="95" t="s">
        <v>1668</v>
      </c>
      <c r="C202" s="95" t="s">
        <v>1427</v>
      </c>
      <c r="D202" s="101" t="s">
        <v>1460</v>
      </c>
      <c r="E202" s="101" t="s">
        <v>1455</v>
      </c>
      <c r="F202" s="101" t="s">
        <v>1670</v>
      </c>
      <c r="G202" s="101" t="s">
        <v>1433</v>
      </c>
      <c r="H202" s="97" t="str">
        <f>IFERROR(VLOOKUP(I202,'Raw material list'!$A$3:$C$695,3,0),"")</f>
        <v>DRS6-309</v>
      </c>
      <c r="I202" s="97" t="s">
        <v>35</v>
      </c>
      <c r="J202" s="101" t="s">
        <v>111</v>
      </c>
      <c r="K202" s="101" t="str">
        <f>IFERROR(VLOOKUP(I202,'Raw material list'!$A$3:$E$695,5,0),"")</f>
        <v xml:space="preserve">Gram </v>
      </c>
      <c r="L202" s="95">
        <v>1</v>
      </c>
      <c r="M202" s="98">
        <f t="shared" si="44"/>
        <v>1</v>
      </c>
      <c r="N202" s="98">
        <v>100</v>
      </c>
      <c r="O202" s="95">
        <v>10</v>
      </c>
      <c r="P202" s="98">
        <f t="shared" si="41"/>
        <v>0.1</v>
      </c>
      <c r="Q202" s="99">
        <f>IFERROR(VLOOKUP(I202,'Raw material list'!$A$3:$F$695,6,0),"")</f>
        <v>2.8000000000000001E-2</v>
      </c>
      <c r="R202" s="100">
        <f t="shared" si="43"/>
        <v>2.8000000000000004E-3</v>
      </c>
      <c r="S202" s="94">
        <f t="shared" si="45"/>
        <v>2.8000000000000003E-4</v>
      </c>
      <c r="T202" s="94">
        <f t="shared" si="46"/>
        <v>3.0800000000000003E-3</v>
      </c>
      <c r="U202" s="93">
        <f t="shared" si="47"/>
        <v>3.0800000000000006E-4</v>
      </c>
      <c r="V202" s="93">
        <f t="shared" si="48"/>
        <v>3.0800000000000003E-5</v>
      </c>
      <c r="W202" s="93">
        <f t="shared" si="49"/>
        <v>3.0800000000000003E-5</v>
      </c>
      <c r="X202" s="93">
        <f t="shared" si="50"/>
        <v>3.4496000000000006E-3</v>
      </c>
      <c r="Y202" s="117"/>
    </row>
    <row r="203" spans="1:25" s="90" customFormat="1">
      <c r="A203" s="95" t="s">
        <v>1467</v>
      </c>
      <c r="B203" s="95" t="s">
        <v>1668</v>
      </c>
      <c r="C203" s="95" t="s">
        <v>1427</v>
      </c>
      <c r="D203" s="101" t="s">
        <v>1460</v>
      </c>
      <c r="E203" s="101" t="s">
        <v>1455</v>
      </c>
      <c r="F203" s="101" t="s">
        <v>1670</v>
      </c>
      <c r="G203" s="101" t="s">
        <v>1433</v>
      </c>
      <c r="H203" s="97" t="str">
        <f>IFERROR(VLOOKUP(I203,'Raw material list'!$A$3:$C$695,3,0),"")</f>
        <v>DRS6-3593</v>
      </c>
      <c r="I203" s="97" t="s">
        <v>1417</v>
      </c>
      <c r="J203" s="101" t="s">
        <v>111</v>
      </c>
      <c r="K203" s="101" t="str">
        <f>IFERROR(VLOOKUP(I203,'Raw material list'!$A$3:$E$695,5,0),"")</f>
        <v xml:space="preserve">Gram </v>
      </c>
      <c r="L203" s="95">
        <v>1</v>
      </c>
      <c r="M203" s="98">
        <f t="shared" si="44"/>
        <v>1</v>
      </c>
      <c r="N203" s="98">
        <v>100</v>
      </c>
      <c r="O203" s="95">
        <v>10</v>
      </c>
      <c r="P203" s="98">
        <f t="shared" si="41"/>
        <v>0.1</v>
      </c>
      <c r="Q203" s="99">
        <f>IFERROR(VLOOKUP(I203,'Raw material list'!$A$3:$F$695,6,0),"")</f>
        <v>1.0500000000000001E-2</v>
      </c>
      <c r="R203" s="100">
        <f t="shared" si="43"/>
        <v>1.0500000000000002E-3</v>
      </c>
      <c r="S203" s="94">
        <f t="shared" si="45"/>
        <v>1.0500000000000002E-4</v>
      </c>
      <c r="T203" s="94">
        <f t="shared" si="46"/>
        <v>1.1550000000000002E-3</v>
      </c>
      <c r="U203" s="93">
        <f t="shared" si="47"/>
        <v>1.1550000000000003E-4</v>
      </c>
      <c r="V203" s="93">
        <f t="shared" si="48"/>
        <v>1.1550000000000003E-5</v>
      </c>
      <c r="W203" s="93">
        <f t="shared" si="49"/>
        <v>1.1550000000000003E-5</v>
      </c>
      <c r="X203" s="93">
        <f t="shared" si="50"/>
        <v>1.2936E-3</v>
      </c>
      <c r="Y203" s="117"/>
    </row>
    <row r="204" spans="1:25" s="90" customFormat="1">
      <c r="A204" s="95" t="s">
        <v>1467</v>
      </c>
      <c r="B204" s="95" t="s">
        <v>1668</v>
      </c>
      <c r="C204" s="95" t="s">
        <v>1427</v>
      </c>
      <c r="D204" s="101" t="s">
        <v>1460</v>
      </c>
      <c r="E204" s="101" t="s">
        <v>1455</v>
      </c>
      <c r="F204" s="101" t="s">
        <v>1670</v>
      </c>
      <c r="G204" s="101" t="s">
        <v>1433</v>
      </c>
      <c r="H204" s="97" t="str">
        <f>IFERROR(VLOOKUP(I204,'Raw material list'!$A$3:$C$695,3,0),"")</f>
        <v>DRS3-1813</v>
      </c>
      <c r="I204" s="97" t="s">
        <v>39</v>
      </c>
      <c r="J204" s="101" t="s">
        <v>161</v>
      </c>
      <c r="K204" s="101" t="str">
        <f>IFERROR(VLOOKUP(I204,'Raw material list'!$A$3:$E$695,5,0),"")</f>
        <v>Ml</v>
      </c>
      <c r="L204" s="95">
        <v>30</v>
      </c>
      <c r="M204" s="98">
        <f t="shared" si="44"/>
        <v>30</v>
      </c>
      <c r="N204" s="98">
        <v>100</v>
      </c>
      <c r="O204" s="95">
        <v>10</v>
      </c>
      <c r="P204" s="98">
        <f t="shared" si="41"/>
        <v>3</v>
      </c>
      <c r="Q204" s="99">
        <f>IFERROR(VLOOKUP(I204,'Raw material list'!$A$3:$F$695,6,0),"")</f>
        <v>8.0555555555555554E-3</v>
      </c>
      <c r="R204" s="100">
        <f t="shared" si="43"/>
        <v>2.4166666666666666E-2</v>
      </c>
      <c r="S204" s="94">
        <f t="shared" si="45"/>
        <v>2.4166666666666668E-3</v>
      </c>
      <c r="T204" s="94">
        <f t="shared" si="46"/>
        <v>2.6583333333333334E-2</v>
      </c>
      <c r="U204" s="93">
        <f t="shared" si="47"/>
        <v>2.6583333333333337E-3</v>
      </c>
      <c r="V204" s="93">
        <f t="shared" si="48"/>
        <v>2.6583333333333336E-4</v>
      </c>
      <c r="W204" s="93">
        <f t="shared" si="49"/>
        <v>2.6583333333333336E-4</v>
      </c>
      <c r="X204" s="93">
        <f t="shared" si="50"/>
        <v>2.9773333333333332E-2</v>
      </c>
      <c r="Y204" s="117"/>
    </row>
    <row r="205" spans="1:25" s="90" customFormat="1">
      <c r="A205" s="95" t="s">
        <v>1467</v>
      </c>
      <c r="B205" s="95" t="s">
        <v>1668</v>
      </c>
      <c r="C205" s="95" t="s">
        <v>1427</v>
      </c>
      <c r="D205" s="101" t="s">
        <v>1460</v>
      </c>
      <c r="E205" s="101" t="s">
        <v>1455</v>
      </c>
      <c r="F205" s="101" t="s">
        <v>1670</v>
      </c>
      <c r="G205" s="101" t="s">
        <v>1433</v>
      </c>
      <c r="H205" s="97" t="str">
        <f>IFERROR(VLOOKUP(I205,'Raw material list'!$A$3:$C$695,3,0),"")</f>
        <v>DRS6-539</v>
      </c>
      <c r="I205" s="97" t="s">
        <v>717</v>
      </c>
      <c r="J205" s="101" t="s">
        <v>111</v>
      </c>
      <c r="K205" s="101" t="str">
        <f>IFERROR(VLOOKUP(I205,'Raw material list'!$A$3:$E$695,5,0),"")</f>
        <v xml:space="preserve">Gram </v>
      </c>
      <c r="L205" s="95">
        <v>2</v>
      </c>
      <c r="M205" s="98">
        <f t="shared" si="44"/>
        <v>2</v>
      </c>
      <c r="N205" s="98">
        <v>100</v>
      </c>
      <c r="O205" s="95">
        <v>10</v>
      </c>
      <c r="P205" s="98">
        <f t="shared" si="41"/>
        <v>0.2</v>
      </c>
      <c r="Q205" s="99">
        <f>IFERROR(VLOOKUP(I205,'Raw material list'!$A$3:$F$695,6,0),"")</f>
        <v>0.16</v>
      </c>
      <c r="R205" s="100">
        <f t="shared" si="43"/>
        <v>3.2000000000000001E-2</v>
      </c>
      <c r="S205" s="94">
        <f t="shared" si="45"/>
        <v>3.2000000000000002E-3</v>
      </c>
      <c r="T205" s="94">
        <f t="shared" si="46"/>
        <v>3.5200000000000002E-2</v>
      </c>
      <c r="U205" s="93">
        <f t="shared" si="47"/>
        <v>3.5200000000000006E-3</v>
      </c>
      <c r="V205" s="93">
        <f t="shared" si="48"/>
        <v>3.5200000000000005E-4</v>
      </c>
      <c r="W205" s="93">
        <f t="shared" si="49"/>
        <v>3.5200000000000005E-4</v>
      </c>
      <c r="X205" s="93">
        <f t="shared" si="50"/>
        <v>3.9424000000000001E-2</v>
      </c>
      <c r="Y205" s="117"/>
    </row>
    <row r="206" spans="1:25" s="90" customFormat="1">
      <c r="A206" s="95" t="s">
        <v>1467</v>
      </c>
      <c r="B206" s="95" t="s">
        <v>1668</v>
      </c>
      <c r="C206" s="95" t="s">
        <v>1427</v>
      </c>
      <c r="D206" s="101" t="s">
        <v>1460</v>
      </c>
      <c r="E206" s="101" t="s">
        <v>1455</v>
      </c>
      <c r="F206" s="101" t="s">
        <v>1670</v>
      </c>
      <c r="G206" s="101" t="s">
        <v>1433</v>
      </c>
      <c r="H206" s="97" t="str">
        <f>IFERROR(VLOOKUP(I206,'Raw material list'!$A$3:$C$695,3,0),"")</f>
        <v>DRS6-261</v>
      </c>
      <c r="I206" s="97" t="s">
        <v>1565</v>
      </c>
      <c r="J206" s="101" t="s">
        <v>111</v>
      </c>
      <c r="K206" s="101" t="str">
        <f>IFERROR(VLOOKUP(I206,'Raw material list'!$A$3:$E$695,5,0),"")</f>
        <v xml:space="preserve">Gram </v>
      </c>
      <c r="L206" s="95">
        <v>0.3</v>
      </c>
      <c r="M206" s="98">
        <f t="shared" si="44"/>
        <v>0.3</v>
      </c>
      <c r="N206" s="98">
        <v>100</v>
      </c>
      <c r="O206" s="95">
        <v>10</v>
      </c>
      <c r="P206" s="98">
        <f t="shared" si="41"/>
        <v>0.03</v>
      </c>
      <c r="Q206" s="99">
        <f>IFERROR(VLOOKUP(I206,'Raw material list'!$A$3:$F$695,6,0),"")</f>
        <v>1.4E-2</v>
      </c>
      <c r="R206" s="100">
        <f t="shared" si="43"/>
        <v>4.2000000000000002E-4</v>
      </c>
      <c r="S206" s="94">
        <f t="shared" si="45"/>
        <v>4.2000000000000004E-5</v>
      </c>
      <c r="T206" s="94">
        <f t="shared" si="46"/>
        <v>4.6200000000000001E-4</v>
      </c>
      <c r="U206" s="93">
        <f t="shared" si="47"/>
        <v>4.6200000000000005E-5</v>
      </c>
      <c r="V206" s="93">
        <f t="shared" si="48"/>
        <v>4.6199999999999998E-6</v>
      </c>
      <c r="W206" s="93">
        <f t="shared" si="49"/>
        <v>4.6199999999999998E-6</v>
      </c>
      <c r="X206" s="93">
        <f t="shared" si="50"/>
        <v>5.1743999999999998E-4</v>
      </c>
      <c r="Y206" s="117"/>
    </row>
    <row r="207" spans="1:25">
      <c r="A207" s="95" t="s">
        <v>1468</v>
      </c>
      <c r="B207" s="95" t="s">
        <v>1631</v>
      </c>
      <c r="C207" s="95" t="s">
        <v>1427</v>
      </c>
      <c r="D207" s="101" t="s">
        <v>1632</v>
      </c>
      <c r="E207" s="101" t="s">
        <v>1455</v>
      </c>
      <c r="F207" s="101" t="s">
        <v>1670</v>
      </c>
      <c r="G207" s="101"/>
      <c r="H207" s="97" t="str">
        <f>IFERROR(VLOOKUP(I207,'Raw material list'!$A$3:$C$695,3,0),"")</f>
        <v>MET2-1051</v>
      </c>
      <c r="I207" s="97" t="s">
        <v>882</v>
      </c>
      <c r="J207" s="101" t="s">
        <v>111</v>
      </c>
      <c r="K207" s="101" t="str">
        <f>IFERROR(VLOOKUP(I207,'Raw material list'!$A$3:$E$695,5,0),"")</f>
        <v xml:space="preserve">Gram </v>
      </c>
      <c r="L207" s="95">
        <v>600</v>
      </c>
      <c r="M207" s="98">
        <f t="shared" si="44"/>
        <v>1167.3151750972763</v>
      </c>
      <c r="N207" s="98">
        <v>51.4</v>
      </c>
      <c r="O207" s="95">
        <v>10</v>
      </c>
      <c r="P207" s="98">
        <f t="shared" si="41"/>
        <v>60</v>
      </c>
      <c r="Q207" s="99">
        <f>IFERROR(VLOOKUP(I207,'Raw material list'!$A$3:$F$695,6,0),"")</f>
        <v>8.4705882352941173E-2</v>
      </c>
      <c r="R207" s="100">
        <f t="shared" si="43"/>
        <v>5.0823529411764703</v>
      </c>
      <c r="S207" s="94">
        <f t="shared" si="45"/>
        <v>0.50823529411764701</v>
      </c>
      <c r="T207" s="94">
        <f t="shared" si="46"/>
        <v>5.590588235294117</v>
      </c>
      <c r="U207" s="93">
        <f t="shared" si="47"/>
        <v>0.55905882352941172</v>
      </c>
      <c r="V207" s="93">
        <f t="shared" si="48"/>
        <v>5.5905882352941173E-2</v>
      </c>
      <c r="W207" s="93">
        <f t="shared" si="49"/>
        <v>5.5905882352941173E-2</v>
      </c>
      <c r="X207" s="93">
        <f t="shared" si="50"/>
        <v>6.2614588235294111</v>
      </c>
      <c r="Y207" s="127" t="s">
        <v>1680</v>
      </c>
    </row>
    <row r="208" spans="1:25">
      <c r="A208" s="95" t="s">
        <v>1468</v>
      </c>
      <c r="B208" s="95" t="s">
        <v>1631</v>
      </c>
      <c r="C208" s="95" t="s">
        <v>1427</v>
      </c>
      <c r="D208" s="101" t="s">
        <v>1632</v>
      </c>
      <c r="E208" s="101" t="s">
        <v>1455</v>
      </c>
      <c r="F208" s="95" t="s">
        <v>1669</v>
      </c>
      <c r="G208" s="101"/>
      <c r="H208" s="97" t="str">
        <f>IFERROR(VLOOKUP(I208,'Raw material list'!$A$3:$C$695,3,0),"")</f>
        <v>BKR1-1327</v>
      </c>
      <c r="I208" s="97" t="s">
        <v>118</v>
      </c>
      <c r="J208" s="101" t="s">
        <v>120</v>
      </c>
      <c r="K208" s="101" t="str">
        <f>IFERROR(VLOOKUP(I208,'Raw material list'!$A$3:$E$695,5,0),"")</f>
        <v>Slice</v>
      </c>
      <c r="L208" s="95">
        <v>10</v>
      </c>
      <c r="M208" s="98">
        <f t="shared" si="44"/>
        <v>10</v>
      </c>
      <c r="N208" s="98">
        <v>100</v>
      </c>
      <c r="O208" s="95">
        <v>10</v>
      </c>
      <c r="P208" s="98">
        <f t="shared" si="41"/>
        <v>1</v>
      </c>
      <c r="Q208" s="99">
        <f>IFERROR(VLOOKUP(I208,'Raw material list'!$A$3:$F$695,6,0),"")</f>
        <v>0.22222222222222221</v>
      </c>
      <c r="R208" s="100">
        <f t="shared" si="43"/>
        <v>0.22222222222222221</v>
      </c>
      <c r="S208" s="94">
        <f t="shared" si="45"/>
        <v>2.2222222222222223E-2</v>
      </c>
      <c r="T208" s="94">
        <f t="shared" si="46"/>
        <v>0.24444444444444444</v>
      </c>
      <c r="U208" s="93">
        <f t="shared" si="47"/>
        <v>2.4444444444444446E-2</v>
      </c>
      <c r="V208" s="93">
        <f t="shared" si="48"/>
        <v>2.4444444444444444E-3</v>
      </c>
      <c r="W208" s="93">
        <f t="shared" si="49"/>
        <v>2.4444444444444444E-3</v>
      </c>
      <c r="X208" s="93">
        <f t="shared" si="50"/>
        <v>0.27377777777777784</v>
      </c>
      <c r="Y208" s="121"/>
    </row>
    <row r="209" spans="1:25">
      <c r="A209" s="95" t="s">
        <v>1468</v>
      </c>
      <c r="B209" s="95" t="s">
        <v>1631</v>
      </c>
      <c r="C209" s="95" t="s">
        <v>1427</v>
      </c>
      <c r="D209" s="101" t="s">
        <v>1632</v>
      </c>
      <c r="E209" s="101" t="s">
        <v>1455</v>
      </c>
      <c r="F209" s="101" t="s">
        <v>1670</v>
      </c>
      <c r="G209" s="101" t="s">
        <v>1448</v>
      </c>
      <c r="H209" s="97" t="str">
        <f>IFERROR(VLOOKUP(I209,'Raw material list'!$A$3:$C$695,3,0),"")</f>
        <v>PRD1-4265</v>
      </c>
      <c r="I209" s="97" t="s">
        <v>10</v>
      </c>
      <c r="J209" s="101" t="s">
        <v>111</v>
      </c>
      <c r="K209" s="101" t="str">
        <f>IFERROR(VLOOKUP(I209,'Raw material list'!$A$3:$E$695,5,0),"")</f>
        <v xml:space="preserve">Gram </v>
      </c>
      <c r="L209" s="95">
        <v>500</v>
      </c>
      <c r="M209" s="98">
        <f t="shared" si="44"/>
        <v>588.23529411764707</v>
      </c>
      <c r="N209" s="98">
        <v>85</v>
      </c>
      <c r="O209" s="95">
        <v>10</v>
      </c>
      <c r="P209" s="98">
        <f t="shared" si="41"/>
        <v>50</v>
      </c>
      <c r="Q209" s="99">
        <f>IFERROR(VLOOKUP(I209,'Raw material list'!$A$3:$F$695,6,0),"")</f>
        <v>3.529411764705882E-3</v>
      </c>
      <c r="R209" s="100">
        <f t="shared" si="43"/>
        <v>0.1764705882352941</v>
      </c>
      <c r="S209" s="94">
        <f t="shared" si="45"/>
        <v>1.7647058823529412E-2</v>
      </c>
      <c r="T209" s="94">
        <f t="shared" si="46"/>
        <v>0.19411764705882351</v>
      </c>
      <c r="U209" s="93">
        <f t="shared" si="47"/>
        <v>1.9411764705882351E-2</v>
      </c>
      <c r="V209" s="93">
        <f t="shared" si="48"/>
        <v>1.941176470588235E-3</v>
      </c>
      <c r="W209" s="93">
        <f t="shared" si="49"/>
        <v>1.941176470588235E-3</v>
      </c>
      <c r="X209" s="93">
        <f t="shared" si="50"/>
        <v>0.2174117647058823</v>
      </c>
      <c r="Y209" s="121"/>
    </row>
    <row r="210" spans="1:25">
      <c r="A210" s="95" t="s">
        <v>1468</v>
      </c>
      <c r="B210" s="95" t="s">
        <v>1631</v>
      </c>
      <c r="C210" s="95" t="s">
        <v>1427</v>
      </c>
      <c r="D210" s="101" t="s">
        <v>1632</v>
      </c>
      <c r="E210" s="101" t="s">
        <v>1455</v>
      </c>
      <c r="F210" s="101" t="s">
        <v>1670</v>
      </c>
      <c r="G210" s="101" t="s">
        <v>1448</v>
      </c>
      <c r="H210" s="97" t="str">
        <f>IFERROR(VLOOKUP(I210,'Raw material list'!$A$3:$C$695,3,0),"")</f>
        <v>DRY2-1008</v>
      </c>
      <c r="I210" s="97" t="s">
        <v>21</v>
      </c>
      <c r="J210" s="101" t="s">
        <v>111</v>
      </c>
      <c r="K210" s="101" t="str">
        <f>IFERROR(VLOOKUP(I210,'Raw material list'!$A$3:$E$695,5,0),"")</f>
        <v xml:space="preserve">Gram </v>
      </c>
      <c r="L210" s="95">
        <v>50</v>
      </c>
      <c r="M210" s="98">
        <f t="shared" si="44"/>
        <v>50</v>
      </c>
      <c r="N210" s="98">
        <v>100</v>
      </c>
      <c r="O210" s="95">
        <v>10</v>
      </c>
      <c r="P210" s="98">
        <f t="shared" si="41"/>
        <v>5</v>
      </c>
      <c r="Q210" s="99">
        <f>IFERROR(VLOOKUP(I210,'Raw material list'!$A$3:$F$695,6,0),"")</f>
        <v>3.7999999999999999E-2</v>
      </c>
      <c r="R210" s="100">
        <f t="shared" si="43"/>
        <v>0.19</v>
      </c>
      <c r="S210" s="94">
        <f t="shared" si="45"/>
        <v>1.9000000000000003E-2</v>
      </c>
      <c r="T210" s="94">
        <f t="shared" si="46"/>
        <v>0.20900000000000002</v>
      </c>
      <c r="U210" s="93">
        <f t="shared" si="47"/>
        <v>2.0900000000000002E-2</v>
      </c>
      <c r="V210" s="93">
        <f t="shared" si="48"/>
        <v>2.0900000000000003E-3</v>
      </c>
      <c r="W210" s="93">
        <f t="shared" si="49"/>
        <v>2.0900000000000003E-3</v>
      </c>
      <c r="X210" s="93">
        <f t="shared" si="50"/>
        <v>0.23408000000000004</v>
      </c>
      <c r="Y210" s="121"/>
    </row>
    <row r="211" spans="1:25">
      <c r="A211" s="95" t="s">
        <v>1468</v>
      </c>
      <c r="B211" s="95" t="s">
        <v>1631</v>
      </c>
      <c r="C211" s="95" t="s">
        <v>1427</v>
      </c>
      <c r="D211" s="101" t="s">
        <v>1632</v>
      </c>
      <c r="E211" s="101" t="s">
        <v>1455</v>
      </c>
      <c r="F211" s="101" t="s">
        <v>1670</v>
      </c>
      <c r="G211" s="101" t="s">
        <v>1448</v>
      </c>
      <c r="H211" s="97" t="str">
        <f>IFERROR(VLOOKUP(I211,'Raw material list'!$A$3:$C$695,3,0),"")</f>
        <v>DRS1-3880</v>
      </c>
      <c r="I211" s="97" t="s">
        <v>1398</v>
      </c>
      <c r="J211" s="101" t="s">
        <v>111</v>
      </c>
      <c r="K211" s="101" t="str">
        <f>IFERROR(VLOOKUP(I211,'Raw material list'!$A$3:$E$695,5,0),"")</f>
        <v xml:space="preserve">Gram </v>
      </c>
      <c r="L211" s="95">
        <v>2</v>
      </c>
      <c r="M211" s="98">
        <f t="shared" si="44"/>
        <v>2</v>
      </c>
      <c r="N211" s="98">
        <v>100</v>
      </c>
      <c r="O211" s="95">
        <v>10</v>
      </c>
      <c r="P211" s="98">
        <f t="shared" si="41"/>
        <v>0.2</v>
      </c>
      <c r="Q211" s="99">
        <f>IFERROR(VLOOKUP(I211,'Raw material list'!$A$3:$F$695,6,0),"")</f>
        <v>5.0000000000000001E-4</v>
      </c>
      <c r="R211" s="100">
        <f t="shared" si="43"/>
        <v>1E-4</v>
      </c>
      <c r="S211" s="94">
        <f t="shared" si="45"/>
        <v>1.0000000000000001E-5</v>
      </c>
      <c r="T211" s="94">
        <f t="shared" si="46"/>
        <v>1.1E-4</v>
      </c>
      <c r="U211" s="93">
        <f t="shared" si="47"/>
        <v>1.1000000000000001E-5</v>
      </c>
      <c r="V211" s="93">
        <f t="shared" si="48"/>
        <v>1.1000000000000001E-6</v>
      </c>
      <c r="W211" s="93">
        <f t="shared" si="49"/>
        <v>1.1000000000000001E-6</v>
      </c>
      <c r="X211" s="93">
        <f t="shared" si="50"/>
        <v>1.2320000000000001E-4</v>
      </c>
      <c r="Y211" s="121"/>
    </row>
    <row r="212" spans="1:25">
      <c r="A212" s="95" t="s">
        <v>1468</v>
      </c>
      <c r="B212" s="95" t="s">
        <v>1631</v>
      </c>
      <c r="C212" s="95" t="s">
        <v>1427</v>
      </c>
      <c r="D212" s="101" t="s">
        <v>1632</v>
      </c>
      <c r="E212" s="101" t="s">
        <v>1455</v>
      </c>
      <c r="F212" s="101" t="s">
        <v>1670</v>
      </c>
      <c r="G212" s="101" t="s">
        <v>1448</v>
      </c>
      <c r="H212" s="97" t="str">
        <f>IFERROR(VLOOKUP(I212,'Raw material list'!$A$3:$C$695,3,0),"")</f>
        <v>WAT-001</v>
      </c>
      <c r="I212" s="97" t="s">
        <v>1406</v>
      </c>
      <c r="J212" s="101" t="s">
        <v>161</v>
      </c>
      <c r="K212" s="101" t="str">
        <f>IFERROR(VLOOKUP(I212,'Raw material list'!$A$3:$E$695,5,0),"")</f>
        <v>Ml</v>
      </c>
      <c r="L212" s="95">
        <v>100</v>
      </c>
      <c r="M212" s="98">
        <f t="shared" si="44"/>
        <v>100</v>
      </c>
      <c r="N212" s="98">
        <v>100</v>
      </c>
      <c r="O212" s="95">
        <v>10</v>
      </c>
      <c r="P212" s="98">
        <f t="shared" si="41"/>
        <v>10</v>
      </c>
      <c r="Q212" s="99">
        <f>IFERROR(VLOOKUP(I212,'Raw material list'!$A$3:$F$695,6,0),"")</f>
        <v>8.0000000000000007E-5</v>
      </c>
      <c r="R212" s="100">
        <f t="shared" si="43"/>
        <v>8.0000000000000004E-4</v>
      </c>
      <c r="S212" s="94">
        <f t="shared" si="45"/>
        <v>8.0000000000000007E-5</v>
      </c>
      <c r="T212" s="94">
        <f t="shared" si="46"/>
        <v>8.8000000000000003E-4</v>
      </c>
      <c r="U212" s="93">
        <f t="shared" si="47"/>
        <v>8.8000000000000011E-5</v>
      </c>
      <c r="V212" s="93">
        <f t="shared" si="48"/>
        <v>8.8000000000000004E-6</v>
      </c>
      <c r="W212" s="93">
        <f t="shared" si="49"/>
        <v>8.8000000000000004E-6</v>
      </c>
      <c r="X212" s="93">
        <f t="shared" si="50"/>
        <v>9.856000000000001E-4</v>
      </c>
      <c r="Y212" s="121"/>
    </row>
    <row r="213" spans="1:25">
      <c r="A213" s="95" t="s">
        <v>1468</v>
      </c>
      <c r="B213" s="95" t="s">
        <v>1631</v>
      </c>
      <c r="C213" s="95" t="s">
        <v>1427</v>
      </c>
      <c r="D213" s="101" t="s">
        <v>1632</v>
      </c>
      <c r="E213" s="101" t="s">
        <v>1455</v>
      </c>
      <c r="F213" s="101" t="s">
        <v>1670</v>
      </c>
      <c r="G213" s="101" t="s">
        <v>1448</v>
      </c>
      <c r="H213" s="97" t="str">
        <f>IFERROR(VLOOKUP(I213,'Raw material list'!$A$3:$C$695,3,0),"")</f>
        <v>DRS6-537</v>
      </c>
      <c r="I213" s="97" t="s">
        <v>25</v>
      </c>
      <c r="J213" s="101" t="s">
        <v>111</v>
      </c>
      <c r="K213" s="101" t="str">
        <f>IFERROR(VLOOKUP(I213,'Raw material list'!$A$3:$E$695,5,0),"")</f>
        <v xml:space="preserve">Gram </v>
      </c>
      <c r="L213" s="95">
        <v>2</v>
      </c>
      <c r="M213" s="98">
        <f t="shared" si="44"/>
        <v>2</v>
      </c>
      <c r="N213" s="98">
        <v>100</v>
      </c>
      <c r="O213" s="95">
        <v>10</v>
      </c>
      <c r="P213" s="98">
        <f t="shared" si="41"/>
        <v>0.2</v>
      </c>
      <c r="Q213" s="99">
        <f>IFERROR(VLOOKUP(I213,'Raw material list'!$A$3:$F$695,6,0),"")</f>
        <v>3.5000000000000003E-2</v>
      </c>
      <c r="R213" s="100">
        <f t="shared" si="43"/>
        <v>7.000000000000001E-3</v>
      </c>
      <c r="S213" s="94">
        <f t="shared" si="45"/>
        <v>7.000000000000001E-4</v>
      </c>
      <c r="T213" s="94">
        <f t="shared" si="46"/>
        <v>7.7000000000000011E-3</v>
      </c>
      <c r="U213" s="93">
        <f t="shared" si="47"/>
        <v>7.7000000000000018E-4</v>
      </c>
      <c r="V213" s="93">
        <f t="shared" si="48"/>
        <v>7.7000000000000015E-5</v>
      </c>
      <c r="W213" s="93">
        <f t="shared" si="49"/>
        <v>7.7000000000000015E-5</v>
      </c>
      <c r="X213" s="93">
        <f t="shared" si="50"/>
        <v>8.6240000000000032E-3</v>
      </c>
      <c r="Y213" s="121"/>
    </row>
    <row r="214" spans="1:25">
      <c r="A214" s="95" t="s">
        <v>1468</v>
      </c>
      <c r="B214" s="95" t="s">
        <v>1631</v>
      </c>
      <c r="C214" s="95" t="s">
        <v>1427</v>
      </c>
      <c r="D214" s="101" t="s">
        <v>1632</v>
      </c>
      <c r="E214" s="101" t="s">
        <v>1455</v>
      </c>
      <c r="F214" s="101" t="s">
        <v>1670</v>
      </c>
      <c r="G214" s="101" t="s">
        <v>1449</v>
      </c>
      <c r="H214" s="97" t="str">
        <f>IFERROR(VLOOKUP(I214,'Raw material list'!$A$3:$C$695,3,0),"")</f>
        <v>PRD1-3182</v>
      </c>
      <c r="I214" s="97" t="s">
        <v>1028</v>
      </c>
      <c r="J214" s="101" t="s">
        <v>111</v>
      </c>
      <c r="K214" s="101" t="str">
        <f>IFERROR(VLOOKUP(I214,'Raw material list'!$A$3:$E$695,5,0),"")</f>
        <v xml:space="preserve">Gram </v>
      </c>
      <c r="L214" s="95">
        <v>600</v>
      </c>
      <c r="M214" s="98">
        <f t="shared" si="44"/>
        <v>631.57894736842104</v>
      </c>
      <c r="N214" s="98">
        <v>95</v>
      </c>
      <c r="O214" s="95">
        <v>10</v>
      </c>
      <c r="P214" s="98">
        <f t="shared" si="41"/>
        <v>60</v>
      </c>
      <c r="Q214" s="99">
        <f>IFERROR(VLOOKUP(I214,'Raw material list'!$A$3:$F$695,6,0),"")</f>
        <v>3.3684210526315803E-2</v>
      </c>
      <c r="R214" s="100">
        <f t="shared" si="43"/>
        <v>2.0210526315789483</v>
      </c>
      <c r="S214" s="94">
        <f t="shared" si="45"/>
        <v>0.20210526315789484</v>
      </c>
      <c r="T214" s="94">
        <f t="shared" si="46"/>
        <v>2.2231578947368433</v>
      </c>
      <c r="U214" s="93">
        <f t="shared" si="47"/>
        <v>0.22231578947368436</v>
      </c>
      <c r="V214" s="93">
        <f t="shared" si="48"/>
        <v>2.2231578947368432E-2</v>
      </c>
      <c r="W214" s="93">
        <f t="shared" si="49"/>
        <v>2.2231578947368432E-2</v>
      </c>
      <c r="X214" s="93">
        <f t="shared" si="50"/>
        <v>2.4899368421052643</v>
      </c>
      <c r="Y214" s="121"/>
    </row>
    <row r="215" spans="1:25">
      <c r="A215" s="95" t="s">
        <v>1468</v>
      </c>
      <c r="B215" s="95" t="s">
        <v>1631</v>
      </c>
      <c r="C215" s="95" t="s">
        <v>1427</v>
      </c>
      <c r="D215" s="101" t="s">
        <v>1632</v>
      </c>
      <c r="E215" s="101" t="s">
        <v>1455</v>
      </c>
      <c r="F215" s="101" t="s">
        <v>1670</v>
      </c>
      <c r="G215" s="101" t="s">
        <v>1449</v>
      </c>
      <c r="H215" s="97" t="str">
        <f>IFERROR(VLOOKUP(I215,'Raw material list'!$A$3:$C$695,3,0),"")</f>
        <v>DRS1-114</v>
      </c>
      <c r="I215" s="97" t="s">
        <v>279</v>
      </c>
      <c r="J215" s="101" t="s">
        <v>111</v>
      </c>
      <c r="K215" s="101" t="str">
        <f>IFERROR(VLOOKUP(I215,'Raw material list'!$A$3:$E$695,5,0),"")</f>
        <v xml:space="preserve">Gram </v>
      </c>
      <c r="L215" s="95">
        <v>4.8</v>
      </c>
      <c r="M215" s="98">
        <f t="shared" si="44"/>
        <v>4.8</v>
      </c>
      <c r="N215" s="98">
        <v>100</v>
      </c>
      <c r="O215" s="95">
        <v>10</v>
      </c>
      <c r="P215" s="98">
        <f t="shared" si="41"/>
        <v>0.48</v>
      </c>
      <c r="Q215" s="99">
        <f>IFERROR(VLOOKUP(I215,'Raw material list'!$A$3:$F$695,6,0),"")</f>
        <v>4.7489823609226586E-3</v>
      </c>
      <c r="R215" s="100">
        <f t="shared" si="43"/>
        <v>2.2795115332428762E-3</v>
      </c>
      <c r="S215" s="94">
        <f t="shared" si="45"/>
        <v>2.2795115332428762E-4</v>
      </c>
      <c r="T215" s="94">
        <f t="shared" si="46"/>
        <v>2.5074626865671636E-3</v>
      </c>
      <c r="U215" s="93">
        <f t="shared" si="47"/>
        <v>2.5074626865671638E-4</v>
      </c>
      <c r="V215" s="93">
        <f t="shared" si="48"/>
        <v>2.5074626865671636E-5</v>
      </c>
      <c r="W215" s="93">
        <f t="shared" si="49"/>
        <v>2.5074626865671636E-5</v>
      </c>
      <c r="X215" s="93">
        <f t="shared" si="50"/>
        <v>2.8083582089552233E-3</v>
      </c>
      <c r="Y215" s="121"/>
    </row>
    <row r="216" spans="1:25">
      <c r="A216" s="95" t="s">
        <v>1468</v>
      </c>
      <c r="B216" s="95" t="s">
        <v>1631</v>
      </c>
      <c r="C216" s="95" t="s">
        <v>1427</v>
      </c>
      <c r="D216" s="101" t="s">
        <v>1632</v>
      </c>
      <c r="E216" s="101" t="s">
        <v>1455</v>
      </c>
      <c r="F216" s="101" t="s">
        <v>1670</v>
      </c>
      <c r="G216" s="101" t="s">
        <v>1449</v>
      </c>
      <c r="H216" s="97" t="str">
        <f>IFERROR(VLOOKUP(I216,'Raw material list'!$A$3:$C$695,3,0),"")</f>
        <v>WAT-001</v>
      </c>
      <c r="I216" s="97" t="s">
        <v>1406</v>
      </c>
      <c r="J216" s="101" t="s">
        <v>161</v>
      </c>
      <c r="K216" s="101" t="str">
        <f>IFERROR(VLOOKUP(I216,'Raw material list'!$A$3:$E$695,5,0),"")</f>
        <v>Ml</v>
      </c>
      <c r="L216" s="95">
        <v>1200</v>
      </c>
      <c r="M216" s="98">
        <f t="shared" si="44"/>
        <v>1200</v>
      </c>
      <c r="N216" s="98">
        <v>100</v>
      </c>
      <c r="O216" s="95">
        <v>10</v>
      </c>
      <c r="P216" s="98">
        <f t="shared" si="41"/>
        <v>120</v>
      </c>
      <c r="Q216" s="99">
        <f>IFERROR(VLOOKUP(I216,'Raw material list'!$A$3:$F$695,6,0),"")</f>
        <v>8.0000000000000007E-5</v>
      </c>
      <c r="R216" s="100">
        <f t="shared" si="43"/>
        <v>9.6000000000000009E-3</v>
      </c>
      <c r="S216" s="94">
        <f t="shared" si="45"/>
        <v>9.6000000000000013E-4</v>
      </c>
      <c r="T216" s="94">
        <f t="shared" si="46"/>
        <v>1.0560000000000002E-2</v>
      </c>
      <c r="U216" s="93">
        <f t="shared" si="47"/>
        <v>1.0560000000000003E-3</v>
      </c>
      <c r="V216" s="93">
        <f t="shared" si="48"/>
        <v>1.0560000000000002E-4</v>
      </c>
      <c r="W216" s="93">
        <f t="shared" si="49"/>
        <v>1.0560000000000002E-4</v>
      </c>
      <c r="X216" s="93">
        <f t="shared" si="50"/>
        <v>1.1827200000000003E-2</v>
      </c>
      <c r="Y216" s="121"/>
    </row>
    <row r="217" spans="1:25">
      <c r="A217" s="95" t="s">
        <v>1468</v>
      </c>
      <c r="B217" s="95" t="s">
        <v>1631</v>
      </c>
      <c r="C217" s="95" t="s">
        <v>1427</v>
      </c>
      <c r="D217" s="101" t="s">
        <v>1632</v>
      </c>
      <c r="E217" s="101" t="s">
        <v>1455</v>
      </c>
      <c r="F217" s="101" t="s">
        <v>1670</v>
      </c>
      <c r="G217" s="101" t="s">
        <v>1466</v>
      </c>
      <c r="H217" s="97" t="str">
        <f>IFERROR(VLOOKUP(I217,'Raw material list'!$A$3:$C$695,3,0),"")</f>
        <v>DRS6-537</v>
      </c>
      <c r="I217" s="97" t="s">
        <v>25</v>
      </c>
      <c r="J217" s="101" t="s">
        <v>111</v>
      </c>
      <c r="K217" s="101" t="str">
        <f>IFERROR(VLOOKUP(I217,'Raw material list'!$A$3:$E$695,5,0),"")</f>
        <v xml:space="preserve">Gram </v>
      </c>
      <c r="L217" s="95">
        <v>2</v>
      </c>
      <c r="M217" s="98">
        <f t="shared" si="44"/>
        <v>2</v>
      </c>
      <c r="N217" s="98">
        <v>100</v>
      </c>
      <c r="O217" s="95">
        <v>10</v>
      </c>
      <c r="P217" s="98">
        <f t="shared" si="41"/>
        <v>0.2</v>
      </c>
      <c r="Q217" s="99">
        <f>IFERROR(VLOOKUP(I217,'Raw material list'!$A$3:$F$695,6,0),"")</f>
        <v>3.5000000000000003E-2</v>
      </c>
      <c r="R217" s="100">
        <f t="shared" si="43"/>
        <v>7.000000000000001E-3</v>
      </c>
      <c r="S217" s="94">
        <f t="shared" si="45"/>
        <v>7.000000000000001E-4</v>
      </c>
      <c r="T217" s="94">
        <f t="shared" si="46"/>
        <v>7.7000000000000011E-3</v>
      </c>
      <c r="U217" s="93">
        <f t="shared" si="47"/>
        <v>7.7000000000000018E-4</v>
      </c>
      <c r="V217" s="93">
        <f t="shared" si="48"/>
        <v>7.7000000000000015E-5</v>
      </c>
      <c r="W217" s="93">
        <f t="shared" si="49"/>
        <v>7.7000000000000015E-5</v>
      </c>
      <c r="X217" s="93">
        <f t="shared" si="50"/>
        <v>8.6240000000000032E-3</v>
      </c>
      <c r="Y217" s="121"/>
    </row>
    <row r="218" spans="1:25">
      <c r="A218" s="95" t="s">
        <v>1468</v>
      </c>
      <c r="B218" s="95" t="s">
        <v>1631</v>
      </c>
      <c r="C218" s="95" t="s">
        <v>1427</v>
      </c>
      <c r="D218" s="101" t="s">
        <v>1632</v>
      </c>
      <c r="E218" s="101" t="s">
        <v>1455</v>
      </c>
      <c r="F218" s="101" t="s">
        <v>1670</v>
      </c>
      <c r="G218" s="101" t="s">
        <v>1466</v>
      </c>
      <c r="H218" s="97" t="str">
        <f>IFERROR(VLOOKUP(I218,'Raw material list'!$A$3:$C$695,3,0),"")</f>
        <v>DRS1-3880</v>
      </c>
      <c r="I218" s="97" t="s">
        <v>1398</v>
      </c>
      <c r="J218" s="101" t="s">
        <v>111</v>
      </c>
      <c r="K218" s="101" t="str">
        <f>IFERROR(VLOOKUP(I218,'Raw material list'!$A$3:$E$695,5,0),"")</f>
        <v xml:space="preserve">Gram </v>
      </c>
      <c r="L218" s="95">
        <v>2</v>
      </c>
      <c r="M218" s="98">
        <f t="shared" si="44"/>
        <v>2</v>
      </c>
      <c r="N218" s="98">
        <v>100</v>
      </c>
      <c r="O218" s="95">
        <v>10</v>
      </c>
      <c r="P218" s="98">
        <f t="shared" si="41"/>
        <v>0.2</v>
      </c>
      <c r="Q218" s="99">
        <f>IFERROR(VLOOKUP(I218,'Raw material list'!$A$3:$F$695,6,0),"")</f>
        <v>5.0000000000000001E-4</v>
      </c>
      <c r="R218" s="100">
        <f t="shared" si="43"/>
        <v>1E-4</v>
      </c>
      <c r="S218" s="94">
        <f t="shared" si="45"/>
        <v>1.0000000000000001E-5</v>
      </c>
      <c r="T218" s="94">
        <f t="shared" si="46"/>
        <v>1.1E-4</v>
      </c>
      <c r="U218" s="93">
        <f t="shared" si="47"/>
        <v>1.1000000000000001E-5</v>
      </c>
      <c r="V218" s="93">
        <f t="shared" si="48"/>
        <v>1.1000000000000001E-6</v>
      </c>
      <c r="W218" s="93">
        <f t="shared" si="49"/>
        <v>1.1000000000000001E-6</v>
      </c>
      <c r="X218" s="93">
        <f t="shared" si="50"/>
        <v>1.2320000000000001E-4</v>
      </c>
      <c r="Y218" s="121"/>
    </row>
    <row r="219" spans="1:25">
      <c r="A219" s="95" t="s">
        <v>1468</v>
      </c>
      <c r="B219" s="95" t="s">
        <v>1631</v>
      </c>
      <c r="C219" s="95" t="s">
        <v>1427</v>
      </c>
      <c r="D219" s="101" t="s">
        <v>1632</v>
      </c>
      <c r="E219" s="101" t="s">
        <v>1455</v>
      </c>
      <c r="F219" s="101" t="s">
        <v>1670</v>
      </c>
      <c r="G219" s="101" t="s">
        <v>1466</v>
      </c>
      <c r="H219" s="97" t="str">
        <f>IFERROR(VLOOKUP(I219,'Raw material list'!$A$3:$C$695,3,0),"")</f>
        <v>DRS1-1142</v>
      </c>
      <c r="I219" s="97" t="s">
        <v>775</v>
      </c>
      <c r="J219" s="101" t="s">
        <v>161</v>
      </c>
      <c r="K219" s="101" t="str">
        <f>IFERROR(VLOOKUP(I219,'Raw material list'!$A$3:$E$695,5,0),"")</f>
        <v>Ml</v>
      </c>
      <c r="L219" s="95">
        <v>10</v>
      </c>
      <c r="M219" s="98">
        <f t="shared" si="44"/>
        <v>10</v>
      </c>
      <c r="N219" s="98">
        <v>100</v>
      </c>
      <c r="O219" s="95">
        <v>10</v>
      </c>
      <c r="P219" s="98">
        <f t="shared" si="41"/>
        <v>1</v>
      </c>
      <c r="Q219" s="99">
        <f>IFERROR(VLOOKUP(I219,'Raw material list'!$A$3:$F$695,6,0),"")</f>
        <v>2.358E-2</v>
      </c>
      <c r="R219" s="100">
        <f t="shared" si="43"/>
        <v>2.358E-2</v>
      </c>
      <c r="S219" s="94">
        <f t="shared" si="45"/>
        <v>2.3580000000000003E-3</v>
      </c>
      <c r="T219" s="94">
        <f t="shared" si="46"/>
        <v>2.5937999999999999E-2</v>
      </c>
      <c r="U219" s="93">
        <f t="shared" si="47"/>
        <v>2.5938000000000003E-3</v>
      </c>
      <c r="V219" s="93">
        <f t="shared" si="48"/>
        <v>2.5937999999999997E-4</v>
      </c>
      <c r="W219" s="93">
        <f t="shared" si="49"/>
        <v>2.5937999999999997E-4</v>
      </c>
      <c r="X219" s="93">
        <f t="shared" si="50"/>
        <v>2.905056E-2</v>
      </c>
      <c r="Y219" s="121"/>
    </row>
    <row r="220" spans="1:25">
      <c r="A220" s="95" t="s">
        <v>1468</v>
      </c>
      <c r="B220" s="95" t="s">
        <v>1631</v>
      </c>
      <c r="C220" s="95" t="s">
        <v>1427</v>
      </c>
      <c r="D220" s="101" t="s">
        <v>1632</v>
      </c>
      <c r="E220" s="101" t="s">
        <v>1455</v>
      </c>
      <c r="F220" s="101" t="s">
        <v>1670</v>
      </c>
      <c r="G220" s="101" t="s">
        <v>1424</v>
      </c>
      <c r="H220" s="97" t="str">
        <f>IFERROR(VLOOKUP(I220,'Raw material list'!$A$3:$C$695,3,0),"")</f>
        <v>DRS1-1652</v>
      </c>
      <c r="I220" s="97" t="s">
        <v>1425</v>
      </c>
      <c r="J220" s="101" t="s">
        <v>111</v>
      </c>
      <c r="K220" s="101" t="str">
        <f>IFERROR(VLOOKUP(I220,'Raw material list'!$A$3:$E$695,5,0),"")</f>
        <v xml:space="preserve">Gram </v>
      </c>
      <c r="L220" s="95">
        <v>56.36</v>
      </c>
      <c r="M220" s="98">
        <f t="shared" si="44"/>
        <v>56.36</v>
      </c>
      <c r="N220" s="98">
        <v>100</v>
      </c>
      <c r="O220" s="95">
        <v>10</v>
      </c>
      <c r="P220" s="98">
        <f t="shared" si="41"/>
        <v>5.6360000000000001</v>
      </c>
      <c r="Q220" s="99">
        <f>IFERROR(VLOOKUP(I220,'Raw material list'!$A$3:$F$695,6,0),"")</f>
        <v>1.2800000000000001E-2</v>
      </c>
      <c r="R220" s="100">
        <f t="shared" si="43"/>
        <v>7.2140800000000005E-2</v>
      </c>
      <c r="S220" s="94">
        <f t="shared" si="45"/>
        <v>7.2140800000000012E-3</v>
      </c>
      <c r="T220" s="94">
        <f t="shared" si="46"/>
        <v>7.9354880000000003E-2</v>
      </c>
      <c r="U220" s="93">
        <f t="shared" si="47"/>
        <v>7.935488000000001E-3</v>
      </c>
      <c r="V220" s="93">
        <f t="shared" si="48"/>
        <v>7.935488000000001E-4</v>
      </c>
      <c r="W220" s="93">
        <f t="shared" si="49"/>
        <v>7.935488000000001E-4</v>
      </c>
      <c r="X220" s="93">
        <f t="shared" si="50"/>
        <v>8.8877465600000011E-2</v>
      </c>
      <c r="Y220" s="121"/>
    </row>
    <row r="221" spans="1:25">
      <c r="A221" s="95" t="s">
        <v>1468</v>
      </c>
      <c r="B221" s="95" t="s">
        <v>1631</v>
      </c>
      <c r="C221" s="95" t="s">
        <v>1427</v>
      </c>
      <c r="D221" s="101" t="s">
        <v>1632</v>
      </c>
      <c r="E221" s="101" t="s">
        <v>1455</v>
      </c>
      <c r="F221" s="101" t="s">
        <v>1670</v>
      </c>
      <c r="G221" s="101" t="s">
        <v>1424</v>
      </c>
      <c r="H221" s="97" t="str">
        <f>IFERROR(VLOOKUP(I221,'Raw material list'!$A$3:$C$695,3,0),"")</f>
        <v>DRY1-1717</v>
      </c>
      <c r="I221" s="97" t="s">
        <v>303</v>
      </c>
      <c r="J221" s="101" t="s">
        <v>111</v>
      </c>
      <c r="K221" s="101" t="str">
        <f>IFERROR(VLOOKUP(I221,'Raw material list'!$A$3:$E$695,5,0),"")</f>
        <v xml:space="preserve">Gram </v>
      </c>
      <c r="L221" s="95">
        <v>28.18</v>
      </c>
      <c r="M221" s="98">
        <f t="shared" si="44"/>
        <v>28.18</v>
      </c>
      <c r="N221" s="98">
        <v>100</v>
      </c>
      <c r="O221" s="95">
        <v>10</v>
      </c>
      <c r="P221" s="98">
        <f t="shared" si="41"/>
        <v>2.8180000000000001</v>
      </c>
      <c r="Q221" s="99">
        <f>IFERROR(VLOOKUP(I221,'Raw material list'!$A$3:$F$695,6,0),"")</f>
        <v>3.6999999999999998E-2</v>
      </c>
      <c r="R221" s="100">
        <f t="shared" si="43"/>
        <v>0.104266</v>
      </c>
      <c r="S221" s="94">
        <f t="shared" si="45"/>
        <v>1.0426600000000001E-2</v>
      </c>
      <c r="T221" s="94">
        <f t="shared" si="46"/>
        <v>0.11469260000000001</v>
      </c>
      <c r="U221" s="93">
        <f t="shared" si="47"/>
        <v>1.1469260000000002E-2</v>
      </c>
      <c r="V221" s="93">
        <f t="shared" si="48"/>
        <v>1.1469260000000002E-3</v>
      </c>
      <c r="W221" s="93">
        <f t="shared" si="49"/>
        <v>1.1469260000000002E-3</v>
      </c>
      <c r="X221" s="93">
        <f t="shared" si="50"/>
        <v>0.128455712</v>
      </c>
      <c r="Y221" s="121"/>
    </row>
    <row r="222" spans="1:25">
      <c r="A222" s="95" t="s">
        <v>1468</v>
      </c>
      <c r="B222" s="95" t="s">
        <v>1631</v>
      </c>
      <c r="C222" s="95" t="s">
        <v>1427</v>
      </c>
      <c r="D222" s="101" t="s">
        <v>1632</v>
      </c>
      <c r="E222" s="101" t="s">
        <v>1455</v>
      </c>
      <c r="F222" s="101" t="s">
        <v>1670</v>
      </c>
      <c r="G222" s="101" t="s">
        <v>1424</v>
      </c>
      <c r="H222" s="97" t="str">
        <f>IFERROR(VLOOKUP(I222,'Raw material list'!$A$3:$C$695,3,0),"")</f>
        <v>PRD1-209</v>
      </c>
      <c r="I222" s="97" t="s">
        <v>26</v>
      </c>
      <c r="J222" s="101" t="s">
        <v>111</v>
      </c>
      <c r="K222" s="101" t="str">
        <f>IFERROR(VLOOKUP(I222,'Raw material list'!$A$3:$E$695,5,0),"")</f>
        <v xml:space="preserve">Gram </v>
      </c>
      <c r="L222" s="95">
        <v>0.56000000000000005</v>
      </c>
      <c r="M222" s="98">
        <f t="shared" si="44"/>
        <v>1.4736842105263159</v>
      </c>
      <c r="N222" s="98">
        <v>38</v>
      </c>
      <c r="O222" s="95">
        <v>10</v>
      </c>
      <c r="P222" s="98">
        <f t="shared" si="41"/>
        <v>5.6000000000000008E-2</v>
      </c>
      <c r="Q222" s="99">
        <f>IFERROR(VLOOKUP(I222,'Raw material list'!$A$3:$F$695,6,0),"")</f>
        <v>1.0088272383354351E-2</v>
      </c>
      <c r="R222" s="100">
        <f t="shared" si="43"/>
        <v>5.6494325346784376E-4</v>
      </c>
      <c r="S222" s="94">
        <f t="shared" si="45"/>
        <v>5.6494325346784376E-5</v>
      </c>
      <c r="T222" s="94">
        <f t="shared" si="46"/>
        <v>6.2143757881462814E-4</v>
      </c>
      <c r="U222" s="93">
        <f t="shared" si="47"/>
        <v>6.2143757881462819E-5</v>
      </c>
      <c r="V222" s="93">
        <f t="shared" si="48"/>
        <v>6.2143757881462817E-6</v>
      </c>
      <c r="W222" s="93">
        <f t="shared" si="49"/>
        <v>6.2143757881462817E-6</v>
      </c>
      <c r="X222" s="93">
        <f t="shared" si="50"/>
        <v>6.960100882723836E-4</v>
      </c>
      <c r="Y222" s="121"/>
    </row>
    <row r="223" spans="1:25">
      <c r="A223" s="95" t="s">
        <v>1468</v>
      </c>
      <c r="B223" s="95" t="s">
        <v>1631</v>
      </c>
      <c r="C223" s="95" t="s">
        <v>1427</v>
      </c>
      <c r="D223" s="101" t="s">
        <v>1632</v>
      </c>
      <c r="E223" s="101" t="s">
        <v>1455</v>
      </c>
      <c r="F223" s="101" t="s">
        <v>1670</v>
      </c>
      <c r="G223" s="101" t="s">
        <v>1424</v>
      </c>
      <c r="H223" s="97" t="str">
        <f>IFERROR(VLOOKUP(I223,'Raw material list'!$A$3:$C$695,3,0),"")</f>
        <v>DRS6-537</v>
      </c>
      <c r="I223" s="97" t="s">
        <v>25</v>
      </c>
      <c r="J223" s="101" t="s">
        <v>111</v>
      </c>
      <c r="K223" s="101" t="str">
        <f>IFERROR(VLOOKUP(I223,'Raw material list'!$A$3:$E$695,5,0),"")</f>
        <v xml:space="preserve">Gram </v>
      </c>
      <c r="L223" s="95">
        <v>0.22</v>
      </c>
      <c r="M223" s="98">
        <f t="shared" si="44"/>
        <v>0.22</v>
      </c>
      <c r="N223" s="98">
        <v>100</v>
      </c>
      <c r="O223" s="95">
        <v>10</v>
      </c>
      <c r="P223" s="98">
        <f t="shared" si="41"/>
        <v>2.1999999999999999E-2</v>
      </c>
      <c r="Q223" s="99">
        <f>IFERROR(VLOOKUP(I223,'Raw material list'!$A$3:$F$695,6,0),"")</f>
        <v>3.5000000000000003E-2</v>
      </c>
      <c r="R223" s="100">
        <f t="shared" si="43"/>
        <v>7.7000000000000007E-4</v>
      </c>
      <c r="S223" s="94">
        <f t="shared" si="45"/>
        <v>7.7000000000000015E-5</v>
      </c>
      <c r="T223" s="94">
        <f t="shared" si="46"/>
        <v>8.470000000000001E-4</v>
      </c>
      <c r="U223" s="93">
        <f t="shared" si="47"/>
        <v>8.4700000000000012E-5</v>
      </c>
      <c r="V223" s="93">
        <f t="shared" si="48"/>
        <v>8.4700000000000019E-6</v>
      </c>
      <c r="W223" s="93">
        <f t="shared" si="49"/>
        <v>8.4700000000000019E-6</v>
      </c>
      <c r="X223" s="93">
        <f t="shared" si="50"/>
        <v>9.4864000000000016E-4</v>
      </c>
      <c r="Y223" s="121"/>
    </row>
    <row r="224" spans="1:25">
      <c r="A224" s="95" t="s">
        <v>1468</v>
      </c>
      <c r="B224" s="95" t="s">
        <v>1631</v>
      </c>
      <c r="C224" s="95" t="s">
        <v>1427</v>
      </c>
      <c r="D224" s="101" t="s">
        <v>1632</v>
      </c>
      <c r="E224" s="101" t="s">
        <v>1455</v>
      </c>
      <c r="F224" s="101" t="s">
        <v>1670</v>
      </c>
      <c r="G224" s="101" t="s">
        <v>1424</v>
      </c>
      <c r="H224" s="97" t="str">
        <f>IFERROR(VLOOKUP(I224,'Raw material list'!$A$3:$C$695,3,0),"")</f>
        <v>DRS1-114</v>
      </c>
      <c r="I224" s="97" t="s">
        <v>279</v>
      </c>
      <c r="J224" s="101" t="s">
        <v>111</v>
      </c>
      <c r="K224" s="101" t="str">
        <f>IFERROR(VLOOKUP(I224,'Raw material list'!$A$3:$E$695,5,0),"")</f>
        <v xml:space="preserve">Gram </v>
      </c>
      <c r="L224" s="95">
        <v>0.22</v>
      </c>
      <c r="M224" s="98">
        <f t="shared" si="44"/>
        <v>0.22</v>
      </c>
      <c r="N224" s="98">
        <v>100</v>
      </c>
      <c r="O224" s="95">
        <v>10</v>
      </c>
      <c r="P224" s="98">
        <f t="shared" si="41"/>
        <v>2.1999999999999999E-2</v>
      </c>
      <c r="Q224" s="99">
        <f>IFERROR(VLOOKUP(I224,'Raw material list'!$A$3:$F$695,6,0),"")</f>
        <v>4.7489823609226586E-3</v>
      </c>
      <c r="R224" s="100">
        <f t="shared" si="43"/>
        <v>1.0447761194029848E-4</v>
      </c>
      <c r="S224" s="94">
        <f t="shared" si="45"/>
        <v>1.0447761194029849E-5</v>
      </c>
      <c r="T224" s="94">
        <f t="shared" si="46"/>
        <v>1.1492537313432833E-4</v>
      </c>
      <c r="U224" s="93">
        <f t="shared" si="47"/>
        <v>1.1492537313432833E-5</v>
      </c>
      <c r="V224" s="93">
        <f t="shared" si="48"/>
        <v>1.1492537313432833E-6</v>
      </c>
      <c r="W224" s="93">
        <f t="shared" si="49"/>
        <v>1.1492537313432833E-6</v>
      </c>
      <c r="X224" s="93">
        <f t="shared" si="50"/>
        <v>1.2871641791044775E-4</v>
      </c>
      <c r="Y224" s="121"/>
    </row>
    <row r="225" spans="1:25">
      <c r="A225" s="95" t="s">
        <v>1468</v>
      </c>
      <c r="B225" s="95" t="s">
        <v>1631</v>
      </c>
      <c r="C225" s="95" t="s">
        <v>1427</v>
      </c>
      <c r="D225" s="101" t="s">
        <v>1632</v>
      </c>
      <c r="E225" s="101" t="s">
        <v>1455</v>
      </c>
      <c r="F225" s="101" t="s">
        <v>1670</v>
      </c>
      <c r="G225" s="101" t="s">
        <v>1424</v>
      </c>
      <c r="H225" s="97" t="str">
        <f>IFERROR(VLOOKUP(I225,'Raw material list'!$A$3:$C$695,3,0),"")</f>
        <v>WAT-001</v>
      </c>
      <c r="I225" s="97" t="s">
        <v>1406</v>
      </c>
      <c r="J225" s="101" t="s">
        <v>161</v>
      </c>
      <c r="K225" s="101" t="str">
        <f>IFERROR(VLOOKUP(I225,'Raw material list'!$A$3:$E$695,5,0),"")</f>
        <v>Ml</v>
      </c>
      <c r="L225" s="95">
        <v>5.63</v>
      </c>
      <c r="M225" s="98">
        <f t="shared" si="44"/>
        <v>5.63</v>
      </c>
      <c r="N225" s="98">
        <v>100</v>
      </c>
      <c r="O225" s="95">
        <v>10</v>
      </c>
      <c r="P225" s="98">
        <f t="shared" ref="P225:P295" si="51">IFERROR(L225/O225,0)</f>
        <v>0.56299999999999994</v>
      </c>
      <c r="Q225" s="99">
        <f>IFERROR(VLOOKUP(I225,'Raw material list'!$A$3:$F$695,6,0),"")</f>
        <v>8.0000000000000007E-5</v>
      </c>
      <c r="R225" s="100">
        <f t="shared" si="43"/>
        <v>4.5040000000000002E-5</v>
      </c>
      <c r="S225" s="94">
        <f t="shared" si="45"/>
        <v>4.5040000000000004E-6</v>
      </c>
      <c r="T225" s="94">
        <f t="shared" si="46"/>
        <v>4.9544000000000005E-5</v>
      </c>
      <c r="U225" s="93">
        <f t="shared" si="47"/>
        <v>4.9544000000000012E-6</v>
      </c>
      <c r="V225" s="93">
        <f t="shared" si="48"/>
        <v>4.954400000000001E-7</v>
      </c>
      <c r="W225" s="93">
        <f t="shared" si="49"/>
        <v>4.954400000000001E-7</v>
      </c>
      <c r="X225" s="93">
        <f t="shared" si="50"/>
        <v>5.5489280000000003E-5</v>
      </c>
      <c r="Y225" s="121"/>
    </row>
    <row r="226" spans="1:25">
      <c r="A226" s="95" t="s">
        <v>1468</v>
      </c>
      <c r="B226" s="95" t="s">
        <v>1631</v>
      </c>
      <c r="C226" s="95" t="s">
        <v>1427</v>
      </c>
      <c r="D226" s="101" t="s">
        <v>1632</v>
      </c>
      <c r="E226" s="101" t="s">
        <v>1455</v>
      </c>
      <c r="F226" s="101" t="s">
        <v>1670</v>
      </c>
      <c r="G226" s="101" t="s">
        <v>1424</v>
      </c>
      <c r="H226" s="97" t="str">
        <f>IFERROR(VLOOKUP(I226,'Raw material list'!$A$3:$C$695,3,0),"")</f>
        <v>DRS1-5273</v>
      </c>
      <c r="I226" s="97" t="s">
        <v>773</v>
      </c>
      <c r="J226" s="101" t="s">
        <v>161</v>
      </c>
      <c r="K226" s="101" t="str">
        <f>IFERROR(VLOOKUP(I226,'Raw material list'!$A$3:$E$695,5,0),"")</f>
        <v>Ml</v>
      </c>
      <c r="L226" s="95">
        <v>1.1200000000000001</v>
      </c>
      <c r="M226" s="98">
        <f t="shared" si="44"/>
        <v>1.1200000000000001</v>
      </c>
      <c r="N226" s="98">
        <v>100</v>
      </c>
      <c r="O226" s="95">
        <v>10</v>
      </c>
      <c r="P226" s="98">
        <f t="shared" si="51"/>
        <v>0.11200000000000002</v>
      </c>
      <c r="Q226" s="99">
        <f>IFERROR(VLOOKUP(I226,'Raw material list'!$A$3:$F$695,6,0),"")</f>
        <v>1.8518518518518521E-2</v>
      </c>
      <c r="R226" s="100">
        <f t="shared" si="43"/>
        <v>2.0740740740740745E-3</v>
      </c>
      <c r="S226" s="94">
        <f t="shared" si="45"/>
        <v>2.0740740740740745E-4</v>
      </c>
      <c r="T226" s="94">
        <f t="shared" si="46"/>
        <v>2.281481481481482E-3</v>
      </c>
      <c r="U226" s="93">
        <f t="shared" si="47"/>
        <v>2.2814814814814822E-4</v>
      </c>
      <c r="V226" s="93">
        <f t="shared" si="48"/>
        <v>2.2814814814814821E-5</v>
      </c>
      <c r="W226" s="93">
        <f t="shared" si="49"/>
        <v>2.2814814814814821E-5</v>
      </c>
      <c r="X226" s="93">
        <f t="shared" si="50"/>
        <v>2.5552592592592602E-3</v>
      </c>
      <c r="Y226" s="121"/>
    </row>
    <row r="227" spans="1:25">
      <c r="A227" s="95" t="s">
        <v>1468</v>
      </c>
      <c r="B227" s="95" t="s">
        <v>1631</v>
      </c>
      <c r="C227" s="95" t="s">
        <v>1427</v>
      </c>
      <c r="D227" s="101" t="s">
        <v>1632</v>
      </c>
      <c r="E227" s="101" t="s">
        <v>1455</v>
      </c>
      <c r="F227" s="101" t="s">
        <v>1670</v>
      </c>
      <c r="G227" s="101" t="s">
        <v>1424</v>
      </c>
      <c r="H227" s="97" t="str">
        <f>IFERROR(VLOOKUP(I227,'Raw material list'!$A$3:$C$695,3,0),"")</f>
        <v>DRS1-5269</v>
      </c>
      <c r="I227" s="97" t="s">
        <v>248</v>
      </c>
      <c r="J227" s="101" t="s">
        <v>161</v>
      </c>
      <c r="K227" s="101" t="str">
        <f>IFERROR(VLOOKUP(I227,'Raw material list'!$A$3:$E$695,5,0),"")</f>
        <v>Ml</v>
      </c>
      <c r="L227" s="95">
        <v>1.1200000000000001</v>
      </c>
      <c r="M227" s="98">
        <f t="shared" si="44"/>
        <v>1.1200000000000001</v>
      </c>
      <c r="N227" s="98">
        <v>100</v>
      </c>
      <c r="O227" s="95">
        <v>10</v>
      </c>
      <c r="P227" s="98">
        <f t="shared" si="51"/>
        <v>0.11200000000000002</v>
      </c>
      <c r="Q227" s="99">
        <f>IFERROR(VLOOKUP(I227,'Raw material list'!$A$3:$F$695,6,0),"")</f>
        <v>0.1066666666666667</v>
      </c>
      <c r="R227" s="100">
        <f t="shared" si="43"/>
        <v>1.1946666666666673E-2</v>
      </c>
      <c r="S227" s="94">
        <f t="shared" si="45"/>
        <v>1.1946666666666674E-3</v>
      </c>
      <c r="T227" s="94">
        <f t="shared" si="46"/>
        <v>1.314133333333334E-2</v>
      </c>
      <c r="U227" s="93">
        <f t="shared" si="47"/>
        <v>1.3141333333333341E-3</v>
      </c>
      <c r="V227" s="93">
        <f t="shared" si="48"/>
        <v>1.3141333333333341E-4</v>
      </c>
      <c r="W227" s="93">
        <f t="shared" si="49"/>
        <v>1.3141333333333341E-4</v>
      </c>
      <c r="X227" s="93">
        <f t="shared" si="50"/>
        <v>1.471829333333334E-2</v>
      </c>
      <c r="Y227" s="121"/>
    </row>
    <row r="228" spans="1:25">
      <c r="A228" s="95" t="s">
        <v>1468</v>
      </c>
      <c r="B228" s="95" t="s">
        <v>1631</v>
      </c>
      <c r="C228" s="95" t="s">
        <v>1427</v>
      </c>
      <c r="D228" s="101" t="s">
        <v>1632</v>
      </c>
      <c r="E228" s="101" t="s">
        <v>1455</v>
      </c>
      <c r="F228" s="101" t="s">
        <v>1670</v>
      </c>
      <c r="G228" s="101" t="s">
        <v>1424</v>
      </c>
      <c r="H228" s="97" t="str">
        <f>IFERROR(VLOOKUP(I228,'Raw material list'!$A$3:$C$695,3,0),"")</f>
        <v>DRY2-1858</v>
      </c>
      <c r="I228" s="97" t="s">
        <v>42</v>
      </c>
      <c r="J228" s="101" t="s">
        <v>161</v>
      </c>
      <c r="K228" s="101" t="str">
        <f>IFERROR(VLOOKUP(I228,'Raw material list'!$A$3:$E$695,5,0),"")</f>
        <v>Ml</v>
      </c>
      <c r="L228" s="95">
        <v>5.63</v>
      </c>
      <c r="M228" s="98">
        <f t="shared" si="44"/>
        <v>5.63</v>
      </c>
      <c r="N228" s="98">
        <v>100</v>
      </c>
      <c r="O228" s="95">
        <v>10</v>
      </c>
      <c r="P228" s="98">
        <f t="shared" si="51"/>
        <v>0.56299999999999994</v>
      </c>
      <c r="Q228" s="99">
        <f>IFERROR(VLOOKUP(I228,'Raw material list'!$A$3:$F$695,6,0),"")</f>
        <v>9.8800000000000016E-3</v>
      </c>
      <c r="R228" s="100">
        <f t="shared" si="43"/>
        <v>5.5624400000000001E-3</v>
      </c>
      <c r="S228" s="94">
        <f t="shared" si="45"/>
        <v>5.5624400000000001E-4</v>
      </c>
      <c r="T228" s="94">
        <f t="shared" si="46"/>
        <v>6.1186840000000001E-3</v>
      </c>
      <c r="U228" s="93">
        <f t="shared" si="47"/>
        <v>6.1186840000000003E-4</v>
      </c>
      <c r="V228" s="93">
        <f t="shared" si="48"/>
        <v>6.1186839999999998E-5</v>
      </c>
      <c r="W228" s="93">
        <f t="shared" si="49"/>
        <v>6.1186839999999998E-5</v>
      </c>
      <c r="X228" s="93">
        <f t="shared" si="50"/>
        <v>6.8529260799999993E-3</v>
      </c>
      <c r="Y228" s="121"/>
    </row>
    <row r="229" spans="1:25">
      <c r="A229" s="95" t="s">
        <v>1468</v>
      </c>
      <c r="B229" s="95" t="s">
        <v>1631</v>
      </c>
      <c r="C229" s="95" t="s">
        <v>1427</v>
      </c>
      <c r="D229" s="101" t="s">
        <v>1632</v>
      </c>
      <c r="E229" s="101" t="s">
        <v>1455</v>
      </c>
      <c r="F229" s="101" t="s">
        <v>1670</v>
      </c>
      <c r="G229" s="101" t="s">
        <v>1424</v>
      </c>
      <c r="H229" s="97" t="str">
        <f>IFERROR(VLOOKUP(I229,'Raw material list'!$A$3:$C$695,3,0),"")</f>
        <v>PRD1-221</v>
      </c>
      <c r="I229" s="97" t="s">
        <v>1022</v>
      </c>
      <c r="J229" s="101" t="s">
        <v>111</v>
      </c>
      <c r="K229" s="101" t="str">
        <f>IFERROR(VLOOKUP(I229,'Raw material list'!$A$3:$E$695,5,0),"")</f>
        <v xml:space="preserve">Gram </v>
      </c>
      <c r="L229" s="95">
        <v>0.9</v>
      </c>
      <c r="M229" s="98">
        <f t="shared" si="44"/>
        <v>1.5481651376146788</v>
      </c>
      <c r="N229" s="98">
        <v>58.13333333333334</v>
      </c>
      <c r="O229" s="95">
        <v>10</v>
      </c>
      <c r="P229" s="98">
        <f t="shared" si="51"/>
        <v>0.09</v>
      </c>
      <c r="Q229" s="99">
        <f>IFERROR(VLOOKUP(I229,'Raw material list'!$A$3:$F$695,6,0),"")</f>
        <v>6.8846815834767653E-3</v>
      </c>
      <c r="R229" s="100">
        <f t="shared" si="43"/>
        <v>6.1962134251290887E-4</v>
      </c>
      <c r="S229" s="94">
        <f t="shared" si="45"/>
        <v>6.1962134251290885E-5</v>
      </c>
      <c r="T229" s="94">
        <f t="shared" si="46"/>
        <v>6.8158347676419977E-4</v>
      </c>
      <c r="U229" s="93">
        <f t="shared" si="47"/>
        <v>6.8158347676419983E-5</v>
      </c>
      <c r="V229" s="93">
        <f t="shared" si="48"/>
        <v>6.8158347676419981E-6</v>
      </c>
      <c r="W229" s="93">
        <f t="shared" si="49"/>
        <v>6.8158347676419981E-6</v>
      </c>
      <c r="X229" s="93">
        <f t="shared" si="50"/>
        <v>7.6337349397590383E-4</v>
      </c>
      <c r="Y229" s="121"/>
    </row>
    <row r="230" spans="1:25" s="90" customFormat="1">
      <c r="A230" s="95" t="s">
        <v>1469</v>
      </c>
      <c r="B230" s="95" t="s">
        <v>1668</v>
      </c>
      <c r="C230" s="95" t="s">
        <v>1427</v>
      </c>
      <c r="D230" s="101" t="s">
        <v>1471</v>
      </c>
      <c r="E230" s="101" t="s">
        <v>1661</v>
      </c>
      <c r="F230" s="101" t="s">
        <v>1671</v>
      </c>
      <c r="G230" s="101" t="s">
        <v>1591</v>
      </c>
      <c r="H230" s="97" t="str">
        <f>IFERROR(VLOOKUP(I230,'Raw material list'!$A$3:$C$695,3,0),"")</f>
        <v>PLT2-3278</v>
      </c>
      <c r="I230" s="97" t="s">
        <v>61</v>
      </c>
      <c r="J230" s="101" t="s">
        <v>111</v>
      </c>
      <c r="K230" s="101" t="str">
        <f>IFERROR(VLOOKUP(I230,'Raw material list'!$A$3:$E$695,5,0),"")</f>
        <v xml:space="preserve">Gram </v>
      </c>
      <c r="L230" s="95">
        <v>1200</v>
      </c>
      <c r="M230" s="98">
        <f t="shared" si="44"/>
        <v>1574.803149606299</v>
      </c>
      <c r="N230" s="98">
        <v>76.2</v>
      </c>
      <c r="O230" s="95">
        <v>10</v>
      </c>
      <c r="P230" s="98">
        <f t="shared" si="51"/>
        <v>120</v>
      </c>
      <c r="Q230" s="99">
        <f>IFERROR(VLOOKUP(I230,'Raw material list'!$A$3:$F$695,6,0),"")</f>
        <v>3.035714285714285E-2</v>
      </c>
      <c r="R230" s="100">
        <f t="shared" si="43"/>
        <v>3.6428571428571419</v>
      </c>
      <c r="S230" s="94">
        <f t="shared" si="45"/>
        <v>0.36428571428571421</v>
      </c>
      <c r="T230" s="94">
        <f t="shared" si="46"/>
        <v>4.0071428571428562</v>
      </c>
      <c r="U230" s="93">
        <f t="shared" si="47"/>
        <v>0.40071428571428563</v>
      </c>
      <c r="V230" s="93">
        <f t="shared" si="48"/>
        <v>4.0071428571428563E-2</v>
      </c>
      <c r="W230" s="93">
        <f t="shared" si="49"/>
        <v>4.0071428571428563E-2</v>
      </c>
      <c r="X230" s="93">
        <f t="shared" si="50"/>
        <v>4.4879999999999987</v>
      </c>
      <c r="Y230" s="127" t="s">
        <v>1674</v>
      </c>
    </row>
    <row r="231" spans="1:25" s="90" customFormat="1">
      <c r="A231" s="95" t="s">
        <v>1469</v>
      </c>
      <c r="B231" s="95" t="s">
        <v>1668</v>
      </c>
      <c r="C231" s="95" t="s">
        <v>1427</v>
      </c>
      <c r="D231" s="101" t="s">
        <v>1471</v>
      </c>
      <c r="E231" s="101" t="s">
        <v>1661</v>
      </c>
      <c r="F231" s="95" t="s">
        <v>1671</v>
      </c>
      <c r="G231" s="101" t="s">
        <v>1591</v>
      </c>
      <c r="H231" s="97" t="str">
        <f>IFERROR(VLOOKUP(I231,'Raw material list'!$A$3:$C$695,3,0),"")</f>
        <v>DRS6-1727</v>
      </c>
      <c r="I231" s="97" t="s">
        <v>41</v>
      </c>
      <c r="J231" s="101" t="s">
        <v>111</v>
      </c>
      <c r="K231" s="101" t="str">
        <f>IFERROR(VLOOKUP(I231,'Raw material list'!$A$3:$E$695,5,0),"")</f>
        <v xml:space="preserve">Gram </v>
      </c>
      <c r="L231" s="95">
        <v>12</v>
      </c>
      <c r="M231" s="98">
        <f t="shared" si="44"/>
        <v>12</v>
      </c>
      <c r="N231" s="98">
        <v>100</v>
      </c>
      <c r="O231" s="95">
        <v>10</v>
      </c>
      <c r="P231" s="98">
        <f t="shared" ref="P231:P234" si="52">IFERROR(L231/O231,0)</f>
        <v>1.2</v>
      </c>
      <c r="Q231" s="99">
        <f>IFERROR(VLOOKUP(I231,'Raw material list'!$A$3:$F$695,6,0),"")</f>
        <v>2.5000000000000001E-2</v>
      </c>
      <c r="R231" s="100">
        <f t="shared" ref="R231:R234" si="53">IFERROR(Q231*P231,0)</f>
        <v>0.03</v>
      </c>
      <c r="S231" s="94">
        <f t="shared" si="45"/>
        <v>3.0000000000000001E-3</v>
      </c>
      <c r="T231" s="94">
        <f t="shared" si="46"/>
        <v>3.3000000000000002E-2</v>
      </c>
      <c r="U231" s="93">
        <f t="shared" si="47"/>
        <v>3.3000000000000004E-3</v>
      </c>
      <c r="V231" s="93">
        <f t="shared" si="48"/>
        <v>3.3E-4</v>
      </c>
      <c r="W231" s="93">
        <f t="shared" si="49"/>
        <v>3.3E-4</v>
      </c>
      <c r="X231" s="93">
        <f t="shared" si="50"/>
        <v>3.6959999999999993E-2</v>
      </c>
      <c r="Y231" s="116"/>
    </row>
    <row r="232" spans="1:25" s="90" customFormat="1">
      <c r="A232" s="95" t="s">
        <v>1469</v>
      </c>
      <c r="B232" s="95" t="s">
        <v>1668</v>
      </c>
      <c r="C232" s="95" t="s">
        <v>1427</v>
      </c>
      <c r="D232" s="101" t="s">
        <v>1471</v>
      </c>
      <c r="E232" s="101" t="s">
        <v>1661</v>
      </c>
      <c r="F232" s="95" t="s">
        <v>1671</v>
      </c>
      <c r="G232" s="101" t="s">
        <v>1591</v>
      </c>
      <c r="H232" s="97" t="str">
        <f>IFERROR(VLOOKUP(I232,'Raw material list'!$A$3:$C$695,3,0),"")</f>
        <v>DRS6-5088</v>
      </c>
      <c r="I232" s="97" t="s">
        <v>668</v>
      </c>
      <c r="J232" s="101" t="s">
        <v>111</v>
      </c>
      <c r="K232" s="101" t="str">
        <f>IFERROR(VLOOKUP(I232,'Raw material list'!$A$3:$E$695,5,0),"")</f>
        <v xml:space="preserve">Gram </v>
      </c>
      <c r="L232" s="95">
        <v>12</v>
      </c>
      <c r="M232" s="98">
        <f t="shared" si="44"/>
        <v>12</v>
      </c>
      <c r="N232" s="98">
        <v>100</v>
      </c>
      <c r="O232" s="95">
        <v>10</v>
      </c>
      <c r="P232" s="98">
        <f t="shared" si="52"/>
        <v>1.2</v>
      </c>
      <c r="Q232" s="99">
        <f>IFERROR(VLOOKUP(I232,'Raw material list'!$A$3:$F$695,6,0),"")</f>
        <v>0.08</v>
      </c>
      <c r="R232" s="100">
        <f t="shared" si="53"/>
        <v>9.6000000000000002E-2</v>
      </c>
      <c r="S232" s="94">
        <f t="shared" si="45"/>
        <v>9.6000000000000009E-3</v>
      </c>
      <c r="T232" s="94">
        <f t="shared" si="46"/>
        <v>0.1056</v>
      </c>
      <c r="U232" s="93">
        <f t="shared" si="47"/>
        <v>1.056E-2</v>
      </c>
      <c r="V232" s="93">
        <f t="shared" si="48"/>
        <v>1.0560000000000001E-3</v>
      </c>
      <c r="W232" s="93">
        <f t="shared" si="49"/>
        <v>1.0560000000000001E-3</v>
      </c>
      <c r="X232" s="93">
        <f t="shared" si="50"/>
        <v>0.118272</v>
      </c>
      <c r="Y232" s="116"/>
    </row>
    <row r="233" spans="1:25" s="90" customFormat="1">
      <c r="A233" s="95" t="s">
        <v>1469</v>
      </c>
      <c r="B233" s="95" t="s">
        <v>1668</v>
      </c>
      <c r="C233" s="95" t="s">
        <v>1427</v>
      </c>
      <c r="D233" s="101" t="s">
        <v>1471</v>
      </c>
      <c r="E233" s="101" t="s">
        <v>1661</v>
      </c>
      <c r="F233" s="95" t="s">
        <v>1671</v>
      </c>
      <c r="G233" s="101" t="s">
        <v>1591</v>
      </c>
      <c r="H233" s="97" t="str">
        <f>IFERROR(VLOOKUP(I233,'Raw material list'!$A$3:$C$695,3,0),"")</f>
        <v>DRS6-5376</v>
      </c>
      <c r="I233" s="97" t="s">
        <v>55</v>
      </c>
      <c r="J233" s="101" t="s">
        <v>111</v>
      </c>
      <c r="K233" s="101" t="str">
        <f>IFERROR(VLOOKUP(I233,'Raw material list'!$A$3:$E$695,5,0),"")</f>
        <v xml:space="preserve">Gram </v>
      </c>
      <c r="L233" s="95">
        <v>3</v>
      </c>
      <c r="M233" s="98">
        <f t="shared" si="44"/>
        <v>3</v>
      </c>
      <c r="N233" s="98">
        <v>100</v>
      </c>
      <c r="O233" s="95">
        <v>10</v>
      </c>
      <c r="P233" s="98">
        <f t="shared" si="52"/>
        <v>0.3</v>
      </c>
      <c r="Q233" s="99">
        <f>IFERROR(VLOOKUP(I233,'Raw material list'!$A$3:$F$695,6,0),"")</f>
        <v>2.8000000000000001E-2</v>
      </c>
      <c r="R233" s="100">
        <f t="shared" si="53"/>
        <v>8.3999999999999995E-3</v>
      </c>
      <c r="S233" s="94">
        <f t="shared" si="45"/>
        <v>8.4000000000000003E-4</v>
      </c>
      <c r="T233" s="94">
        <f t="shared" si="46"/>
        <v>9.2399999999999999E-3</v>
      </c>
      <c r="U233" s="93">
        <f t="shared" si="47"/>
        <v>9.2400000000000002E-4</v>
      </c>
      <c r="V233" s="93">
        <f t="shared" si="48"/>
        <v>9.2399999999999996E-5</v>
      </c>
      <c r="W233" s="93">
        <f t="shared" si="49"/>
        <v>9.2399999999999996E-5</v>
      </c>
      <c r="X233" s="93">
        <f t="shared" si="50"/>
        <v>1.0348799999999998E-2</v>
      </c>
      <c r="Y233" s="116"/>
    </row>
    <row r="234" spans="1:25" s="90" customFormat="1">
      <c r="A234" s="95" t="s">
        <v>1469</v>
      </c>
      <c r="B234" s="95" t="s">
        <v>1668</v>
      </c>
      <c r="C234" s="95" t="s">
        <v>1427</v>
      </c>
      <c r="D234" s="101" t="s">
        <v>1471</v>
      </c>
      <c r="E234" s="101" t="s">
        <v>1661</v>
      </c>
      <c r="F234" s="95" t="s">
        <v>1671</v>
      </c>
      <c r="G234" s="101" t="s">
        <v>1591</v>
      </c>
      <c r="H234" s="97" t="str">
        <f>IFERROR(VLOOKUP(I234,'Raw material list'!$A$3:$C$695,3,0),"")</f>
        <v>WAT-001</v>
      </c>
      <c r="I234" s="97" t="s">
        <v>1406</v>
      </c>
      <c r="J234" s="101" t="s">
        <v>161</v>
      </c>
      <c r="K234" s="101" t="str">
        <f>IFERROR(VLOOKUP(I234,'Raw material list'!$A$3:$E$695,5,0),"")</f>
        <v>Ml</v>
      </c>
      <c r="L234" s="95">
        <v>120</v>
      </c>
      <c r="M234" s="98">
        <f t="shared" si="44"/>
        <v>120</v>
      </c>
      <c r="N234" s="98">
        <v>100</v>
      </c>
      <c r="O234" s="95">
        <v>10</v>
      </c>
      <c r="P234" s="98">
        <f t="shared" si="52"/>
        <v>12</v>
      </c>
      <c r="Q234" s="99">
        <f>IFERROR(VLOOKUP(I234,'Raw material list'!$A$3:$F$695,6,0),"")</f>
        <v>8.0000000000000007E-5</v>
      </c>
      <c r="R234" s="100">
        <f t="shared" si="53"/>
        <v>9.6000000000000013E-4</v>
      </c>
      <c r="S234" s="94">
        <f t="shared" si="45"/>
        <v>9.6000000000000016E-5</v>
      </c>
      <c r="T234" s="94">
        <f t="shared" si="46"/>
        <v>1.0560000000000001E-3</v>
      </c>
      <c r="U234" s="93">
        <f t="shared" si="47"/>
        <v>1.0560000000000002E-4</v>
      </c>
      <c r="V234" s="93">
        <f t="shared" si="48"/>
        <v>1.0560000000000001E-5</v>
      </c>
      <c r="W234" s="93">
        <f t="shared" si="49"/>
        <v>1.0560000000000001E-5</v>
      </c>
      <c r="X234" s="93">
        <f t="shared" si="50"/>
        <v>1.18272E-3</v>
      </c>
      <c r="Y234" s="116"/>
    </row>
    <row r="235" spans="1:25" s="90" customFormat="1">
      <c r="A235" s="95" t="s">
        <v>1469</v>
      </c>
      <c r="B235" s="95" t="s">
        <v>1668</v>
      </c>
      <c r="C235" s="95" t="s">
        <v>1427</v>
      </c>
      <c r="D235" s="101" t="s">
        <v>1471</v>
      </c>
      <c r="E235" s="101" t="s">
        <v>1661</v>
      </c>
      <c r="F235" s="101" t="s">
        <v>1670</v>
      </c>
      <c r="G235" s="101" t="s">
        <v>1461</v>
      </c>
      <c r="H235" s="97" t="str">
        <f>IFERROR(VLOOKUP(I235,'Raw material list'!$A$3:$C$695,3,0),"")</f>
        <v>PRD3-5038</v>
      </c>
      <c r="I235" s="97" t="s">
        <v>955</v>
      </c>
      <c r="J235" s="101" t="s">
        <v>111</v>
      </c>
      <c r="K235" s="101" t="str">
        <f>IFERROR(VLOOKUP(I235,'Raw material list'!$A$3:$E$695,5,0),"")</f>
        <v xml:space="preserve">Gram </v>
      </c>
      <c r="L235" s="95">
        <v>70</v>
      </c>
      <c r="M235" s="98">
        <f t="shared" si="44"/>
        <v>70</v>
      </c>
      <c r="N235" s="98">
        <v>100</v>
      </c>
      <c r="O235" s="95">
        <v>10</v>
      </c>
      <c r="P235" s="98">
        <f t="shared" si="51"/>
        <v>7</v>
      </c>
      <c r="Q235" s="99">
        <f>IFERROR(VLOOKUP(I235,'Raw material list'!$A$3:$F$695,6,0),"")</f>
        <v>2.5999999999999999E-2</v>
      </c>
      <c r="R235" s="100">
        <f t="shared" si="43"/>
        <v>0.182</v>
      </c>
      <c r="S235" s="94">
        <f t="shared" si="45"/>
        <v>1.8200000000000001E-2</v>
      </c>
      <c r="T235" s="94">
        <f t="shared" si="46"/>
        <v>0.20019999999999999</v>
      </c>
      <c r="U235" s="93">
        <f t="shared" si="47"/>
        <v>2.002E-2</v>
      </c>
      <c r="V235" s="93">
        <f t="shared" si="48"/>
        <v>2.0019999999999999E-3</v>
      </c>
      <c r="W235" s="93">
        <f t="shared" si="49"/>
        <v>2.0019999999999999E-3</v>
      </c>
      <c r="X235" s="93">
        <f t="shared" si="50"/>
        <v>0.22422400000000001</v>
      </c>
      <c r="Y235" s="117"/>
    </row>
    <row r="236" spans="1:25" s="90" customFormat="1">
      <c r="A236" s="95" t="s">
        <v>1469</v>
      </c>
      <c r="B236" s="95" t="s">
        <v>1668</v>
      </c>
      <c r="C236" s="95" t="s">
        <v>1427</v>
      </c>
      <c r="D236" s="101" t="s">
        <v>1471</v>
      </c>
      <c r="E236" s="101" t="s">
        <v>1661</v>
      </c>
      <c r="F236" s="101" t="s">
        <v>1670</v>
      </c>
      <c r="G236" s="101" t="s">
        <v>1461</v>
      </c>
      <c r="H236" s="97" t="str">
        <f>IFERROR(VLOOKUP(I236,'Raw material list'!$A$3:$C$695,3,0),"")</f>
        <v>PRD1-209</v>
      </c>
      <c r="I236" s="97" t="s">
        <v>26</v>
      </c>
      <c r="J236" s="101" t="s">
        <v>111</v>
      </c>
      <c r="K236" s="101" t="str">
        <f>IFERROR(VLOOKUP(I236,'Raw material list'!$A$3:$E$695,5,0),"")</f>
        <v xml:space="preserve">Gram </v>
      </c>
      <c r="L236" s="95">
        <v>10</v>
      </c>
      <c r="M236" s="98">
        <f t="shared" si="44"/>
        <v>26.315789473684209</v>
      </c>
      <c r="N236" s="98">
        <v>38</v>
      </c>
      <c r="O236" s="95">
        <v>10</v>
      </c>
      <c r="P236" s="98">
        <f t="shared" si="51"/>
        <v>1</v>
      </c>
      <c r="Q236" s="99">
        <f>IFERROR(VLOOKUP(I236,'Raw material list'!$A$3:$F$695,6,0),"")</f>
        <v>1.0088272383354351E-2</v>
      </c>
      <c r="R236" s="100">
        <f t="shared" si="43"/>
        <v>1.0088272383354351E-2</v>
      </c>
      <c r="S236" s="94">
        <f t="shared" si="45"/>
        <v>1.0088272383354351E-3</v>
      </c>
      <c r="T236" s="94">
        <f t="shared" si="46"/>
        <v>1.1097099621689786E-2</v>
      </c>
      <c r="U236" s="93">
        <f t="shared" si="47"/>
        <v>1.1097099621689786E-3</v>
      </c>
      <c r="V236" s="93">
        <f t="shared" si="48"/>
        <v>1.1097099621689786E-4</v>
      </c>
      <c r="W236" s="93">
        <f t="shared" si="49"/>
        <v>1.1097099621689786E-4</v>
      </c>
      <c r="X236" s="93">
        <f t="shared" si="50"/>
        <v>1.2428751576292559E-2</v>
      </c>
      <c r="Y236" s="117"/>
    </row>
    <row r="237" spans="1:25" s="90" customFormat="1">
      <c r="A237" s="95" t="s">
        <v>1469</v>
      </c>
      <c r="B237" s="95" t="s">
        <v>1668</v>
      </c>
      <c r="C237" s="95" t="s">
        <v>1427</v>
      </c>
      <c r="D237" s="101" t="s">
        <v>1471</v>
      </c>
      <c r="E237" s="101" t="s">
        <v>1661</v>
      </c>
      <c r="F237" s="101" t="s">
        <v>1670</v>
      </c>
      <c r="G237" s="101" t="s">
        <v>1472</v>
      </c>
      <c r="H237" s="97" t="str">
        <f>IFERROR(VLOOKUP(I237,'Raw material list'!$A$3:$C$695,3,0),"")</f>
        <v>PRD2-3671</v>
      </c>
      <c r="I237" s="97" t="s">
        <v>928</v>
      </c>
      <c r="J237" s="101" t="s">
        <v>111</v>
      </c>
      <c r="K237" s="101" t="str">
        <f>IFERROR(VLOOKUP(I237,'Raw material list'!$A$3:$E$695,5,0),"")</f>
        <v xml:space="preserve">Gram </v>
      </c>
      <c r="L237" s="95">
        <v>666.66</v>
      </c>
      <c r="M237" s="98">
        <f t="shared" si="44"/>
        <v>666.66</v>
      </c>
      <c r="N237" s="98">
        <v>100</v>
      </c>
      <c r="O237" s="95">
        <v>10</v>
      </c>
      <c r="P237" s="98">
        <f t="shared" si="51"/>
        <v>66.665999999999997</v>
      </c>
      <c r="Q237" s="99">
        <f>IFERROR(VLOOKUP(I237,'Raw material list'!$A$3:$F$695,6,0),"")</f>
        <v>6.2500000000000003E-3</v>
      </c>
      <c r="R237" s="100">
        <f t="shared" si="43"/>
        <v>0.41666249999999999</v>
      </c>
      <c r="S237" s="94">
        <f t="shared" si="45"/>
        <v>4.1666250000000002E-2</v>
      </c>
      <c r="T237" s="94">
        <f t="shared" si="46"/>
        <v>0.45832875000000001</v>
      </c>
      <c r="U237" s="93">
        <f t="shared" si="47"/>
        <v>4.5832875000000002E-2</v>
      </c>
      <c r="V237" s="93">
        <f t="shared" si="48"/>
        <v>4.5832874999999999E-3</v>
      </c>
      <c r="W237" s="93">
        <f t="shared" si="49"/>
        <v>4.5832874999999999E-3</v>
      </c>
      <c r="X237" s="93">
        <f t="shared" si="50"/>
        <v>0.51332820000000012</v>
      </c>
      <c r="Y237" s="117"/>
    </row>
    <row r="238" spans="1:25" s="90" customFormat="1">
      <c r="A238" s="95" t="s">
        <v>1469</v>
      </c>
      <c r="B238" s="95" t="s">
        <v>1668</v>
      </c>
      <c r="C238" s="95" t="s">
        <v>1427</v>
      </c>
      <c r="D238" s="101" t="s">
        <v>1471</v>
      </c>
      <c r="E238" s="101" t="s">
        <v>1661</v>
      </c>
      <c r="F238" s="101" t="s">
        <v>1670</v>
      </c>
      <c r="G238" s="101" t="s">
        <v>1472</v>
      </c>
      <c r="H238" s="97" t="str">
        <f>IFERROR(VLOOKUP(I238,'Raw material list'!$A$3:$C$695,3,0),"")</f>
        <v>PRD1-4265</v>
      </c>
      <c r="I238" s="97" t="s">
        <v>10</v>
      </c>
      <c r="J238" s="101" t="s">
        <v>111</v>
      </c>
      <c r="K238" s="101" t="str">
        <f>IFERROR(VLOOKUP(I238,'Raw material list'!$A$3:$E$695,5,0),"")</f>
        <v xml:space="preserve">Gram </v>
      </c>
      <c r="L238" s="95">
        <v>33.33</v>
      </c>
      <c r="M238" s="98">
        <f t="shared" si="44"/>
        <v>39.211764705882352</v>
      </c>
      <c r="N238" s="98">
        <v>85</v>
      </c>
      <c r="O238" s="95">
        <v>10</v>
      </c>
      <c r="P238" s="98">
        <f t="shared" si="51"/>
        <v>3.3329999999999997</v>
      </c>
      <c r="Q238" s="99">
        <f>IFERROR(VLOOKUP(I238,'Raw material list'!$A$3:$F$695,6,0),"")</f>
        <v>3.529411764705882E-3</v>
      </c>
      <c r="R238" s="100">
        <f t="shared" si="43"/>
        <v>1.1763529411764704E-2</v>
      </c>
      <c r="S238" s="94">
        <f t="shared" si="45"/>
        <v>1.1763529411764704E-3</v>
      </c>
      <c r="T238" s="94">
        <f t="shared" si="46"/>
        <v>1.2939882352941174E-2</v>
      </c>
      <c r="U238" s="93">
        <f t="shared" si="47"/>
        <v>1.2939882352941176E-3</v>
      </c>
      <c r="V238" s="93">
        <f t="shared" si="48"/>
        <v>1.2939882352941173E-4</v>
      </c>
      <c r="W238" s="93">
        <f t="shared" si="49"/>
        <v>1.2939882352941173E-4</v>
      </c>
      <c r="X238" s="93">
        <f t="shared" si="50"/>
        <v>1.4492668235294116E-2</v>
      </c>
      <c r="Y238" s="117"/>
    </row>
    <row r="239" spans="1:25" s="90" customFormat="1">
      <c r="A239" s="95" t="s">
        <v>1469</v>
      </c>
      <c r="B239" s="95" t="s">
        <v>1668</v>
      </c>
      <c r="C239" s="95" t="s">
        <v>1427</v>
      </c>
      <c r="D239" s="101" t="s">
        <v>1471</v>
      </c>
      <c r="E239" s="101" t="s">
        <v>1661</v>
      </c>
      <c r="F239" s="101" t="s">
        <v>1670</v>
      </c>
      <c r="G239" s="101" t="s">
        <v>1472</v>
      </c>
      <c r="H239" s="97" t="str">
        <f>IFERROR(VLOOKUP(I239,'Raw material list'!$A$3:$C$695,3,0),"")</f>
        <v>PRD1-4327</v>
      </c>
      <c r="I239" s="97" t="s">
        <v>11</v>
      </c>
      <c r="J239" s="101" t="s">
        <v>111</v>
      </c>
      <c r="K239" s="101" t="str">
        <f>IFERROR(VLOOKUP(I239,'Raw material list'!$A$3:$E$695,5,0),"")</f>
        <v xml:space="preserve">Gram </v>
      </c>
      <c r="L239" s="95">
        <v>7</v>
      </c>
      <c r="M239" s="98">
        <f t="shared" si="44"/>
        <v>8.75</v>
      </c>
      <c r="N239" s="133">
        <v>80</v>
      </c>
      <c r="O239" s="95">
        <v>10</v>
      </c>
      <c r="P239" s="98">
        <f t="shared" si="51"/>
        <v>0.7</v>
      </c>
      <c r="Q239" s="99">
        <f>IFERROR(VLOOKUP(I239,'Raw material list'!$A$3:$F$695,6,0),"")</f>
        <v>1.2999999999999999E-2</v>
      </c>
      <c r="R239" s="100">
        <f t="shared" si="43"/>
        <v>9.0999999999999987E-3</v>
      </c>
      <c r="S239" s="94">
        <f t="shared" si="45"/>
        <v>9.0999999999999989E-4</v>
      </c>
      <c r="T239" s="94">
        <f t="shared" si="46"/>
        <v>1.0009999999999998E-2</v>
      </c>
      <c r="U239" s="93">
        <f t="shared" si="47"/>
        <v>1.0009999999999999E-3</v>
      </c>
      <c r="V239" s="93">
        <f t="shared" si="48"/>
        <v>1.0009999999999998E-4</v>
      </c>
      <c r="W239" s="93">
        <f t="shared" si="49"/>
        <v>1.0009999999999998E-4</v>
      </c>
      <c r="X239" s="93">
        <f t="shared" si="50"/>
        <v>1.1211199999999999E-2</v>
      </c>
      <c r="Y239" s="117"/>
    </row>
    <row r="240" spans="1:25" s="90" customFormat="1">
      <c r="A240" s="95" t="s">
        <v>1469</v>
      </c>
      <c r="B240" s="95" t="s">
        <v>1668</v>
      </c>
      <c r="C240" s="95" t="s">
        <v>1427</v>
      </c>
      <c r="D240" s="101" t="s">
        <v>1471</v>
      </c>
      <c r="E240" s="101" t="s">
        <v>1661</v>
      </c>
      <c r="F240" s="101" t="s">
        <v>1670</v>
      </c>
      <c r="G240" s="101" t="s">
        <v>1472</v>
      </c>
      <c r="H240" s="97" t="str">
        <f>IFERROR(VLOOKUP(I240,'Raw material list'!$A$3:$C$695,3,0),"")</f>
        <v>WAT-001</v>
      </c>
      <c r="I240" s="97" t="s">
        <v>1406</v>
      </c>
      <c r="J240" s="101" t="s">
        <v>161</v>
      </c>
      <c r="K240" s="101" t="str">
        <f>IFERROR(VLOOKUP(I240,'Raw material list'!$A$3:$E$695,5,0),"")</f>
        <v>Ml</v>
      </c>
      <c r="L240" s="95">
        <v>600</v>
      </c>
      <c r="M240" s="98">
        <f t="shared" si="44"/>
        <v>600</v>
      </c>
      <c r="N240" s="98">
        <v>100</v>
      </c>
      <c r="O240" s="95">
        <v>10</v>
      </c>
      <c r="P240" s="98">
        <f t="shared" si="51"/>
        <v>60</v>
      </c>
      <c r="Q240" s="99">
        <f>IFERROR(VLOOKUP(I240,'Raw material list'!$A$3:$F$695,6,0),"")</f>
        <v>8.0000000000000007E-5</v>
      </c>
      <c r="R240" s="100">
        <f t="shared" si="43"/>
        <v>4.8000000000000004E-3</v>
      </c>
      <c r="S240" s="94">
        <f t="shared" si="45"/>
        <v>4.8000000000000007E-4</v>
      </c>
      <c r="T240" s="94">
        <f t="shared" si="46"/>
        <v>5.2800000000000008E-3</v>
      </c>
      <c r="U240" s="93">
        <f t="shared" si="47"/>
        <v>5.2800000000000015E-4</v>
      </c>
      <c r="V240" s="93">
        <f t="shared" si="48"/>
        <v>5.2800000000000009E-5</v>
      </c>
      <c r="W240" s="93">
        <f t="shared" si="49"/>
        <v>5.2800000000000009E-5</v>
      </c>
      <c r="X240" s="93">
        <f t="shared" si="50"/>
        <v>5.9136000000000015E-3</v>
      </c>
      <c r="Y240" s="117"/>
    </row>
    <row r="241" spans="1:25" s="90" customFormat="1">
      <c r="A241" s="95" t="s">
        <v>1469</v>
      </c>
      <c r="B241" s="95" t="s">
        <v>1668</v>
      </c>
      <c r="C241" s="95" t="s">
        <v>1427</v>
      </c>
      <c r="D241" s="101" t="s">
        <v>1471</v>
      </c>
      <c r="E241" s="101" t="s">
        <v>1661</v>
      </c>
      <c r="F241" s="101" t="s">
        <v>1670</v>
      </c>
      <c r="G241" s="101" t="s">
        <v>1472</v>
      </c>
      <c r="H241" s="97" t="str">
        <f>IFERROR(VLOOKUP(I241,'Raw material list'!$A$3:$C$695,3,0),"")</f>
        <v>DRY2-1008</v>
      </c>
      <c r="I241" s="97" t="s">
        <v>21</v>
      </c>
      <c r="J241" s="101" t="s">
        <v>111</v>
      </c>
      <c r="K241" s="101" t="str">
        <f>IFERROR(VLOOKUP(I241,'Raw material list'!$A$3:$E$695,5,0),"")</f>
        <v xml:space="preserve">Gram </v>
      </c>
      <c r="L241" s="95">
        <v>16.66</v>
      </c>
      <c r="M241" s="98">
        <f t="shared" si="44"/>
        <v>16.66</v>
      </c>
      <c r="N241" s="98">
        <v>100</v>
      </c>
      <c r="O241" s="95">
        <v>10</v>
      </c>
      <c r="P241" s="98">
        <f t="shared" si="51"/>
        <v>1.6659999999999999</v>
      </c>
      <c r="Q241" s="99">
        <f>IFERROR(VLOOKUP(I241,'Raw material list'!$A$3:$F$695,6,0),"")</f>
        <v>3.7999999999999999E-2</v>
      </c>
      <c r="R241" s="100">
        <f t="shared" si="43"/>
        <v>6.3307999999999989E-2</v>
      </c>
      <c r="S241" s="94">
        <f t="shared" si="45"/>
        <v>6.3307999999999993E-3</v>
      </c>
      <c r="T241" s="94">
        <f t="shared" si="46"/>
        <v>6.9638799999999987E-2</v>
      </c>
      <c r="U241" s="93">
        <f t="shared" si="47"/>
        <v>6.9638799999999987E-3</v>
      </c>
      <c r="V241" s="93">
        <f t="shared" si="48"/>
        <v>6.9638799999999993E-4</v>
      </c>
      <c r="W241" s="93">
        <f t="shared" si="49"/>
        <v>6.9638799999999993E-4</v>
      </c>
      <c r="X241" s="93">
        <f t="shared" si="50"/>
        <v>7.7995455999999991E-2</v>
      </c>
      <c r="Y241" s="117"/>
    </row>
    <row r="242" spans="1:25" s="90" customFormat="1">
      <c r="A242" s="95" t="s">
        <v>1469</v>
      </c>
      <c r="B242" s="95" t="s">
        <v>1668</v>
      </c>
      <c r="C242" s="95" t="s">
        <v>1427</v>
      </c>
      <c r="D242" s="101" t="s">
        <v>1471</v>
      </c>
      <c r="E242" s="101" t="s">
        <v>1661</v>
      </c>
      <c r="F242" s="101" t="s">
        <v>1670</v>
      </c>
      <c r="G242" s="101" t="s">
        <v>1472</v>
      </c>
      <c r="H242" s="97" t="str">
        <f>IFERROR(VLOOKUP(I242,'Raw material list'!$A$3:$C$695,3,0),"")</f>
        <v>DRS6-266</v>
      </c>
      <c r="I242" s="97" t="s">
        <v>27</v>
      </c>
      <c r="J242" s="101" t="s">
        <v>111</v>
      </c>
      <c r="K242" s="101" t="str">
        <f>IFERROR(VLOOKUP(I242,'Raw material list'!$A$3:$E$695,5,0),"")</f>
        <v xml:space="preserve">Gram </v>
      </c>
      <c r="L242" s="95">
        <v>1.66</v>
      </c>
      <c r="M242" s="98">
        <f t="shared" si="44"/>
        <v>1.66</v>
      </c>
      <c r="N242" s="98">
        <v>100</v>
      </c>
      <c r="O242" s="95">
        <v>10</v>
      </c>
      <c r="P242" s="98">
        <f t="shared" si="51"/>
        <v>0.16599999999999998</v>
      </c>
      <c r="Q242" s="99">
        <f>IFERROR(VLOOKUP(I242,'Raw material list'!$A$3:$F$695,6,0),"")</f>
        <v>1.4E-2</v>
      </c>
      <c r="R242" s="100">
        <f t="shared" si="43"/>
        <v>2.3239999999999997E-3</v>
      </c>
      <c r="S242" s="94">
        <f t="shared" si="45"/>
        <v>2.3239999999999998E-4</v>
      </c>
      <c r="T242" s="94">
        <f t="shared" si="46"/>
        <v>2.5563999999999995E-3</v>
      </c>
      <c r="U242" s="93">
        <f t="shared" si="47"/>
        <v>2.5563999999999996E-4</v>
      </c>
      <c r="V242" s="93">
        <f t="shared" si="48"/>
        <v>2.5563999999999994E-5</v>
      </c>
      <c r="W242" s="93">
        <f t="shared" si="49"/>
        <v>2.5563999999999994E-5</v>
      </c>
      <c r="X242" s="93">
        <f t="shared" si="50"/>
        <v>2.8631679999999997E-3</v>
      </c>
      <c r="Y242" s="117"/>
    </row>
    <row r="243" spans="1:25" s="90" customFormat="1">
      <c r="A243" s="95" t="s">
        <v>1469</v>
      </c>
      <c r="B243" s="95" t="s">
        <v>1668</v>
      </c>
      <c r="C243" s="95" t="s">
        <v>1427</v>
      </c>
      <c r="D243" s="101" t="s">
        <v>1471</v>
      </c>
      <c r="E243" s="101" t="s">
        <v>1661</v>
      </c>
      <c r="F243" s="101" t="s">
        <v>1670</v>
      </c>
      <c r="G243" s="101" t="s">
        <v>1472</v>
      </c>
      <c r="H243" s="97" t="str">
        <f>IFERROR(VLOOKUP(I243,'Raw material list'!$A$3:$C$695,3,0),"")</f>
        <v>DRS1-3880</v>
      </c>
      <c r="I243" s="97" t="s">
        <v>1398</v>
      </c>
      <c r="J243" s="101" t="s">
        <v>111</v>
      </c>
      <c r="K243" s="101" t="str">
        <f>IFERROR(VLOOKUP(I243,'Raw material list'!$A$3:$E$695,5,0),"")</f>
        <v xml:space="preserve">Gram </v>
      </c>
      <c r="L243" s="95">
        <v>8.33</v>
      </c>
      <c r="M243" s="98">
        <f t="shared" si="44"/>
        <v>8.33</v>
      </c>
      <c r="N243" s="98">
        <v>100</v>
      </c>
      <c r="O243" s="95">
        <v>10</v>
      </c>
      <c r="P243" s="98">
        <f t="shared" si="51"/>
        <v>0.83299999999999996</v>
      </c>
      <c r="Q243" s="99">
        <f>IFERROR(VLOOKUP(I243,'Raw material list'!$A$3:$F$695,6,0),"")</f>
        <v>5.0000000000000001E-4</v>
      </c>
      <c r="R243" s="100">
        <f t="shared" si="43"/>
        <v>4.1649999999999999E-4</v>
      </c>
      <c r="S243" s="94">
        <f t="shared" si="45"/>
        <v>4.1650000000000003E-5</v>
      </c>
      <c r="T243" s="94">
        <f t="shared" si="46"/>
        <v>4.5815E-4</v>
      </c>
      <c r="U243" s="93">
        <f t="shared" si="47"/>
        <v>4.5815000000000001E-5</v>
      </c>
      <c r="V243" s="93">
        <f t="shared" si="48"/>
        <v>4.5815000000000001E-6</v>
      </c>
      <c r="W243" s="93">
        <f t="shared" si="49"/>
        <v>4.5815000000000001E-6</v>
      </c>
      <c r="X243" s="93">
        <f t="shared" si="50"/>
        <v>5.1312799999999996E-4</v>
      </c>
      <c r="Y243" s="117"/>
    </row>
    <row r="244" spans="1:25" s="90" customFormat="1">
      <c r="A244" s="95" t="s">
        <v>1469</v>
      </c>
      <c r="B244" s="95" t="s">
        <v>1668</v>
      </c>
      <c r="C244" s="95" t="s">
        <v>1427</v>
      </c>
      <c r="D244" s="101" t="s">
        <v>1471</v>
      </c>
      <c r="E244" s="101" t="s">
        <v>1661</v>
      </c>
      <c r="F244" s="101" t="s">
        <v>1670</v>
      </c>
      <c r="G244" s="101" t="s">
        <v>1472</v>
      </c>
      <c r="H244" s="97" t="str">
        <f>IFERROR(VLOOKUP(I244,'Raw material list'!$A$3:$C$695,3,0),"")</f>
        <v>PRD1-195</v>
      </c>
      <c r="I244" s="97" t="s">
        <v>52</v>
      </c>
      <c r="J244" s="101" t="s">
        <v>111</v>
      </c>
      <c r="K244" s="101" t="str">
        <f>IFERROR(VLOOKUP(I244,'Raw material list'!$A$3:$E$695,5,0),"")</f>
        <v xml:space="preserve">Gram </v>
      </c>
      <c r="L244" s="95">
        <v>8.33</v>
      </c>
      <c r="M244" s="98">
        <f t="shared" si="44"/>
        <v>19.5234375</v>
      </c>
      <c r="N244" s="98">
        <v>42.666666666666671</v>
      </c>
      <c r="O244" s="95">
        <v>10</v>
      </c>
      <c r="P244" s="98">
        <f t="shared" si="51"/>
        <v>0.83299999999999996</v>
      </c>
      <c r="Q244" s="99">
        <f>IFERROR(VLOOKUP(I244,'Raw material list'!$A$3:$F$695,6,0),"")</f>
        <v>9.3676814988290415E-3</v>
      </c>
      <c r="R244" s="100">
        <f t="shared" ref="R244:R310" si="54">IFERROR(Q244*P244,0)</f>
        <v>7.8032786885245909E-3</v>
      </c>
      <c r="S244" s="94">
        <f t="shared" si="45"/>
        <v>7.8032786885245909E-4</v>
      </c>
      <c r="T244" s="94">
        <f t="shared" si="46"/>
        <v>8.5836065573770496E-3</v>
      </c>
      <c r="U244" s="93">
        <f t="shared" si="47"/>
        <v>8.5836065573770498E-4</v>
      </c>
      <c r="V244" s="93">
        <f t="shared" si="48"/>
        <v>8.5836065573770504E-5</v>
      </c>
      <c r="W244" s="93">
        <f t="shared" si="49"/>
        <v>8.5836065573770504E-5</v>
      </c>
      <c r="X244" s="93">
        <f t="shared" si="50"/>
        <v>9.613639344262296E-3</v>
      </c>
      <c r="Y244" s="117"/>
    </row>
    <row r="245" spans="1:25" s="90" customFormat="1">
      <c r="A245" s="95" t="s">
        <v>1469</v>
      </c>
      <c r="B245" s="95" t="s">
        <v>1668</v>
      </c>
      <c r="C245" s="95" t="s">
        <v>1427</v>
      </c>
      <c r="D245" s="101" t="s">
        <v>1471</v>
      </c>
      <c r="E245" s="101" t="s">
        <v>1661</v>
      </c>
      <c r="F245" s="101" t="s">
        <v>1670</v>
      </c>
      <c r="G245" s="101" t="s">
        <v>1472</v>
      </c>
      <c r="H245" s="97" t="str">
        <f>IFERROR(VLOOKUP(I245,'Raw material list'!$A$3:$C$695,3,0),"")</f>
        <v>PRD1-209</v>
      </c>
      <c r="I245" s="97" t="s">
        <v>26</v>
      </c>
      <c r="J245" s="101" t="s">
        <v>111</v>
      </c>
      <c r="K245" s="101" t="str">
        <f>IFERROR(VLOOKUP(I245,'Raw material list'!$A$3:$E$695,5,0),"")</f>
        <v xml:space="preserve">Gram </v>
      </c>
      <c r="L245" s="95">
        <v>3.33</v>
      </c>
      <c r="M245" s="98">
        <f t="shared" si="44"/>
        <v>8.7631578947368425</v>
      </c>
      <c r="N245" s="98">
        <v>38</v>
      </c>
      <c r="O245" s="95">
        <v>10</v>
      </c>
      <c r="P245" s="98">
        <f t="shared" si="51"/>
        <v>0.33300000000000002</v>
      </c>
      <c r="Q245" s="99">
        <f>IFERROR(VLOOKUP(I245,'Raw material list'!$A$3:$F$695,6,0),"")</f>
        <v>1.0088272383354351E-2</v>
      </c>
      <c r="R245" s="100">
        <f t="shared" si="54"/>
        <v>3.3593947036569989E-3</v>
      </c>
      <c r="S245" s="94">
        <f t="shared" si="45"/>
        <v>3.3593947036569989E-4</v>
      </c>
      <c r="T245" s="94">
        <f t="shared" si="46"/>
        <v>3.6953341740226988E-3</v>
      </c>
      <c r="U245" s="93">
        <f t="shared" si="47"/>
        <v>3.6953341740226988E-4</v>
      </c>
      <c r="V245" s="93">
        <f t="shared" si="48"/>
        <v>3.6953341740226988E-5</v>
      </c>
      <c r="W245" s="93">
        <f t="shared" si="49"/>
        <v>3.6953341740226988E-5</v>
      </c>
      <c r="X245" s="93">
        <f t="shared" si="50"/>
        <v>4.1387742749054227E-3</v>
      </c>
      <c r="Y245" s="117"/>
    </row>
    <row r="246" spans="1:25" s="90" customFormat="1">
      <c r="A246" s="95" t="s">
        <v>1469</v>
      </c>
      <c r="B246" s="95" t="s">
        <v>1668</v>
      </c>
      <c r="C246" s="95" t="s">
        <v>1427</v>
      </c>
      <c r="D246" s="101" t="s">
        <v>1471</v>
      </c>
      <c r="E246" s="101" t="s">
        <v>1661</v>
      </c>
      <c r="F246" s="101" t="s">
        <v>1670</v>
      </c>
      <c r="G246" s="101" t="s">
        <v>1433</v>
      </c>
      <c r="H246" s="97" t="str">
        <f>IFERROR(VLOOKUP(I246,'Raw material list'!$A$3:$C$695,3,0),"")</f>
        <v>DRS4-498</v>
      </c>
      <c r="I246" s="97" t="s">
        <v>62</v>
      </c>
      <c r="J246" s="101" t="s">
        <v>111</v>
      </c>
      <c r="K246" s="101" t="str">
        <f>IFERROR(VLOOKUP(I246,'Raw material list'!$A$3:$E$695,5,0),"")</f>
        <v xml:space="preserve">Gram </v>
      </c>
      <c r="L246" s="95">
        <v>600</v>
      </c>
      <c r="M246" s="98">
        <f t="shared" si="44"/>
        <v>600</v>
      </c>
      <c r="N246" s="98">
        <v>100</v>
      </c>
      <c r="O246" s="95">
        <v>10</v>
      </c>
      <c r="P246" s="98">
        <f t="shared" si="51"/>
        <v>60</v>
      </c>
      <c r="Q246" s="99">
        <f>IFERROR(VLOOKUP(I246,'Raw material list'!$A$3:$F$695,6,0),"")</f>
        <v>5.7499999999999999E-3</v>
      </c>
      <c r="R246" s="100">
        <f t="shared" si="54"/>
        <v>0.34499999999999997</v>
      </c>
      <c r="S246" s="94">
        <f t="shared" si="45"/>
        <v>3.4499999999999996E-2</v>
      </c>
      <c r="T246" s="94">
        <f t="shared" si="46"/>
        <v>0.37949999999999995</v>
      </c>
      <c r="U246" s="93">
        <f t="shared" si="47"/>
        <v>3.7949999999999998E-2</v>
      </c>
      <c r="V246" s="93">
        <f t="shared" si="48"/>
        <v>3.7949999999999998E-3</v>
      </c>
      <c r="W246" s="93">
        <f t="shared" si="49"/>
        <v>3.7949999999999998E-3</v>
      </c>
      <c r="X246" s="93">
        <f t="shared" si="50"/>
        <v>0.42503999999999992</v>
      </c>
      <c r="Y246" s="117"/>
    </row>
    <row r="247" spans="1:25" s="90" customFormat="1">
      <c r="A247" s="95" t="s">
        <v>1469</v>
      </c>
      <c r="B247" s="95" t="s">
        <v>1668</v>
      </c>
      <c r="C247" s="95" t="s">
        <v>1427</v>
      </c>
      <c r="D247" s="101" t="s">
        <v>1471</v>
      </c>
      <c r="E247" s="101" t="s">
        <v>1661</v>
      </c>
      <c r="F247" s="101" t="s">
        <v>1670</v>
      </c>
      <c r="G247" s="101" t="s">
        <v>1433</v>
      </c>
      <c r="H247" s="97" t="str">
        <f>IFERROR(VLOOKUP(I247,'Raw material list'!$A$3:$C$695,3,0),"")</f>
        <v>WAT-001</v>
      </c>
      <c r="I247" s="97" t="s">
        <v>1406</v>
      </c>
      <c r="J247" s="101" t="s">
        <v>161</v>
      </c>
      <c r="K247" s="101" t="str">
        <f>IFERROR(VLOOKUP(I247,'Raw material list'!$A$3:$E$695,5,0),"")</f>
        <v>Ml</v>
      </c>
      <c r="L247" s="95">
        <v>1100</v>
      </c>
      <c r="M247" s="98">
        <f t="shared" si="44"/>
        <v>1100</v>
      </c>
      <c r="N247" s="98">
        <v>100</v>
      </c>
      <c r="O247" s="95">
        <v>10</v>
      </c>
      <c r="P247" s="98">
        <f t="shared" si="51"/>
        <v>110</v>
      </c>
      <c r="Q247" s="99">
        <f>IFERROR(VLOOKUP(I247,'Raw material list'!$A$3:$F$695,6,0),"")</f>
        <v>8.0000000000000007E-5</v>
      </c>
      <c r="R247" s="100">
        <f t="shared" si="54"/>
        <v>8.8000000000000005E-3</v>
      </c>
      <c r="S247" s="94">
        <f t="shared" si="45"/>
        <v>8.8000000000000014E-4</v>
      </c>
      <c r="T247" s="94">
        <f t="shared" si="46"/>
        <v>9.6800000000000011E-3</v>
      </c>
      <c r="U247" s="93">
        <f t="shared" si="47"/>
        <v>9.6800000000000011E-4</v>
      </c>
      <c r="V247" s="93">
        <f t="shared" si="48"/>
        <v>9.6800000000000008E-5</v>
      </c>
      <c r="W247" s="93">
        <f t="shared" si="49"/>
        <v>9.6800000000000008E-5</v>
      </c>
      <c r="X247" s="93">
        <f t="shared" si="50"/>
        <v>1.08416E-2</v>
      </c>
      <c r="Y247" s="117"/>
    </row>
    <row r="248" spans="1:25" s="90" customFormat="1">
      <c r="A248" s="95" t="s">
        <v>1469</v>
      </c>
      <c r="B248" s="95" t="s">
        <v>1668</v>
      </c>
      <c r="C248" s="95" t="s">
        <v>1427</v>
      </c>
      <c r="D248" s="101" t="s">
        <v>1471</v>
      </c>
      <c r="E248" s="101" t="s">
        <v>1661</v>
      </c>
      <c r="F248" s="101" t="s">
        <v>1670</v>
      </c>
      <c r="G248" s="101" t="s">
        <v>1433</v>
      </c>
      <c r="H248" s="97" t="str">
        <f>IFERROR(VLOOKUP(I248,'Raw material list'!$A$3:$C$695,3,0),"")</f>
        <v>DRS1-3880</v>
      </c>
      <c r="I248" s="97" t="s">
        <v>1398</v>
      </c>
      <c r="J248" s="101" t="s">
        <v>111</v>
      </c>
      <c r="K248" s="101" t="str">
        <f>IFERROR(VLOOKUP(I248,'Raw material list'!$A$3:$E$695,5,0),"")</f>
        <v xml:space="preserve">Gram </v>
      </c>
      <c r="L248" s="95">
        <v>14</v>
      </c>
      <c r="M248" s="98">
        <f t="shared" si="44"/>
        <v>14.000000000000002</v>
      </c>
      <c r="N248" s="98">
        <v>100</v>
      </c>
      <c r="O248" s="95">
        <v>10</v>
      </c>
      <c r="P248" s="98">
        <f t="shared" si="51"/>
        <v>1.4</v>
      </c>
      <c r="Q248" s="99">
        <f>IFERROR(VLOOKUP(I248,'Raw material list'!$A$3:$F$695,6,0),"")</f>
        <v>5.0000000000000001E-4</v>
      </c>
      <c r="R248" s="100">
        <f t="shared" si="54"/>
        <v>6.9999999999999999E-4</v>
      </c>
      <c r="S248" s="94">
        <f t="shared" si="45"/>
        <v>7.0000000000000007E-5</v>
      </c>
      <c r="T248" s="94">
        <f t="shared" si="46"/>
        <v>7.6999999999999996E-4</v>
      </c>
      <c r="U248" s="93">
        <f t="shared" si="47"/>
        <v>7.7000000000000001E-5</v>
      </c>
      <c r="V248" s="93">
        <f t="shared" si="48"/>
        <v>7.6999999999999991E-6</v>
      </c>
      <c r="W248" s="93">
        <f t="shared" si="49"/>
        <v>7.6999999999999991E-6</v>
      </c>
      <c r="X248" s="93">
        <f t="shared" si="50"/>
        <v>8.6240000000000004E-4</v>
      </c>
      <c r="Y248" s="117"/>
    </row>
    <row r="249" spans="1:25" s="90" customFormat="1">
      <c r="A249" s="95" t="s">
        <v>1469</v>
      </c>
      <c r="B249" s="95" t="s">
        <v>1668</v>
      </c>
      <c r="C249" s="95" t="s">
        <v>1427</v>
      </c>
      <c r="D249" s="101" t="s">
        <v>1471</v>
      </c>
      <c r="E249" s="101" t="s">
        <v>1661</v>
      </c>
      <c r="F249" s="101" t="s">
        <v>1670</v>
      </c>
      <c r="G249" s="101" t="s">
        <v>1433</v>
      </c>
      <c r="H249" s="97" t="str">
        <f>IFERROR(VLOOKUP(I249,'Raw material list'!$A$3:$C$695,3,0),"")</f>
        <v>DRS6-309</v>
      </c>
      <c r="I249" s="97" t="s">
        <v>35</v>
      </c>
      <c r="J249" s="101" t="s">
        <v>111</v>
      </c>
      <c r="K249" s="101" t="str">
        <f>IFERROR(VLOOKUP(I249,'Raw material list'!$A$3:$E$695,5,0),"")</f>
        <v xml:space="preserve">Gram </v>
      </c>
      <c r="L249" s="95">
        <v>1</v>
      </c>
      <c r="M249" s="98">
        <f t="shared" si="44"/>
        <v>1</v>
      </c>
      <c r="N249" s="98">
        <v>100</v>
      </c>
      <c r="O249" s="95">
        <v>10</v>
      </c>
      <c r="P249" s="98">
        <f t="shared" si="51"/>
        <v>0.1</v>
      </c>
      <c r="Q249" s="99">
        <f>IFERROR(VLOOKUP(I249,'Raw material list'!$A$3:$F$695,6,0),"")</f>
        <v>2.8000000000000001E-2</v>
      </c>
      <c r="R249" s="100">
        <f t="shared" si="54"/>
        <v>2.8000000000000004E-3</v>
      </c>
      <c r="S249" s="94">
        <f t="shared" si="45"/>
        <v>2.8000000000000003E-4</v>
      </c>
      <c r="T249" s="94">
        <f t="shared" si="46"/>
        <v>3.0800000000000003E-3</v>
      </c>
      <c r="U249" s="93">
        <f t="shared" si="47"/>
        <v>3.0800000000000006E-4</v>
      </c>
      <c r="V249" s="93">
        <f t="shared" si="48"/>
        <v>3.0800000000000003E-5</v>
      </c>
      <c r="W249" s="93">
        <f t="shared" si="49"/>
        <v>3.0800000000000003E-5</v>
      </c>
      <c r="X249" s="93">
        <f t="shared" si="50"/>
        <v>3.4496000000000006E-3</v>
      </c>
      <c r="Y249" s="117"/>
    </row>
    <row r="250" spans="1:25" s="90" customFormat="1">
      <c r="A250" s="95" t="s">
        <v>1469</v>
      </c>
      <c r="B250" s="95" t="s">
        <v>1668</v>
      </c>
      <c r="C250" s="95" t="s">
        <v>1427</v>
      </c>
      <c r="D250" s="101" t="s">
        <v>1471</v>
      </c>
      <c r="E250" s="101" t="s">
        <v>1661</v>
      </c>
      <c r="F250" s="101" t="s">
        <v>1670</v>
      </c>
      <c r="G250" s="101" t="s">
        <v>1433</v>
      </c>
      <c r="H250" s="97" t="str">
        <f>IFERROR(VLOOKUP(I250,'Raw material list'!$A$3:$C$695,3,0),"")</f>
        <v>DRS6-3593</v>
      </c>
      <c r="I250" s="97" t="s">
        <v>1417</v>
      </c>
      <c r="J250" s="101" t="s">
        <v>111</v>
      </c>
      <c r="K250" s="101" t="str">
        <f>IFERROR(VLOOKUP(I250,'Raw material list'!$A$3:$E$695,5,0),"")</f>
        <v xml:space="preserve">Gram </v>
      </c>
      <c r="L250" s="95">
        <v>1</v>
      </c>
      <c r="M250" s="98">
        <f t="shared" si="44"/>
        <v>1</v>
      </c>
      <c r="N250" s="98">
        <v>100</v>
      </c>
      <c r="O250" s="95">
        <v>10</v>
      </c>
      <c r="P250" s="98">
        <f t="shared" si="51"/>
        <v>0.1</v>
      </c>
      <c r="Q250" s="99">
        <f>IFERROR(VLOOKUP(I250,'Raw material list'!$A$3:$F$695,6,0),"")</f>
        <v>1.0500000000000001E-2</v>
      </c>
      <c r="R250" s="100">
        <f t="shared" si="54"/>
        <v>1.0500000000000002E-3</v>
      </c>
      <c r="S250" s="94">
        <f t="shared" si="45"/>
        <v>1.0500000000000002E-4</v>
      </c>
      <c r="T250" s="94">
        <f t="shared" si="46"/>
        <v>1.1550000000000002E-3</v>
      </c>
      <c r="U250" s="93">
        <f t="shared" si="47"/>
        <v>1.1550000000000003E-4</v>
      </c>
      <c r="V250" s="93">
        <f t="shared" si="48"/>
        <v>1.1550000000000003E-5</v>
      </c>
      <c r="W250" s="93">
        <f t="shared" si="49"/>
        <v>1.1550000000000003E-5</v>
      </c>
      <c r="X250" s="93">
        <f t="shared" si="50"/>
        <v>1.2936E-3</v>
      </c>
      <c r="Y250" s="117"/>
    </row>
    <row r="251" spans="1:25" s="90" customFormat="1">
      <c r="A251" s="95" t="s">
        <v>1469</v>
      </c>
      <c r="B251" s="95" t="s">
        <v>1668</v>
      </c>
      <c r="C251" s="95" t="s">
        <v>1427</v>
      </c>
      <c r="D251" s="101" t="s">
        <v>1471</v>
      </c>
      <c r="E251" s="101" t="s">
        <v>1661</v>
      </c>
      <c r="F251" s="101" t="s">
        <v>1670</v>
      </c>
      <c r="G251" s="101" t="s">
        <v>1433</v>
      </c>
      <c r="H251" s="97" t="str">
        <f>IFERROR(VLOOKUP(I251,'Raw material list'!$A$3:$C$695,3,0),"")</f>
        <v>DRS3-1813</v>
      </c>
      <c r="I251" s="97" t="s">
        <v>39</v>
      </c>
      <c r="J251" s="101" t="s">
        <v>161</v>
      </c>
      <c r="K251" s="101" t="str">
        <f>IFERROR(VLOOKUP(I251,'Raw material list'!$A$3:$E$695,5,0),"")</f>
        <v>Ml</v>
      </c>
      <c r="L251" s="95">
        <v>30</v>
      </c>
      <c r="M251" s="98">
        <f t="shared" si="44"/>
        <v>30</v>
      </c>
      <c r="N251" s="98">
        <v>100</v>
      </c>
      <c r="O251" s="95">
        <v>10</v>
      </c>
      <c r="P251" s="98">
        <f t="shared" si="51"/>
        <v>3</v>
      </c>
      <c r="Q251" s="99">
        <f>IFERROR(VLOOKUP(I251,'Raw material list'!$A$3:$F$695,6,0),"")</f>
        <v>8.0555555555555554E-3</v>
      </c>
      <c r="R251" s="100">
        <f t="shared" si="54"/>
        <v>2.4166666666666666E-2</v>
      </c>
      <c r="S251" s="94">
        <f t="shared" si="45"/>
        <v>2.4166666666666668E-3</v>
      </c>
      <c r="T251" s="94">
        <f t="shared" si="46"/>
        <v>2.6583333333333334E-2</v>
      </c>
      <c r="U251" s="93">
        <f t="shared" si="47"/>
        <v>2.6583333333333337E-3</v>
      </c>
      <c r="V251" s="93">
        <f t="shared" si="48"/>
        <v>2.6583333333333336E-4</v>
      </c>
      <c r="W251" s="93">
        <f t="shared" si="49"/>
        <v>2.6583333333333336E-4</v>
      </c>
      <c r="X251" s="93">
        <f t="shared" si="50"/>
        <v>2.9773333333333332E-2</v>
      </c>
      <c r="Y251" s="117"/>
    </row>
    <row r="252" spans="1:25" s="90" customFormat="1">
      <c r="A252" s="95" t="s">
        <v>1469</v>
      </c>
      <c r="B252" s="95" t="s">
        <v>1668</v>
      </c>
      <c r="C252" s="95" t="s">
        <v>1427</v>
      </c>
      <c r="D252" s="101" t="s">
        <v>1471</v>
      </c>
      <c r="E252" s="101" t="s">
        <v>1661</v>
      </c>
      <c r="F252" s="101" t="s">
        <v>1670</v>
      </c>
      <c r="G252" s="101" t="s">
        <v>1433</v>
      </c>
      <c r="H252" s="97" t="str">
        <f>IFERROR(VLOOKUP(I252,'Raw material list'!$A$3:$C$695,3,0),"")</f>
        <v>DRS6-539</v>
      </c>
      <c r="I252" s="97" t="s">
        <v>717</v>
      </c>
      <c r="J252" s="101" t="s">
        <v>111</v>
      </c>
      <c r="K252" s="101" t="str">
        <f>IFERROR(VLOOKUP(I252,'Raw material list'!$A$3:$E$695,5,0),"")</f>
        <v xml:space="preserve">Gram </v>
      </c>
      <c r="L252" s="95">
        <v>2</v>
      </c>
      <c r="M252" s="98">
        <f t="shared" si="44"/>
        <v>2</v>
      </c>
      <c r="N252" s="98">
        <v>100</v>
      </c>
      <c r="O252" s="95">
        <v>10</v>
      </c>
      <c r="P252" s="98">
        <f t="shared" si="51"/>
        <v>0.2</v>
      </c>
      <c r="Q252" s="99">
        <f>IFERROR(VLOOKUP(I252,'Raw material list'!$A$3:$F$695,6,0),"")</f>
        <v>0.16</v>
      </c>
      <c r="R252" s="100">
        <f t="shared" si="54"/>
        <v>3.2000000000000001E-2</v>
      </c>
      <c r="S252" s="94">
        <f t="shared" si="45"/>
        <v>3.2000000000000002E-3</v>
      </c>
      <c r="T252" s="94">
        <f t="shared" si="46"/>
        <v>3.5200000000000002E-2</v>
      </c>
      <c r="U252" s="93">
        <f t="shared" si="47"/>
        <v>3.5200000000000006E-3</v>
      </c>
      <c r="V252" s="93">
        <f t="shared" si="48"/>
        <v>3.5200000000000005E-4</v>
      </c>
      <c r="W252" s="93">
        <f t="shared" si="49"/>
        <v>3.5200000000000005E-4</v>
      </c>
      <c r="X252" s="93">
        <f t="shared" si="50"/>
        <v>3.9424000000000001E-2</v>
      </c>
      <c r="Y252" s="117"/>
    </row>
    <row r="253" spans="1:25" s="90" customFormat="1">
      <c r="A253" s="95" t="s">
        <v>1469</v>
      </c>
      <c r="B253" s="95" t="s">
        <v>1668</v>
      </c>
      <c r="C253" s="95" t="s">
        <v>1427</v>
      </c>
      <c r="D253" s="101" t="s">
        <v>1471</v>
      </c>
      <c r="E253" s="101" t="s">
        <v>1661</v>
      </c>
      <c r="F253" s="101" t="s">
        <v>1670</v>
      </c>
      <c r="G253" s="101" t="s">
        <v>1433</v>
      </c>
      <c r="H253" s="97" t="str">
        <f>IFERROR(VLOOKUP(I253,'Raw material list'!$A$3:$C$695,3,0),"")</f>
        <v>DRS6-261</v>
      </c>
      <c r="I253" s="97" t="s">
        <v>1565</v>
      </c>
      <c r="J253" s="101" t="s">
        <v>111</v>
      </c>
      <c r="K253" s="101" t="str">
        <f>IFERROR(VLOOKUP(I253,'Raw material list'!$A$3:$E$695,5,0),"")</f>
        <v xml:space="preserve">Gram </v>
      </c>
      <c r="L253" s="95">
        <v>0.3</v>
      </c>
      <c r="M253" s="98">
        <f t="shared" si="44"/>
        <v>0.3</v>
      </c>
      <c r="N253" s="98">
        <v>100</v>
      </c>
      <c r="O253" s="95">
        <v>10</v>
      </c>
      <c r="P253" s="98">
        <f t="shared" si="51"/>
        <v>0.03</v>
      </c>
      <c r="Q253" s="99">
        <f>IFERROR(VLOOKUP(I253,'Raw material list'!$A$3:$F$695,6,0),"")</f>
        <v>1.4E-2</v>
      </c>
      <c r="R253" s="100">
        <f t="shared" si="54"/>
        <v>4.2000000000000002E-4</v>
      </c>
      <c r="S253" s="94">
        <f t="shared" si="45"/>
        <v>4.2000000000000004E-5</v>
      </c>
      <c r="T253" s="94">
        <f t="shared" si="46"/>
        <v>4.6200000000000001E-4</v>
      </c>
      <c r="U253" s="93">
        <f t="shared" si="47"/>
        <v>4.6200000000000005E-5</v>
      </c>
      <c r="V253" s="93">
        <f t="shared" si="48"/>
        <v>4.6199999999999998E-6</v>
      </c>
      <c r="W253" s="93">
        <f t="shared" si="49"/>
        <v>4.6199999999999998E-6</v>
      </c>
      <c r="X253" s="93">
        <f t="shared" si="50"/>
        <v>5.1743999999999998E-4</v>
      </c>
      <c r="Y253" s="117"/>
    </row>
    <row r="254" spans="1:25" s="90" customFormat="1">
      <c r="A254" s="95" t="s">
        <v>1470</v>
      </c>
      <c r="B254" s="95" t="s">
        <v>1631</v>
      </c>
      <c r="C254" s="95" t="s">
        <v>1427</v>
      </c>
      <c r="D254" s="101" t="s">
        <v>1473</v>
      </c>
      <c r="E254" s="101" t="s">
        <v>1455</v>
      </c>
      <c r="F254" s="101" t="s">
        <v>1669</v>
      </c>
      <c r="G254" s="101"/>
      <c r="H254" s="97" t="str">
        <f>IFERROR(VLOOKUP(I254,'Raw material list'!$A$3:$C$695,3,0),"")</f>
        <v>BKR1-1327</v>
      </c>
      <c r="I254" s="97" t="s">
        <v>118</v>
      </c>
      <c r="J254" s="101" t="s">
        <v>120</v>
      </c>
      <c r="K254" s="101" t="str">
        <f>IFERROR(VLOOKUP(I254,'Raw material list'!$A$3:$E$695,5,0),"")</f>
        <v>Slice</v>
      </c>
      <c r="L254" s="95">
        <v>10</v>
      </c>
      <c r="M254" s="98">
        <f t="shared" si="44"/>
        <v>10</v>
      </c>
      <c r="N254" s="98">
        <v>100</v>
      </c>
      <c r="O254" s="95">
        <v>10</v>
      </c>
      <c r="P254" s="98">
        <f t="shared" si="51"/>
        <v>1</v>
      </c>
      <c r="Q254" s="99">
        <f>IFERROR(VLOOKUP(I254,'Raw material list'!$A$3:$F$695,6,0),"")</f>
        <v>0.22222222222222221</v>
      </c>
      <c r="R254" s="100">
        <f t="shared" si="54"/>
        <v>0.22222222222222221</v>
      </c>
      <c r="S254" s="94">
        <f t="shared" si="45"/>
        <v>2.2222222222222223E-2</v>
      </c>
      <c r="T254" s="94">
        <f t="shared" si="46"/>
        <v>0.24444444444444444</v>
      </c>
      <c r="U254" s="93">
        <f t="shared" si="47"/>
        <v>2.4444444444444446E-2</v>
      </c>
      <c r="V254" s="93">
        <f t="shared" si="48"/>
        <v>2.4444444444444444E-3</v>
      </c>
      <c r="W254" s="93">
        <f t="shared" si="49"/>
        <v>2.4444444444444444E-3</v>
      </c>
      <c r="X254" s="93">
        <f t="shared" si="50"/>
        <v>0.27377777777777784</v>
      </c>
      <c r="Y254" s="122"/>
    </row>
    <row r="255" spans="1:25" s="90" customFormat="1">
      <c r="A255" s="95" t="s">
        <v>1470</v>
      </c>
      <c r="B255" s="95" t="s">
        <v>1631</v>
      </c>
      <c r="C255" s="95" t="s">
        <v>1427</v>
      </c>
      <c r="D255" s="101" t="s">
        <v>1473</v>
      </c>
      <c r="E255" s="101" t="s">
        <v>1455</v>
      </c>
      <c r="F255" s="95" t="s">
        <v>1669</v>
      </c>
      <c r="G255" s="101" t="s">
        <v>1461</v>
      </c>
      <c r="H255" s="97" t="str">
        <f>IFERROR(VLOOKUP(I255,'Raw material list'!$A$3:$C$695,3,0),"")</f>
        <v>PRD1-235</v>
      </c>
      <c r="I255" s="97" t="s">
        <v>1048</v>
      </c>
      <c r="J255" s="101" t="s">
        <v>111</v>
      </c>
      <c r="K255" s="101" t="str">
        <f>IFERROR(VLOOKUP(I255,'Raw material list'!$A$3:$E$695,5,0),"")</f>
        <v xml:space="preserve">Gram </v>
      </c>
      <c r="L255" s="95">
        <v>30</v>
      </c>
      <c r="M255" s="98">
        <f t="shared" si="44"/>
        <v>92.783505154639187</v>
      </c>
      <c r="N255" s="98">
        <v>32.333333333333329</v>
      </c>
      <c r="O255" s="95">
        <v>10</v>
      </c>
      <c r="P255" s="98">
        <f t="shared" si="51"/>
        <v>3</v>
      </c>
      <c r="Q255" s="99">
        <f>IFERROR(VLOOKUP(I255,'Raw material list'!$A$3:$F$695,6,0),"")</f>
        <v>1.238390092879257E-2</v>
      </c>
      <c r="R255" s="100">
        <f t="shared" si="54"/>
        <v>3.7151702786377708E-2</v>
      </c>
      <c r="S255" s="94">
        <f t="shared" si="45"/>
        <v>3.7151702786377711E-3</v>
      </c>
      <c r="T255" s="94">
        <f t="shared" si="46"/>
        <v>4.0866873065015477E-2</v>
      </c>
      <c r="U255" s="93">
        <f t="shared" si="47"/>
        <v>4.0866873065015475E-3</v>
      </c>
      <c r="V255" s="93">
        <f t="shared" si="48"/>
        <v>4.086687306501548E-4</v>
      </c>
      <c r="W255" s="93">
        <f t="shared" si="49"/>
        <v>4.086687306501548E-4</v>
      </c>
      <c r="X255" s="93">
        <f t="shared" si="50"/>
        <v>4.5770897832817327E-2</v>
      </c>
      <c r="Y255" s="122"/>
    </row>
    <row r="256" spans="1:25" s="90" customFormat="1">
      <c r="A256" s="95" t="s">
        <v>1470</v>
      </c>
      <c r="B256" s="95" t="s">
        <v>1631</v>
      </c>
      <c r="C256" s="95" t="s">
        <v>1427</v>
      </c>
      <c r="D256" s="101" t="s">
        <v>1473</v>
      </c>
      <c r="E256" s="101" t="s">
        <v>1455</v>
      </c>
      <c r="F256" s="101" t="s">
        <v>1670</v>
      </c>
      <c r="G256" s="101" t="s">
        <v>1474</v>
      </c>
      <c r="H256" s="97" t="str">
        <f>IFERROR(VLOOKUP(I256,'Raw material list'!$A$3:$C$695,3,0),"")</f>
        <v>PLT1-37</v>
      </c>
      <c r="I256" s="97" t="s">
        <v>843</v>
      </c>
      <c r="J256" s="101" t="s">
        <v>14</v>
      </c>
      <c r="K256" s="101" t="str">
        <f>IFERROR(VLOOKUP(I256,'Raw material list'!$A$3:$E$695,5,0),"")</f>
        <v>Each</v>
      </c>
      <c r="L256" s="95">
        <v>12</v>
      </c>
      <c r="M256" s="98">
        <f t="shared" si="44"/>
        <v>12</v>
      </c>
      <c r="N256" s="98">
        <v>100</v>
      </c>
      <c r="O256" s="95">
        <v>10</v>
      </c>
      <c r="P256" s="98">
        <f t="shared" si="51"/>
        <v>1.2</v>
      </c>
      <c r="Q256" s="99">
        <f>IFERROR(VLOOKUP(I256,'Raw material list'!$A$3:$F$695,6,0),"")</f>
        <v>0.48299999999999998</v>
      </c>
      <c r="R256" s="100">
        <f t="shared" si="54"/>
        <v>0.5796</v>
      </c>
      <c r="S256" s="94">
        <f t="shared" si="45"/>
        <v>5.7960000000000005E-2</v>
      </c>
      <c r="T256" s="94">
        <f t="shared" si="46"/>
        <v>0.63756000000000002</v>
      </c>
      <c r="U256" s="93">
        <f t="shared" si="47"/>
        <v>6.3756000000000007E-2</v>
      </c>
      <c r="V256" s="93">
        <f t="shared" si="48"/>
        <v>6.3756000000000004E-3</v>
      </c>
      <c r="W256" s="93">
        <f t="shared" si="49"/>
        <v>6.3756000000000004E-3</v>
      </c>
      <c r="X256" s="93">
        <f t="shared" si="50"/>
        <v>0.71406720000000012</v>
      </c>
      <c r="Y256" s="122"/>
    </row>
    <row r="257" spans="1:25" s="90" customFormat="1">
      <c r="A257" s="95" t="s">
        <v>1470</v>
      </c>
      <c r="B257" s="95" t="s">
        <v>1631</v>
      </c>
      <c r="C257" s="95" t="s">
        <v>1427</v>
      </c>
      <c r="D257" s="101" t="s">
        <v>1473</v>
      </c>
      <c r="E257" s="101" t="s">
        <v>1455</v>
      </c>
      <c r="F257" s="101" t="s">
        <v>1670</v>
      </c>
      <c r="G257" s="101" t="s">
        <v>1474</v>
      </c>
      <c r="H257" s="97" t="str">
        <f>IFERROR(VLOOKUP(I257,'Raw material list'!$A$3:$C$695,3,0),"")</f>
        <v>PRD1-4787</v>
      </c>
      <c r="I257" s="97" t="s">
        <v>959</v>
      </c>
      <c r="J257" s="101" t="s">
        <v>111</v>
      </c>
      <c r="K257" s="101" t="str">
        <f>IFERROR(VLOOKUP(I257,'Raw material list'!$A$3:$E$695,5,0),"")</f>
        <v xml:space="preserve">Gram </v>
      </c>
      <c r="L257" s="95">
        <v>61.12</v>
      </c>
      <c r="M257" s="98">
        <f t="shared" si="44"/>
        <v>150.29508196721309</v>
      </c>
      <c r="N257" s="98">
        <v>40.666666666666664</v>
      </c>
      <c r="O257" s="95">
        <v>10</v>
      </c>
      <c r="P257" s="98">
        <f t="shared" si="51"/>
        <v>6.1120000000000001</v>
      </c>
      <c r="Q257" s="99">
        <f>IFERROR(VLOOKUP(I257,'Raw material list'!$A$3:$F$695,6,0),"")</f>
        <v>7.8624078624078622E-2</v>
      </c>
      <c r="R257" s="100">
        <f t="shared" si="54"/>
        <v>0.48055036855036853</v>
      </c>
      <c r="S257" s="94">
        <f t="shared" si="45"/>
        <v>4.8055036855036856E-2</v>
      </c>
      <c r="T257" s="94">
        <f t="shared" si="46"/>
        <v>0.52860540540540535</v>
      </c>
      <c r="U257" s="93">
        <f t="shared" si="47"/>
        <v>5.286054054054054E-2</v>
      </c>
      <c r="V257" s="93">
        <f t="shared" si="48"/>
        <v>5.2860540540540539E-3</v>
      </c>
      <c r="W257" s="93">
        <f t="shared" si="49"/>
        <v>5.2860540540540539E-3</v>
      </c>
      <c r="X257" s="93">
        <f t="shared" si="50"/>
        <v>0.59203805405405396</v>
      </c>
      <c r="Y257" s="122"/>
    </row>
    <row r="258" spans="1:25" s="90" customFormat="1">
      <c r="A258" s="95" t="s">
        <v>1470</v>
      </c>
      <c r="B258" s="95" t="s">
        <v>1631</v>
      </c>
      <c r="C258" s="95" t="s">
        <v>1427</v>
      </c>
      <c r="D258" s="101" t="s">
        <v>1473</v>
      </c>
      <c r="E258" s="101" t="s">
        <v>1455</v>
      </c>
      <c r="F258" s="101" t="s">
        <v>1670</v>
      </c>
      <c r="G258" s="101" t="s">
        <v>1474</v>
      </c>
      <c r="H258" s="97" t="str">
        <f>IFERROR(VLOOKUP(I258,'Raw material list'!$A$3:$C$695,3,0),"")</f>
        <v>DRS1-114</v>
      </c>
      <c r="I258" s="97" t="s">
        <v>279</v>
      </c>
      <c r="J258" s="101" t="s">
        <v>111</v>
      </c>
      <c r="K258" s="101" t="str">
        <f>IFERROR(VLOOKUP(I258,'Raw material list'!$A$3:$E$695,5,0),"")</f>
        <v xml:space="preserve">Gram </v>
      </c>
      <c r="L258" s="95">
        <v>3.5</v>
      </c>
      <c r="M258" s="98">
        <f t="shared" si="44"/>
        <v>3.5000000000000004</v>
      </c>
      <c r="N258" s="98">
        <v>100</v>
      </c>
      <c r="O258" s="95">
        <v>10</v>
      </c>
      <c r="P258" s="98">
        <f t="shared" si="51"/>
        <v>0.35</v>
      </c>
      <c r="Q258" s="99">
        <f>IFERROR(VLOOKUP(I258,'Raw material list'!$A$3:$F$695,6,0),"")</f>
        <v>4.7489823609226586E-3</v>
      </c>
      <c r="R258" s="100">
        <f t="shared" si="54"/>
        <v>1.6621438263229305E-3</v>
      </c>
      <c r="S258" s="94">
        <f t="shared" si="45"/>
        <v>1.6621438263229307E-4</v>
      </c>
      <c r="T258" s="94">
        <f t="shared" si="46"/>
        <v>1.8283582089552235E-3</v>
      </c>
      <c r="U258" s="93">
        <f t="shared" si="47"/>
        <v>1.8283582089552235E-4</v>
      </c>
      <c r="V258" s="93">
        <f t="shared" si="48"/>
        <v>1.8283582089552236E-5</v>
      </c>
      <c r="W258" s="93">
        <f t="shared" si="49"/>
        <v>1.8283582089552236E-5</v>
      </c>
      <c r="X258" s="93">
        <f t="shared" si="50"/>
        <v>2.0477611940298507E-3</v>
      </c>
      <c r="Y258" s="122"/>
    </row>
    <row r="259" spans="1:25" s="90" customFormat="1">
      <c r="A259" s="95" t="s">
        <v>1470</v>
      </c>
      <c r="B259" s="95" t="s">
        <v>1631</v>
      </c>
      <c r="C259" s="95" t="s">
        <v>1427</v>
      </c>
      <c r="D259" s="101" t="s">
        <v>1473</v>
      </c>
      <c r="E259" s="101" t="s">
        <v>1455</v>
      </c>
      <c r="F259" s="101" t="s">
        <v>1670</v>
      </c>
      <c r="G259" s="101" t="s">
        <v>1474</v>
      </c>
      <c r="H259" s="97" t="str">
        <f>IFERROR(VLOOKUP(I259,'Raw material list'!$A$3:$C$695,3,0),"")</f>
        <v>DRS6-537</v>
      </c>
      <c r="I259" s="97" t="s">
        <v>25</v>
      </c>
      <c r="J259" s="101" t="s">
        <v>111</v>
      </c>
      <c r="K259" s="101" t="str">
        <f>IFERROR(VLOOKUP(I259,'Raw material list'!$A$3:$E$695,5,0),"")</f>
        <v xml:space="preserve">Gram </v>
      </c>
      <c r="L259" s="95">
        <v>0.85499999999999998</v>
      </c>
      <c r="M259" s="98">
        <f t="shared" si="44"/>
        <v>0.85499999999999998</v>
      </c>
      <c r="N259" s="98">
        <v>100</v>
      </c>
      <c r="O259" s="95">
        <v>10</v>
      </c>
      <c r="P259" s="98">
        <f t="shared" si="51"/>
        <v>8.5499999999999993E-2</v>
      </c>
      <c r="Q259" s="99">
        <f>IFERROR(VLOOKUP(I259,'Raw material list'!$A$3:$F$695,6,0),"")</f>
        <v>3.5000000000000003E-2</v>
      </c>
      <c r="R259" s="100">
        <f t="shared" si="54"/>
        <v>2.9924999999999999E-3</v>
      </c>
      <c r="S259" s="94">
        <f t="shared" si="45"/>
        <v>2.9925000000000004E-4</v>
      </c>
      <c r="T259" s="94">
        <f t="shared" si="46"/>
        <v>3.29175E-3</v>
      </c>
      <c r="U259" s="93">
        <f t="shared" si="47"/>
        <v>3.2917500000000002E-4</v>
      </c>
      <c r="V259" s="93">
        <f t="shared" si="48"/>
        <v>3.2917499999999998E-5</v>
      </c>
      <c r="W259" s="93">
        <f t="shared" si="49"/>
        <v>3.2917499999999998E-5</v>
      </c>
      <c r="X259" s="93">
        <f t="shared" si="50"/>
        <v>3.6867600000000003E-3</v>
      </c>
      <c r="Y259" s="122"/>
    </row>
    <row r="260" spans="1:25" s="90" customFormat="1">
      <c r="A260" s="95" t="s">
        <v>1470</v>
      </c>
      <c r="B260" s="95" t="s">
        <v>1631</v>
      </c>
      <c r="C260" s="95" t="s">
        <v>1427</v>
      </c>
      <c r="D260" s="101" t="s">
        <v>1473</v>
      </c>
      <c r="E260" s="101" t="s">
        <v>1455</v>
      </c>
      <c r="F260" s="101" t="s">
        <v>1670</v>
      </c>
      <c r="G260" s="101" t="s">
        <v>1474</v>
      </c>
      <c r="H260" s="97" t="str">
        <f>IFERROR(VLOOKUP(I260,'Raw material list'!$A$3:$C$695,3,0),"")</f>
        <v>DRS6-309</v>
      </c>
      <c r="I260" s="97" t="s">
        <v>35</v>
      </c>
      <c r="J260" s="101" t="s">
        <v>111</v>
      </c>
      <c r="K260" s="101" t="str">
        <f>IFERROR(VLOOKUP(I260,'Raw material list'!$A$3:$E$695,5,0),"")</f>
        <v xml:space="preserve">Gram </v>
      </c>
      <c r="L260" s="95">
        <v>0.85499999999999998</v>
      </c>
      <c r="M260" s="98">
        <f t="shared" si="44"/>
        <v>0.85499999999999998</v>
      </c>
      <c r="N260" s="98">
        <v>100</v>
      </c>
      <c r="O260" s="95">
        <v>10</v>
      </c>
      <c r="P260" s="98">
        <f t="shared" si="51"/>
        <v>8.5499999999999993E-2</v>
      </c>
      <c r="Q260" s="99">
        <f>IFERROR(VLOOKUP(I260,'Raw material list'!$A$3:$F$695,6,0),"")</f>
        <v>2.8000000000000001E-2</v>
      </c>
      <c r="R260" s="100">
        <f t="shared" si="54"/>
        <v>2.3939999999999999E-3</v>
      </c>
      <c r="S260" s="94">
        <f t="shared" si="45"/>
        <v>2.3939999999999999E-4</v>
      </c>
      <c r="T260" s="94">
        <f t="shared" si="46"/>
        <v>2.6333999999999997E-3</v>
      </c>
      <c r="U260" s="93">
        <f t="shared" si="47"/>
        <v>2.6333999999999998E-4</v>
      </c>
      <c r="V260" s="93">
        <f t="shared" si="48"/>
        <v>2.6333999999999999E-5</v>
      </c>
      <c r="W260" s="93">
        <f t="shared" si="49"/>
        <v>2.6333999999999999E-5</v>
      </c>
      <c r="X260" s="93">
        <f t="shared" si="50"/>
        <v>2.9494079999999993E-3</v>
      </c>
      <c r="Y260" s="122"/>
    </row>
    <row r="261" spans="1:25" s="90" customFormat="1">
      <c r="A261" s="95" t="s">
        <v>1470</v>
      </c>
      <c r="B261" s="95" t="s">
        <v>1631</v>
      </c>
      <c r="C261" s="95" t="s">
        <v>1427</v>
      </c>
      <c r="D261" s="101" t="s">
        <v>1473</v>
      </c>
      <c r="E261" s="101" t="s">
        <v>1455</v>
      </c>
      <c r="F261" s="101" t="s">
        <v>1670</v>
      </c>
      <c r="G261" s="101" t="s">
        <v>1474</v>
      </c>
      <c r="H261" s="97" t="str">
        <f>IFERROR(VLOOKUP(I261,'Raw material list'!$A$3:$C$695,3,0),"")</f>
        <v>DRS6-1570</v>
      </c>
      <c r="I261" s="97" t="s">
        <v>16</v>
      </c>
      <c r="J261" s="101" t="s">
        <v>111</v>
      </c>
      <c r="K261" s="101" t="str">
        <f>IFERROR(VLOOKUP(I261,'Raw material list'!$A$3:$E$695,5,0),"")</f>
        <v xml:space="preserve">Gram </v>
      </c>
      <c r="L261" s="95">
        <v>0.61099999999999999</v>
      </c>
      <c r="M261" s="98">
        <f t="shared" si="44"/>
        <v>0.61099999999999999</v>
      </c>
      <c r="N261" s="98">
        <v>100</v>
      </c>
      <c r="O261" s="95">
        <v>10</v>
      </c>
      <c r="P261" s="98">
        <f t="shared" si="51"/>
        <v>6.1100000000000002E-2</v>
      </c>
      <c r="Q261" s="99">
        <f>IFERROR(VLOOKUP(I261,'Raw material list'!$A$3:$F$695,6,0),"")</f>
        <v>2.8000000000000001E-2</v>
      </c>
      <c r="R261" s="100">
        <f t="shared" si="54"/>
        <v>1.7108000000000002E-3</v>
      </c>
      <c r="S261" s="94">
        <f t="shared" si="45"/>
        <v>1.7108000000000002E-4</v>
      </c>
      <c r="T261" s="94">
        <f t="shared" si="46"/>
        <v>1.8818800000000003E-3</v>
      </c>
      <c r="U261" s="93">
        <f t="shared" si="47"/>
        <v>1.8818800000000005E-4</v>
      </c>
      <c r="V261" s="93">
        <f t="shared" si="48"/>
        <v>1.8818800000000004E-5</v>
      </c>
      <c r="W261" s="93">
        <f t="shared" si="49"/>
        <v>1.8818800000000004E-5</v>
      </c>
      <c r="X261" s="93">
        <f t="shared" si="50"/>
        <v>2.1077056000000007E-3</v>
      </c>
      <c r="Y261" s="122"/>
    </row>
    <row r="262" spans="1:25" s="90" customFormat="1">
      <c r="A262" s="95" t="s">
        <v>1470</v>
      </c>
      <c r="B262" s="95" t="s">
        <v>1631</v>
      </c>
      <c r="C262" s="95" t="s">
        <v>1427</v>
      </c>
      <c r="D262" s="101" t="s">
        <v>1473</v>
      </c>
      <c r="E262" s="101" t="s">
        <v>1455</v>
      </c>
      <c r="F262" s="101" t="s">
        <v>1670</v>
      </c>
      <c r="G262" s="101" t="s">
        <v>1442</v>
      </c>
      <c r="H262" s="97" t="str">
        <f>IFERROR(VLOOKUP(I262,'Raw material list'!$A$3:$C$695,3,0),"")</f>
        <v>DRS1-5208</v>
      </c>
      <c r="I262" s="97" t="s">
        <v>788</v>
      </c>
      <c r="J262" s="101" t="s">
        <v>111</v>
      </c>
      <c r="K262" s="101" t="str">
        <f>IFERROR(VLOOKUP(I262,'Raw material list'!$A$3:$E$695,5,0),"")</f>
        <v xml:space="preserve">Gram </v>
      </c>
      <c r="L262" s="95">
        <v>120</v>
      </c>
      <c r="M262" s="98">
        <f t="shared" ref="M262:M325" si="55">L262/N262*100</f>
        <v>120</v>
      </c>
      <c r="N262" s="98">
        <v>100</v>
      </c>
      <c r="O262" s="95">
        <v>10</v>
      </c>
      <c r="P262" s="98">
        <f t="shared" si="51"/>
        <v>12</v>
      </c>
      <c r="Q262" s="99">
        <f>IFERROR(VLOOKUP(I262,'Raw material list'!$A$3:$F$695,6,0),"")</f>
        <v>0.14000000000000001</v>
      </c>
      <c r="R262" s="100">
        <f t="shared" si="54"/>
        <v>1.6800000000000002</v>
      </c>
      <c r="S262" s="94">
        <f t="shared" ref="S262:S324" si="56">R262*10%</f>
        <v>0.16800000000000004</v>
      </c>
      <c r="T262" s="94">
        <f t="shared" ref="T262:T324" si="57">R262+S262</f>
        <v>1.8480000000000003</v>
      </c>
      <c r="U262" s="93">
        <f t="shared" ref="U262:U325" si="58">T262*10%</f>
        <v>0.18480000000000005</v>
      </c>
      <c r="V262" s="93">
        <f t="shared" ref="V262:V325" si="59">T262*1%</f>
        <v>1.8480000000000003E-2</v>
      </c>
      <c r="W262" s="93">
        <f t="shared" ref="W262:W325" si="60">T262*1%</f>
        <v>1.8480000000000003E-2</v>
      </c>
      <c r="X262" s="93">
        <f t="shared" ref="X262:X324" si="61">T262+U262+V262+W262</f>
        <v>2.06976</v>
      </c>
      <c r="Y262" s="122"/>
    </row>
    <row r="263" spans="1:25" s="90" customFormat="1">
      <c r="A263" s="95" t="s">
        <v>1470</v>
      </c>
      <c r="B263" s="95" t="s">
        <v>1631</v>
      </c>
      <c r="C263" s="95" t="s">
        <v>1427</v>
      </c>
      <c r="D263" s="101" t="s">
        <v>1473</v>
      </c>
      <c r="E263" s="101" t="s">
        <v>1455</v>
      </c>
      <c r="F263" s="101" t="s">
        <v>1670</v>
      </c>
      <c r="G263" s="101" t="s">
        <v>1442</v>
      </c>
      <c r="H263" s="97" t="str">
        <f>IFERROR(VLOOKUP(I263,'Raw material list'!$A$3:$C$695,3,0),"")</f>
        <v>DRS1-1652</v>
      </c>
      <c r="I263" s="97" t="s">
        <v>1425</v>
      </c>
      <c r="J263" s="101" t="s">
        <v>111</v>
      </c>
      <c r="K263" s="101" t="str">
        <f>IFERROR(VLOOKUP(I263,'Raw material list'!$A$3:$E$695,5,0),"")</f>
        <v xml:space="preserve">Gram </v>
      </c>
      <c r="L263" s="95">
        <v>82.3</v>
      </c>
      <c r="M263" s="98">
        <f t="shared" si="55"/>
        <v>82.3</v>
      </c>
      <c r="N263" s="98">
        <v>100</v>
      </c>
      <c r="O263" s="95">
        <v>10</v>
      </c>
      <c r="P263" s="98">
        <f t="shared" si="51"/>
        <v>8.23</v>
      </c>
      <c r="Q263" s="99">
        <f>IFERROR(VLOOKUP(I263,'Raw material list'!$A$3:$F$695,6,0),"")</f>
        <v>1.2800000000000001E-2</v>
      </c>
      <c r="R263" s="100">
        <f t="shared" si="54"/>
        <v>0.10534400000000001</v>
      </c>
      <c r="S263" s="94">
        <f t="shared" si="56"/>
        <v>1.0534400000000001E-2</v>
      </c>
      <c r="T263" s="94">
        <f t="shared" si="57"/>
        <v>0.11587840000000001</v>
      </c>
      <c r="U263" s="93">
        <f t="shared" si="58"/>
        <v>1.1587840000000002E-2</v>
      </c>
      <c r="V263" s="93">
        <f t="shared" si="59"/>
        <v>1.1587840000000002E-3</v>
      </c>
      <c r="W263" s="93">
        <f t="shared" si="60"/>
        <v>1.1587840000000002E-3</v>
      </c>
      <c r="X263" s="93">
        <f t="shared" si="61"/>
        <v>0.129783808</v>
      </c>
      <c r="Y263" s="122"/>
    </row>
    <row r="264" spans="1:25" s="90" customFormat="1">
      <c r="A264" s="95" t="s">
        <v>1470</v>
      </c>
      <c r="B264" s="95" t="s">
        <v>1631</v>
      </c>
      <c r="C264" s="95" t="s">
        <v>1427</v>
      </c>
      <c r="D264" s="101" t="s">
        <v>1473</v>
      </c>
      <c r="E264" s="101" t="s">
        <v>1455</v>
      </c>
      <c r="F264" s="101" t="s">
        <v>1670</v>
      </c>
      <c r="G264" s="101" t="s">
        <v>1442</v>
      </c>
      <c r="H264" s="97" t="str">
        <f>IFERROR(VLOOKUP(I264,'Raw material list'!$A$3:$C$695,3,0),"")</f>
        <v>DRS1-5208</v>
      </c>
      <c r="I264" s="97" t="s">
        <v>788</v>
      </c>
      <c r="J264" s="101" t="s">
        <v>111</v>
      </c>
      <c r="K264" s="101" t="str">
        <f>IFERROR(VLOOKUP(I264,'Raw material list'!$A$3:$E$695,5,0),"")</f>
        <v xml:space="preserve">Gram </v>
      </c>
      <c r="L264" s="95">
        <v>24.69</v>
      </c>
      <c r="M264" s="98">
        <f t="shared" si="55"/>
        <v>24.69</v>
      </c>
      <c r="N264" s="98">
        <v>100</v>
      </c>
      <c r="O264" s="95">
        <v>10</v>
      </c>
      <c r="P264" s="98">
        <f t="shared" si="51"/>
        <v>2.4690000000000003</v>
      </c>
      <c r="Q264" s="99">
        <f>IFERROR(VLOOKUP(I264,'Raw material list'!$A$3:$F$695,6,0),"")</f>
        <v>0.14000000000000001</v>
      </c>
      <c r="R264" s="100">
        <f t="shared" si="54"/>
        <v>0.34566000000000008</v>
      </c>
      <c r="S264" s="94">
        <f t="shared" si="56"/>
        <v>3.4566000000000006E-2</v>
      </c>
      <c r="T264" s="94">
        <f t="shared" si="57"/>
        <v>0.38022600000000006</v>
      </c>
      <c r="U264" s="93">
        <f t="shared" si="58"/>
        <v>3.8022600000000011E-2</v>
      </c>
      <c r="V264" s="93">
        <f t="shared" si="59"/>
        <v>3.8022600000000009E-3</v>
      </c>
      <c r="W264" s="93">
        <f t="shared" si="60"/>
        <v>3.8022600000000009E-3</v>
      </c>
      <c r="X264" s="93">
        <f t="shared" si="61"/>
        <v>0.42585312000000008</v>
      </c>
      <c r="Y264" s="122"/>
    </row>
    <row r="265" spans="1:25" s="90" customFormat="1">
      <c r="A265" s="95" t="s">
        <v>1470</v>
      </c>
      <c r="B265" s="95" t="s">
        <v>1631</v>
      </c>
      <c r="C265" s="95" t="s">
        <v>1427</v>
      </c>
      <c r="D265" s="101" t="s">
        <v>1473</v>
      </c>
      <c r="E265" s="101" t="s">
        <v>1455</v>
      </c>
      <c r="F265" s="101" t="s">
        <v>1670</v>
      </c>
      <c r="G265" s="101" t="s">
        <v>1442</v>
      </c>
      <c r="H265" s="97" t="str">
        <f>IFERROR(VLOOKUP(I265,'Raw material list'!$A$3:$C$695,3,0),"")</f>
        <v>DRS6-4482</v>
      </c>
      <c r="I265" s="97" t="s">
        <v>690</v>
      </c>
      <c r="J265" s="101" t="s">
        <v>111</v>
      </c>
      <c r="K265" s="101" t="str">
        <f>IFERROR(VLOOKUP(I265,'Raw material list'!$A$3:$E$695,5,0),"")</f>
        <v xml:space="preserve">Gram </v>
      </c>
      <c r="L265" s="95">
        <v>0.32</v>
      </c>
      <c r="M265" s="98">
        <f t="shared" si="55"/>
        <v>0.32</v>
      </c>
      <c r="N265" s="98">
        <v>100</v>
      </c>
      <c r="O265" s="95">
        <v>10</v>
      </c>
      <c r="P265" s="98">
        <f t="shared" si="51"/>
        <v>3.2000000000000001E-2</v>
      </c>
      <c r="Q265" s="99">
        <f>IFERROR(VLOOKUP(I265,'Raw material list'!$A$3:$F$695,6,0),"")</f>
        <v>1.04E-2</v>
      </c>
      <c r="R265" s="100">
        <f t="shared" si="54"/>
        <v>3.3280000000000001E-4</v>
      </c>
      <c r="S265" s="94">
        <f t="shared" si="56"/>
        <v>3.328E-5</v>
      </c>
      <c r="T265" s="94">
        <f t="shared" si="57"/>
        <v>3.6608000000000002E-4</v>
      </c>
      <c r="U265" s="93">
        <f t="shared" si="58"/>
        <v>3.6608000000000006E-5</v>
      </c>
      <c r="V265" s="93">
        <f t="shared" si="59"/>
        <v>3.6608000000000002E-6</v>
      </c>
      <c r="W265" s="93">
        <f t="shared" si="60"/>
        <v>3.6608000000000002E-6</v>
      </c>
      <c r="X265" s="93">
        <f t="shared" si="61"/>
        <v>4.1000960000000001E-4</v>
      </c>
      <c r="Y265" s="122"/>
    </row>
    <row r="266" spans="1:25" s="90" customFormat="1">
      <c r="A266" s="95" t="s">
        <v>1470</v>
      </c>
      <c r="B266" s="95" t="s">
        <v>1631</v>
      </c>
      <c r="C266" s="95" t="s">
        <v>1427</v>
      </c>
      <c r="D266" s="101" t="s">
        <v>1473</v>
      </c>
      <c r="E266" s="101" t="s">
        <v>1455</v>
      </c>
      <c r="F266" s="101" t="s">
        <v>1670</v>
      </c>
      <c r="G266" s="101" t="s">
        <v>1442</v>
      </c>
      <c r="H266" s="97" t="str">
        <f>IFERROR(VLOOKUP(I266,'Raw material list'!$A$3:$C$695,3,0),"")</f>
        <v>DRS6-537</v>
      </c>
      <c r="I266" s="97" t="s">
        <v>25</v>
      </c>
      <c r="J266" s="101" t="s">
        <v>111</v>
      </c>
      <c r="K266" s="101" t="str">
        <f>IFERROR(VLOOKUP(I266,'Raw material list'!$A$3:$E$695,5,0),"")</f>
        <v xml:space="preserve">Gram </v>
      </c>
      <c r="L266" s="95">
        <v>0.32</v>
      </c>
      <c r="M266" s="98">
        <f t="shared" si="55"/>
        <v>0.32</v>
      </c>
      <c r="N266" s="98">
        <v>100</v>
      </c>
      <c r="O266" s="95">
        <v>10</v>
      </c>
      <c r="P266" s="98">
        <f t="shared" si="51"/>
        <v>3.2000000000000001E-2</v>
      </c>
      <c r="Q266" s="99">
        <f>IFERROR(VLOOKUP(I266,'Raw material list'!$A$3:$F$695,6,0),"")</f>
        <v>3.5000000000000003E-2</v>
      </c>
      <c r="R266" s="100">
        <f t="shared" si="54"/>
        <v>1.1200000000000001E-3</v>
      </c>
      <c r="S266" s="94">
        <f t="shared" si="56"/>
        <v>1.1200000000000001E-4</v>
      </c>
      <c r="T266" s="94">
        <f t="shared" si="57"/>
        <v>1.232E-3</v>
      </c>
      <c r="U266" s="93">
        <f t="shared" si="58"/>
        <v>1.2320000000000001E-4</v>
      </c>
      <c r="V266" s="93">
        <f t="shared" si="59"/>
        <v>1.2320000000000001E-5</v>
      </c>
      <c r="W266" s="93">
        <f t="shared" si="60"/>
        <v>1.2320000000000001E-5</v>
      </c>
      <c r="X266" s="93">
        <f t="shared" si="61"/>
        <v>1.3798399999999998E-3</v>
      </c>
      <c r="Y266" s="122"/>
    </row>
    <row r="267" spans="1:25" s="90" customFormat="1">
      <c r="A267" s="95" t="s">
        <v>1470</v>
      </c>
      <c r="B267" s="95" t="s">
        <v>1631</v>
      </c>
      <c r="C267" s="95" t="s">
        <v>1427</v>
      </c>
      <c r="D267" s="101" t="s">
        <v>1473</v>
      </c>
      <c r="E267" s="101" t="s">
        <v>1455</v>
      </c>
      <c r="F267" s="101" t="s">
        <v>1670</v>
      </c>
      <c r="G267" s="101" t="s">
        <v>1442</v>
      </c>
      <c r="H267" s="97" t="str">
        <f>IFERROR(VLOOKUP(I267,'Raw material list'!$A$3:$C$695,3,0),"")</f>
        <v>DRS1-114</v>
      </c>
      <c r="I267" s="97" t="s">
        <v>279</v>
      </c>
      <c r="J267" s="101" t="s">
        <v>111</v>
      </c>
      <c r="K267" s="101" t="str">
        <f>IFERROR(VLOOKUP(I267,'Raw material list'!$A$3:$E$695,5,0),"")</f>
        <v xml:space="preserve">Gram </v>
      </c>
      <c r="L267" s="95">
        <v>0.82</v>
      </c>
      <c r="M267" s="98">
        <f t="shared" si="55"/>
        <v>0.81999999999999984</v>
      </c>
      <c r="N267" s="98">
        <v>100</v>
      </c>
      <c r="O267" s="95">
        <v>10</v>
      </c>
      <c r="P267" s="98">
        <f t="shared" si="51"/>
        <v>8.199999999999999E-2</v>
      </c>
      <c r="Q267" s="99">
        <f>IFERROR(VLOOKUP(I267,'Raw material list'!$A$3:$F$695,6,0),"")</f>
        <v>4.7489823609226586E-3</v>
      </c>
      <c r="R267" s="100">
        <f t="shared" si="54"/>
        <v>3.8941655359565794E-4</v>
      </c>
      <c r="S267" s="94">
        <f t="shared" si="56"/>
        <v>3.8941655359565795E-5</v>
      </c>
      <c r="T267" s="94">
        <f t="shared" si="57"/>
        <v>4.2835820895522372E-4</v>
      </c>
      <c r="U267" s="93">
        <f t="shared" si="58"/>
        <v>4.2835820895522374E-5</v>
      </c>
      <c r="V267" s="93">
        <f t="shared" si="59"/>
        <v>4.2835820895522372E-6</v>
      </c>
      <c r="W267" s="93">
        <f t="shared" si="60"/>
        <v>4.2835820895522372E-6</v>
      </c>
      <c r="X267" s="93">
        <f t="shared" si="61"/>
        <v>4.7976119402985055E-4</v>
      </c>
      <c r="Y267" s="122"/>
    </row>
    <row r="268" spans="1:25" s="90" customFormat="1">
      <c r="A268" s="95" t="s">
        <v>1470</v>
      </c>
      <c r="B268" s="95" t="s">
        <v>1631</v>
      </c>
      <c r="C268" s="95" t="s">
        <v>1427</v>
      </c>
      <c r="D268" s="101" t="s">
        <v>1473</v>
      </c>
      <c r="E268" s="101" t="s">
        <v>1455</v>
      </c>
      <c r="F268" s="101" t="s">
        <v>1670</v>
      </c>
      <c r="G268" s="101" t="s">
        <v>1442</v>
      </c>
      <c r="H268" s="97" t="str">
        <f>IFERROR(VLOOKUP(I268,'Raw material list'!$A$3:$C$695,3,0),"")</f>
        <v>WAT-001</v>
      </c>
      <c r="I268" s="97" t="s">
        <v>1406</v>
      </c>
      <c r="J268" s="101" t="s">
        <v>161</v>
      </c>
      <c r="K268" s="101" t="str">
        <f>IFERROR(VLOOKUP(I268,'Raw material list'!$A$3:$E$695,5,0),"")</f>
        <v>Ml</v>
      </c>
      <c r="L268" s="95">
        <v>8.23</v>
      </c>
      <c r="M268" s="98">
        <f t="shared" si="55"/>
        <v>8.23</v>
      </c>
      <c r="N268" s="98">
        <v>100</v>
      </c>
      <c r="O268" s="95">
        <v>10</v>
      </c>
      <c r="P268" s="98">
        <f t="shared" si="51"/>
        <v>0.82300000000000006</v>
      </c>
      <c r="Q268" s="99">
        <f>IFERROR(VLOOKUP(I268,'Raw material list'!$A$3:$F$695,6,0),"")</f>
        <v>8.0000000000000007E-5</v>
      </c>
      <c r="R268" s="100">
        <f t="shared" si="54"/>
        <v>6.5840000000000007E-5</v>
      </c>
      <c r="S268" s="94">
        <f t="shared" si="56"/>
        <v>6.5840000000000008E-6</v>
      </c>
      <c r="T268" s="94">
        <f t="shared" si="57"/>
        <v>7.242400000000001E-5</v>
      </c>
      <c r="U268" s="93">
        <f t="shared" si="58"/>
        <v>7.2424000000000012E-6</v>
      </c>
      <c r="V268" s="93">
        <f t="shared" si="59"/>
        <v>7.2424000000000014E-7</v>
      </c>
      <c r="W268" s="93">
        <f t="shared" si="60"/>
        <v>7.2424000000000014E-7</v>
      </c>
      <c r="X268" s="93">
        <f t="shared" si="61"/>
        <v>8.1114880000000017E-5</v>
      </c>
      <c r="Y268" s="122"/>
    </row>
    <row r="269" spans="1:25" s="90" customFormat="1">
      <c r="A269" s="95" t="s">
        <v>1470</v>
      </c>
      <c r="B269" s="95" t="s">
        <v>1631</v>
      </c>
      <c r="C269" s="95" t="s">
        <v>1427</v>
      </c>
      <c r="D269" s="101" t="s">
        <v>1473</v>
      </c>
      <c r="E269" s="101" t="s">
        <v>1455</v>
      </c>
      <c r="F269" s="101" t="s">
        <v>1670</v>
      </c>
      <c r="G269" s="101" t="s">
        <v>1442</v>
      </c>
      <c r="H269" s="97" t="str">
        <f>IFERROR(VLOOKUP(I269,'Raw material list'!$A$3:$C$695,3,0),"")</f>
        <v>DRY1-602</v>
      </c>
      <c r="I269" s="97" t="s">
        <v>65</v>
      </c>
      <c r="J269" s="101" t="s">
        <v>111</v>
      </c>
      <c r="K269" s="101" t="str">
        <f>IFERROR(VLOOKUP(I269,'Raw material list'!$A$3:$E$695,5,0),"")</f>
        <v xml:space="preserve">Gram </v>
      </c>
      <c r="L269" s="95">
        <v>3.29</v>
      </c>
      <c r="M269" s="98">
        <f t="shared" si="55"/>
        <v>3.29</v>
      </c>
      <c r="N269" s="98">
        <v>100</v>
      </c>
      <c r="O269" s="95">
        <v>10</v>
      </c>
      <c r="P269" s="98">
        <f t="shared" si="51"/>
        <v>0.32900000000000001</v>
      </c>
      <c r="Q269" s="99">
        <f>IFERROR(VLOOKUP(I269,'Raw material list'!$A$3:$F$695,6,0),"")</f>
        <v>5.5E-2</v>
      </c>
      <c r="R269" s="100">
        <f t="shared" si="54"/>
        <v>1.8095E-2</v>
      </c>
      <c r="S269" s="94">
        <f t="shared" si="56"/>
        <v>1.8095000000000001E-3</v>
      </c>
      <c r="T269" s="94">
        <f t="shared" si="57"/>
        <v>1.9904499999999999E-2</v>
      </c>
      <c r="U269" s="93">
        <f t="shared" si="58"/>
        <v>1.9904499999999999E-3</v>
      </c>
      <c r="V269" s="93">
        <f t="shared" si="59"/>
        <v>1.9904499999999999E-4</v>
      </c>
      <c r="W269" s="93">
        <f t="shared" si="60"/>
        <v>1.9904499999999999E-4</v>
      </c>
      <c r="X269" s="93">
        <f t="shared" si="61"/>
        <v>2.2293039999999997E-2</v>
      </c>
      <c r="Y269" s="122"/>
    </row>
    <row r="270" spans="1:25">
      <c r="A270" s="95" t="s">
        <v>1481</v>
      </c>
      <c r="B270" s="95" t="s">
        <v>1631</v>
      </c>
      <c r="C270" s="95" t="s">
        <v>1427</v>
      </c>
      <c r="D270" s="101" t="s">
        <v>1475</v>
      </c>
      <c r="E270" s="101" t="s">
        <v>1662</v>
      </c>
      <c r="F270" s="101" t="s">
        <v>1669</v>
      </c>
      <c r="G270" s="101"/>
      <c r="H270" s="97" t="str">
        <f>IFERROR(VLOOKUP(I270,'Raw material list'!$A$3:$C$695,3,0),"")</f>
        <v>BKR1-1327</v>
      </c>
      <c r="I270" s="97" t="s">
        <v>118</v>
      </c>
      <c r="J270" s="101" t="s">
        <v>120</v>
      </c>
      <c r="K270" s="101" t="str">
        <f>IFERROR(VLOOKUP(I270,'Raw material list'!$A$3:$E$695,5,0),"")</f>
        <v>Slice</v>
      </c>
      <c r="L270" s="95">
        <v>10</v>
      </c>
      <c r="M270" s="98">
        <f t="shared" si="55"/>
        <v>10</v>
      </c>
      <c r="N270" s="98">
        <v>100</v>
      </c>
      <c r="O270" s="95">
        <v>10</v>
      </c>
      <c r="P270" s="98">
        <f t="shared" si="51"/>
        <v>1</v>
      </c>
      <c r="Q270" s="99">
        <f>IFERROR(VLOOKUP(I270,'Raw material list'!$A$3:$F$695,6,0),"")</f>
        <v>0.22222222222222221</v>
      </c>
      <c r="R270" s="100">
        <f t="shared" si="54"/>
        <v>0.22222222222222221</v>
      </c>
      <c r="S270" s="94">
        <f t="shared" si="56"/>
        <v>2.2222222222222223E-2</v>
      </c>
      <c r="T270" s="94">
        <f t="shared" si="57"/>
        <v>0.24444444444444444</v>
      </c>
      <c r="U270" s="93">
        <f t="shared" si="58"/>
        <v>2.4444444444444446E-2</v>
      </c>
      <c r="V270" s="93">
        <f t="shared" si="59"/>
        <v>2.4444444444444444E-3</v>
      </c>
      <c r="W270" s="93">
        <f t="shared" si="60"/>
        <v>2.4444444444444444E-3</v>
      </c>
      <c r="X270" s="93">
        <f t="shared" si="61"/>
        <v>0.27377777777777784</v>
      </c>
      <c r="Y270" s="121"/>
    </row>
    <row r="271" spans="1:25">
      <c r="A271" s="95" t="s">
        <v>1481</v>
      </c>
      <c r="B271" s="95" t="s">
        <v>1631</v>
      </c>
      <c r="C271" s="95" t="s">
        <v>1427</v>
      </c>
      <c r="D271" s="101" t="s">
        <v>1475</v>
      </c>
      <c r="E271" s="101" t="s">
        <v>1662</v>
      </c>
      <c r="F271" s="95" t="s">
        <v>1669</v>
      </c>
      <c r="G271" s="101" t="s">
        <v>1476</v>
      </c>
      <c r="H271" s="97" t="str">
        <f>IFERROR(VLOOKUP(I271,'Raw material list'!$A$3:$C$695,3,0),"")</f>
        <v>DRS1-1768</v>
      </c>
      <c r="I271" s="97" t="s">
        <v>192</v>
      </c>
      <c r="J271" s="101" t="s">
        <v>111</v>
      </c>
      <c r="K271" s="101" t="str">
        <f>IFERROR(VLOOKUP(I271,'Raw material list'!$A$3:$E$695,5,0),"")</f>
        <v xml:space="preserve">Gram </v>
      </c>
      <c r="L271" s="95">
        <v>10</v>
      </c>
      <c r="M271" s="98">
        <f t="shared" si="55"/>
        <v>10</v>
      </c>
      <c r="N271" s="98">
        <v>100</v>
      </c>
      <c r="O271" s="95">
        <v>10</v>
      </c>
      <c r="P271" s="98">
        <f t="shared" si="51"/>
        <v>1</v>
      </c>
      <c r="Q271" s="99">
        <f>IFERROR(VLOOKUP(I271,'Raw material list'!$A$3:$F$695,6,0),"")</f>
        <v>1.29E-2</v>
      </c>
      <c r="R271" s="100">
        <f t="shared" si="54"/>
        <v>1.29E-2</v>
      </c>
      <c r="S271" s="94">
        <f t="shared" si="56"/>
        <v>1.2900000000000001E-3</v>
      </c>
      <c r="T271" s="94">
        <f t="shared" si="57"/>
        <v>1.4189999999999999E-2</v>
      </c>
      <c r="U271" s="93">
        <f t="shared" si="58"/>
        <v>1.4190000000000001E-3</v>
      </c>
      <c r="V271" s="93">
        <f t="shared" si="59"/>
        <v>1.4190000000000001E-4</v>
      </c>
      <c r="W271" s="93">
        <f t="shared" si="60"/>
        <v>1.4190000000000001E-4</v>
      </c>
      <c r="X271" s="93">
        <f t="shared" si="61"/>
        <v>1.5892799999999999E-2</v>
      </c>
      <c r="Y271" s="121"/>
    </row>
    <row r="272" spans="1:25">
      <c r="A272" s="95" t="s">
        <v>1481</v>
      </c>
      <c r="B272" s="95" t="s">
        <v>1631</v>
      </c>
      <c r="C272" s="95" t="s">
        <v>1427</v>
      </c>
      <c r="D272" s="101" t="s">
        <v>1475</v>
      </c>
      <c r="E272" s="101" t="s">
        <v>1662</v>
      </c>
      <c r="F272" s="101" t="s">
        <v>1670</v>
      </c>
      <c r="G272" s="101"/>
      <c r="H272" s="97" t="str">
        <f>IFERROR(VLOOKUP(I272,'Raw material list'!$A$3:$C$695,3,0),"")</f>
        <v>DRS1-5208</v>
      </c>
      <c r="I272" s="97" t="s">
        <v>788</v>
      </c>
      <c r="J272" s="101" t="s">
        <v>111</v>
      </c>
      <c r="K272" s="101" t="str">
        <f>IFERROR(VLOOKUP(I272,'Raw material list'!$A$3:$E$695,5,0),"")</f>
        <v xml:space="preserve">Gram </v>
      </c>
      <c r="L272" s="95">
        <v>200</v>
      </c>
      <c r="M272" s="98">
        <f t="shared" si="55"/>
        <v>200</v>
      </c>
      <c r="N272" s="98">
        <v>100</v>
      </c>
      <c r="O272" s="95">
        <v>10</v>
      </c>
      <c r="P272" s="98">
        <f t="shared" si="51"/>
        <v>20</v>
      </c>
      <c r="Q272" s="99">
        <f>IFERROR(VLOOKUP(I272,'Raw material list'!$A$3:$F$695,6,0),"")</f>
        <v>0.14000000000000001</v>
      </c>
      <c r="R272" s="100">
        <f t="shared" si="54"/>
        <v>2.8000000000000003</v>
      </c>
      <c r="S272" s="94">
        <f t="shared" si="56"/>
        <v>0.28000000000000003</v>
      </c>
      <c r="T272" s="94">
        <f t="shared" si="57"/>
        <v>3.08</v>
      </c>
      <c r="U272" s="93">
        <f t="shared" si="58"/>
        <v>0.30800000000000005</v>
      </c>
      <c r="V272" s="93">
        <f t="shared" si="59"/>
        <v>3.0800000000000001E-2</v>
      </c>
      <c r="W272" s="93">
        <f t="shared" si="60"/>
        <v>3.0800000000000001E-2</v>
      </c>
      <c r="X272" s="93">
        <f t="shared" si="61"/>
        <v>3.4496000000000002</v>
      </c>
      <c r="Y272" s="121"/>
    </row>
    <row r="273" spans="1:25">
      <c r="A273" s="95" t="s">
        <v>1481</v>
      </c>
      <c r="B273" s="95" t="s">
        <v>1631</v>
      </c>
      <c r="C273" s="95" t="s">
        <v>1427</v>
      </c>
      <c r="D273" s="101" t="s">
        <v>1475</v>
      </c>
      <c r="E273" s="101" t="s">
        <v>1662</v>
      </c>
      <c r="F273" s="101" t="s">
        <v>1670</v>
      </c>
      <c r="G273" s="101" t="s">
        <v>1477</v>
      </c>
      <c r="H273" s="97" t="str">
        <f>IFERROR(VLOOKUP(I273,'Raw material list'!$A$3:$C$695,3,0),"")</f>
        <v>DRS1-4781</v>
      </c>
      <c r="I273" s="97" t="s">
        <v>285</v>
      </c>
      <c r="J273" s="101" t="s">
        <v>111</v>
      </c>
      <c r="K273" s="101" t="str">
        <f>IFERROR(VLOOKUP(I273,'Raw material list'!$A$3:$E$695,5,0),"")</f>
        <v xml:space="preserve">Gram </v>
      </c>
      <c r="L273" s="95">
        <v>450</v>
      </c>
      <c r="M273" s="98">
        <f t="shared" si="55"/>
        <v>450</v>
      </c>
      <c r="N273" s="98">
        <v>100</v>
      </c>
      <c r="O273" s="95">
        <v>10</v>
      </c>
      <c r="P273" s="98">
        <f t="shared" si="51"/>
        <v>45</v>
      </c>
      <c r="Q273" s="99">
        <f>IFERROR(VLOOKUP(I273,'Raw material list'!$A$3:$F$695,6,0),"")</f>
        <v>2.53E-2</v>
      </c>
      <c r="R273" s="100">
        <f t="shared" si="54"/>
        <v>1.1385000000000001</v>
      </c>
      <c r="S273" s="94">
        <f t="shared" si="56"/>
        <v>0.11385000000000001</v>
      </c>
      <c r="T273" s="94">
        <f t="shared" si="57"/>
        <v>1.2523500000000001</v>
      </c>
      <c r="U273" s="93">
        <f t="shared" si="58"/>
        <v>0.12523500000000001</v>
      </c>
      <c r="V273" s="93">
        <f t="shared" si="59"/>
        <v>1.2523500000000002E-2</v>
      </c>
      <c r="W273" s="93">
        <f t="shared" si="60"/>
        <v>1.2523500000000002E-2</v>
      </c>
      <c r="X273" s="93">
        <f t="shared" si="61"/>
        <v>1.4026319999999999</v>
      </c>
      <c r="Y273" s="121"/>
    </row>
    <row r="274" spans="1:25">
      <c r="A274" s="95" t="s">
        <v>1481</v>
      </c>
      <c r="B274" s="95" t="s">
        <v>1631</v>
      </c>
      <c r="C274" s="95" t="s">
        <v>1427</v>
      </c>
      <c r="D274" s="101" t="s">
        <v>1475</v>
      </c>
      <c r="E274" s="101" t="s">
        <v>1662</v>
      </c>
      <c r="F274" s="101" t="s">
        <v>1670</v>
      </c>
      <c r="G274" s="101" t="s">
        <v>1477</v>
      </c>
      <c r="H274" s="97" t="str">
        <f>IFERROR(VLOOKUP(I274,'Raw material list'!$A$3:$C$695,3,0),"")</f>
        <v>PRD1-4265</v>
      </c>
      <c r="I274" s="97" t="s">
        <v>10</v>
      </c>
      <c r="J274" s="101" t="s">
        <v>111</v>
      </c>
      <c r="K274" s="101" t="str">
        <f>IFERROR(VLOOKUP(I274,'Raw material list'!$A$3:$E$695,5,0),"")</f>
        <v xml:space="preserve">Gram </v>
      </c>
      <c r="L274" s="95">
        <v>150.15</v>
      </c>
      <c r="M274" s="98">
        <f t="shared" si="55"/>
        <v>176.64705882352942</v>
      </c>
      <c r="N274" s="98">
        <v>85</v>
      </c>
      <c r="O274" s="95">
        <v>10</v>
      </c>
      <c r="P274" s="98">
        <f t="shared" si="51"/>
        <v>15.015000000000001</v>
      </c>
      <c r="Q274" s="99">
        <f>IFERROR(VLOOKUP(I274,'Raw material list'!$A$3:$F$695,6,0),"")</f>
        <v>3.529411764705882E-3</v>
      </c>
      <c r="R274" s="100">
        <f t="shared" si="54"/>
        <v>5.2994117647058823E-2</v>
      </c>
      <c r="S274" s="94">
        <f t="shared" si="56"/>
        <v>5.2994117647058823E-3</v>
      </c>
      <c r="T274" s="94">
        <f t="shared" si="57"/>
        <v>5.8293529411764702E-2</v>
      </c>
      <c r="U274" s="93">
        <f t="shared" si="58"/>
        <v>5.8293529411764704E-3</v>
      </c>
      <c r="V274" s="93">
        <f t="shared" si="59"/>
        <v>5.8293529411764704E-4</v>
      </c>
      <c r="W274" s="93">
        <f t="shared" si="60"/>
        <v>5.8293529411764704E-4</v>
      </c>
      <c r="X274" s="93">
        <f t="shared" si="61"/>
        <v>6.5288752941176476E-2</v>
      </c>
      <c r="Y274" s="121"/>
    </row>
    <row r="275" spans="1:25">
      <c r="A275" s="95" t="s">
        <v>1481</v>
      </c>
      <c r="B275" s="95" t="s">
        <v>1631</v>
      </c>
      <c r="C275" s="95" t="s">
        <v>1427</v>
      </c>
      <c r="D275" s="101" t="s">
        <v>1475</v>
      </c>
      <c r="E275" s="101" t="s">
        <v>1662</v>
      </c>
      <c r="F275" s="101" t="s">
        <v>1670</v>
      </c>
      <c r="G275" s="101" t="s">
        <v>1477</v>
      </c>
      <c r="H275" s="97" t="str">
        <f>IFERROR(VLOOKUP(I275,'Raw material list'!$A$3:$C$695,3,0),"")</f>
        <v>PRD1-573</v>
      </c>
      <c r="I275" s="97" t="s">
        <v>1059</v>
      </c>
      <c r="J275" s="101" t="s">
        <v>111</v>
      </c>
      <c r="K275" s="101" t="str">
        <f>IFERROR(VLOOKUP(I275,'Raw material list'!$A$3:$E$695,5,0),"")</f>
        <v xml:space="preserve">Gram </v>
      </c>
      <c r="L275" s="95">
        <v>150.15</v>
      </c>
      <c r="M275" s="98">
        <f t="shared" si="55"/>
        <v>205.68493150684932</v>
      </c>
      <c r="N275" s="98">
        <v>73</v>
      </c>
      <c r="O275" s="95">
        <v>10</v>
      </c>
      <c r="P275" s="98">
        <f t="shared" si="51"/>
        <v>15.015000000000001</v>
      </c>
      <c r="Q275" s="99">
        <f>IFERROR(VLOOKUP(I275,'Raw material list'!$A$3:$F$695,6,0),"")</f>
        <v>5.4794520547945206E-3</v>
      </c>
      <c r="R275" s="100">
        <f t="shared" si="54"/>
        <v>8.2273972602739734E-2</v>
      </c>
      <c r="S275" s="94">
        <f t="shared" si="56"/>
        <v>8.2273972602739734E-3</v>
      </c>
      <c r="T275" s="94">
        <f t="shared" si="57"/>
        <v>9.0501369863013714E-2</v>
      </c>
      <c r="U275" s="93">
        <f t="shared" si="58"/>
        <v>9.0501369863013725E-3</v>
      </c>
      <c r="V275" s="93">
        <f t="shared" si="59"/>
        <v>9.0501369863013712E-4</v>
      </c>
      <c r="W275" s="93">
        <f t="shared" si="60"/>
        <v>9.0501369863013712E-4</v>
      </c>
      <c r="X275" s="93">
        <f t="shared" si="61"/>
        <v>0.10136153424657536</v>
      </c>
      <c r="Y275" s="123"/>
    </row>
    <row r="276" spans="1:25">
      <c r="A276" s="95" t="s">
        <v>1481</v>
      </c>
      <c r="B276" s="95" t="s">
        <v>1631</v>
      </c>
      <c r="C276" s="95" t="s">
        <v>1427</v>
      </c>
      <c r="D276" s="101" t="s">
        <v>1475</v>
      </c>
      <c r="E276" s="101" t="s">
        <v>1662</v>
      </c>
      <c r="F276" s="101" t="s">
        <v>1670</v>
      </c>
      <c r="G276" s="101" t="s">
        <v>1477</v>
      </c>
      <c r="H276" s="97" t="str">
        <f>IFERROR(VLOOKUP(I276,'Raw material list'!$A$3:$C$695,3,0),"")</f>
        <v>PRD1-191</v>
      </c>
      <c r="I276" s="97" t="s">
        <v>13</v>
      </c>
      <c r="J276" s="101" t="s">
        <v>111</v>
      </c>
      <c r="K276" s="101" t="str">
        <f>IFERROR(VLOOKUP(I276,'Raw material list'!$A$3:$E$695,5,0),"")</f>
        <v xml:space="preserve">Gram </v>
      </c>
      <c r="L276" s="95">
        <v>45.04</v>
      </c>
      <c r="M276" s="98">
        <f t="shared" si="55"/>
        <v>51.123723041997735</v>
      </c>
      <c r="N276" s="98">
        <v>88.1</v>
      </c>
      <c r="O276" s="95">
        <v>10</v>
      </c>
      <c r="P276" s="98">
        <f t="shared" si="51"/>
        <v>4.5039999999999996</v>
      </c>
      <c r="Q276" s="99">
        <f>IFERROR(VLOOKUP(I276,'Raw material list'!$A$3:$F$695,6,0),"")</f>
        <v>2.4971623155505111E-2</v>
      </c>
      <c r="R276" s="100">
        <f t="shared" si="54"/>
        <v>0.112472190692395</v>
      </c>
      <c r="S276" s="94">
        <f t="shared" si="56"/>
        <v>1.1247219069239501E-2</v>
      </c>
      <c r="T276" s="94">
        <f t="shared" si="57"/>
        <v>0.12371940976163451</v>
      </c>
      <c r="U276" s="93">
        <f t="shared" si="58"/>
        <v>1.2371940976163452E-2</v>
      </c>
      <c r="V276" s="93">
        <f t="shared" si="59"/>
        <v>1.2371940976163452E-3</v>
      </c>
      <c r="W276" s="93">
        <f t="shared" si="60"/>
        <v>1.2371940976163452E-3</v>
      </c>
      <c r="X276" s="93">
        <f t="shared" si="61"/>
        <v>0.13856573893303067</v>
      </c>
      <c r="Y276" s="121"/>
    </row>
    <row r="277" spans="1:25">
      <c r="A277" s="95" t="s">
        <v>1481</v>
      </c>
      <c r="B277" s="95" t="s">
        <v>1631</v>
      </c>
      <c r="C277" s="95" t="s">
        <v>1427</v>
      </c>
      <c r="D277" s="101" t="s">
        <v>1475</v>
      </c>
      <c r="E277" s="101" t="s">
        <v>1662</v>
      </c>
      <c r="F277" s="101" t="s">
        <v>1670</v>
      </c>
      <c r="G277" s="101" t="s">
        <v>1477</v>
      </c>
      <c r="H277" s="97" t="str">
        <f>IFERROR(VLOOKUP(I277,'Raw material list'!$A$3:$C$695,3,0),"")</f>
        <v>DRS3-1615</v>
      </c>
      <c r="I277" s="97" t="s">
        <v>24</v>
      </c>
      <c r="J277" s="101" t="s">
        <v>161</v>
      </c>
      <c r="K277" s="101" t="str">
        <f>IFERROR(VLOOKUP(I277,'Raw material list'!$A$3:$E$695,5,0),"")</f>
        <v>Ml</v>
      </c>
      <c r="L277" s="95">
        <v>7.5</v>
      </c>
      <c r="M277" s="98">
        <f t="shared" si="55"/>
        <v>7.5</v>
      </c>
      <c r="N277" s="98">
        <v>100</v>
      </c>
      <c r="O277" s="95">
        <v>10</v>
      </c>
      <c r="P277" s="98">
        <f t="shared" si="51"/>
        <v>0.75</v>
      </c>
      <c r="Q277" s="99">
        <f>IFERROR(VLOOKUP(I277,'Raw material list'!$A$3:$F$695,6,0),"")</f>
        <v>1.2E-2</v>
      </c>
      <c r="R277" s="100">
        <f t="shared" si="54"/>
        <v>9.0000000000000011E-3</v>
      </c>
      <c r="S277" s="94">
        <f t="shared" si="56"/>
        <v>9.0000000000000019E-4</v>
      </c>
      <c r="T277" s="94">
        <f t="shared" si="57"/>
        <v>9.9000000000000008E-3</v>
      </c>
      <c r="U277" s="93">
        <f t="shared" si="58"/>
        <v>9.9000000000000021E-4</v>
      </c>
      <c r="V277" s="93">
        <f t="shared" si="59"/>
        <v>9.9000000000000008E-5</v>
      </c>
      <c r="W277" s="93">
        <f t="shared" si="60"/>
        <v>9.9000000000000008E-5</v>
      </c>
      <c r="X277" s="93">
        <f t="shared" si="61"/>
        <v>1.1088000000000001E-2</v>
      </c>
      <c r="Y277" s="121"/>
    </row>
    <row r="278" spans="1:25">
      <c r="A278" s="95" t="s">
        <v>1481</v>
      </c>
      <c r="B278" s="95" t="s">
        <v>1631</v>
      </c>
      <c r="C278" s="95" t="s">
        <v>1427</v>
      </c>
      <c r="D278" s="101" t="s">
        <v>1475</v>
      </c>
      <c r="E278" s="101" t="s">
        <v>1662</v>
      </c>
      <c r="F278" s="101" t="s">
        <v>1670</v>
      </c>
      <c r="G278" s="101" t="s">
        <v>1477</v>
      </c>
      <c r="H278" s="97" t="str">
        <f>IFERROR(VLOOKUP(I278,'Raw material list'!$A$3:$C$695,3,0),"")</f>
        <v>DRS1-114</v>
      </c>
      <c r="I278" s="97" t="s">
        <v>279</v>
      </c>
      <c r="J278" s="101" t="s">
        <v>111</v>
      </c>
      <c r="K278" s="101" t="str">
        <f>IFERROR(VLOOKUP(I278,'Raw material list'!$A$3:$E$695,5,0),"")</f>
        <v xml:space="preserve">Gram </v>
      </c>
      <c r="L278" s="95">
        <v>1.5</v>
      </c>
      <c r="M278" s="98">
        <f t="shared" si="55"/>
        <v>1.5</v>
      </c>
      <c r="N278" s="98">
        <v>100</v>
      </c>
      <c r="O278" s="95">
        <v>10</v>
      </c>
      <c r="P278" s="98">
        <f t="shared" si="51"/>
        <v>0.15</v>
      </c>
      <c r="Q278" s="99">
        <f>IFERROR(VLOOKUP(I278,'Raw material list'!$A$3:$F$695,6,0),"")</f>
        <v>4.7489823609226586E-3</v>
      </c>
      <c r="R278" s="100">
        <f t="shared" si="54"/>
        <v>7.1234735413839873E-4</v>
      </c>
      <c r="S278" s="94">
        <f t="shared" si="56"/>
        <v>7.1234735413839881E-5</v>
      </c>
      <c r="T278" s="94">
        <f t="shared" si="57"/>
        <v>7.8358208955223857E-4</v>
      </c>
      <c r="U278" s="93">
        <f t="shared" si="58"/>
        <v>7.8358208955223862E-5</v>
      </c>
      <c r="V278" s="93">
        <f t="shared" si="59"/>
        <v>7.8358208955223852E-6</v>
      </c>
      <c r="W278" s="93">
        <f t="shared" si="60"/>
        <v>7.8358208955223852E-6</v>
      </c>
      <c r="X278" s="93">
        <f t="shared" si="61"/>
        <v>8.7761194029850728E-4</v>
      </c>
      <c r="Y278" s="121"/>
    </row>
    <row r="279" spans="1:25">
      <c r="A279" s="95" t="s">
        <v>1481</v>
      </c>
      <c r="B279" s="95" t="s">
        <v>1631</v>
      </c>
      <c r="C279" s="95" t="s">
        <v>1427</v>
      </c>
      <c r="D279" s="101" t="s">
        <v>1475</v>
      </c>
      <c r="E279" s="101" t="s">
        <v>1662</v>
      </c>
      <c r="F279" s="101" t="s">
        <v>1670</v>
      </c>
      <c r="G279" s="101" t="s">
        <v>1477</v>
      </c>
      <c r="H279" s="97" t="str">
        <f>IFERROR(VLOOKUP(I279,'Raw material list'!$A$3:$C$695,3,0),"")</f>
        <v>DRS6-537</v>
      </c>
      <c r="I279" s="97" t="s">
        <v>25</v>
      </c>
      <c r="J279" s="101" t="s">
        <v>111</v>
      </c>
      <c r="K279" s="101" t="str">
        <f>IFERROR(VLOOKUP(I279,'Raw material list'!$A$3:$E$695,5,0),"")</f>
        <v xml:space="preserve">Gram </v>
      </c>
      <c r="L279" s="95">
        <v>1.5</v>
      </c>
      <c r="M279" s="98">
        <f t="shared" si="55"/>
        <v>1.5</v>
      </c>
      <c r="N279" s="98">
        <v>100</v>
      </c>
      <c r="O279" s="95">
        <v>10</v>
      </c>
      <c r="P279" s="98">
        <f t="shared" si="51"/>
        <v>0.15</v>
      </c>
      <c r="Q279" s="99">
        <f>IFERROR(VLOOKUP(I279,'Raw material list'!$A$3:$F$695,6,0),"")</f>
        <v>3.5000000000000003E-2</v>
      </c>
      <c r="R279" s="100">
        <f t="shared" si="54"/>
        <v>5.2500000000000003E-3</v>
      </c>
      <c r="S279" s="94">
        <f t="shared" si="56"/>
        <v>5.2500000000000008E-4</v>
      </c>
      <c r="T279" s="94">
        <f t="shared" si="57"/>
        <v>5.7750000000000006E-3</v>
      </c>
      <c r="U279" s="93">
        <f t="shared" si="58"/>
        <v>5.7750000000000011E-4</v>
      </c>
      <c r="V279" s="93">
        <f t="shared" si="59"/>
        <v>5.7750000000000008E-5</v>
      </c>
      <c r="W279" s="93">
        <f t="shared" si="60"/>
        <v>5.7750000000000008E-5</v>
      </c>
      <c r="X279" s="93">
        <f t="shared" si="61"/>
        <v>6.4679999999999998E-3</v>
      </c>
      <c r="Y279" s="121"/>
    </row>
    <row r="280" spans="1:25">
      <c r="A280" s="95" t="s">
        <v>1481</v>
      </c>
      <c r="B280" s="95" t="s">
        <v>1631</v>
      </c>
      <c r="C280" s="95" t="s">
        <v>1427</v>
      </c>
      <c r="D280" s="101" t="s">
        <v>1475</v>
      </c>
      <c r="E280" s="101" t="s">
        <v>1662</v>
      </c>
      <c r="F280" s="101" t="s">
        <v>1670</v>
      </c>
      <c r="G280" s="101" t="s">
        <v>1477</v>
      </c>
      <c r="H280" s="97" t="str">
        <f>IFERROR(VLOOKUP(I280,'Raw material list'!$A$3:$C$695,3,0),"")</f>
        <v>PRD1-209</v>
      </c>
      <c r="I280" s="97" t="s">
        <v>26</v>
      </c>
      <c r="J280" s="101" t="s">
        <v>111</v>
      </c>
      <c r="K280" s="101" t="str">
        <f>IFERROR(VLOOKUP(I280,'Raw material list'!$A$3:$E$695,5,0),"")</f>
        <v xml:space="preserve">Gram </v>
      </c>
      <c r="L280" s="95">
        <f>7.5*2</f>
        <v>15</v>
      </c>
      <c r="M280" s="98">
        <f t="shared" si="55"/>
        <v>39.473684210526315</v>
      </c>
      <c r="N280" s="98">
        <v>38</v>
      </c>
      <c r="O280" s="95">
        <v>10</v>
      </c>
      <c r="P280" s="98">
        <f t="shared" si="51"/>
        <v>1.5</v>
      </c>
      <c r="Q280" s="99">
        <f>IFERROR(VLOOKUP(I280,'Raw material list'!$A$3:$F$695,6,0),"")</f>
        <v>1.0088272383354351E-2</v>
      </c>
      <c r="R280" s="100">
        <f t="shared" si="54"/>
        <v>1.5132408575031526E-2</v>
      </c>
      <c r="S280" s="94">
        <f t="shared" si="56"/>
        <v>1.5132408575031526E-3</v>
      </c>
      <c r="T280" s="94">
        <f t="shared" si="57"/>
        <v>1.664564943253468E-2</v>
      </c>
      <c r="U280" s="93">
        <f t="shared" si="58"/>
        <v>1.6645649432534681E-3</v>
      </c>
      <c r="V280" s="93">
        <f t="shared" si="59"/>
        <v>1.6645649432534682E-4</v>
      </c>
      <c r="W280" s="93">
        <f t="shared" si="60"/>
        <v>1.6645649432534682E-4</v>
      </c>
      <c r="X280" s="93">
        <f t="shared" si="61"/>
        <v>1.8643127364438843E-2</v>
      </c>
      <c r="Y280" s="123"/>
    </row>
    <row r="281" spans="1:25">
      <c r="A281" s="95" t="s">
        <v>1481</v>
      </c>
      <c r="B281" s="95" t="s">
        <v>1631</v>
      </c>
      <c r="C281" s="95" t="s">
        <v>1427</v>
      </c>
      <c r="D281" s="101" t="s">
        <v>1475</v>
      </c>
      <c r="E281" s="101" t="s">
        <v>1662</v>
      </c>
      <c r="F281" s="101" t="s">
        <v>1670</v>
      </c>
      <c r="G281" s="101" t="s">
        <v>1477</v>
      </c>
      <c r="H281" s="97" t="str">
        <f>IFERROR(VLOOKUP(I281,'Raw material list'!$A$3:$C$695,3,0),"")</f>
        <v>DRY2-1858</v>
      </c>
      <c r="I281" s="97" t="s">
        <v>42</v>
      </c>
      <c r="J281" s="101" t="s">
        <v>161</v>
      </c>
      <c r="K281" s="101" t="str">
        <f>IFERROR(VLOOKUP(I281,'Raw material list'!$A$3:$E$695,5,0),"")</f>
        <v>Ml</v>
      </c>
      <c r="L281" s="95">
        <v>30.03</v>
      </c>
      <c r="M281" s="98">
        <f t="shared" si="55"/>
        <v>30.03</v>
      </c>
      <c r="N281" s="98">
        <v>100</v>
      </c>
      <c r="O281" s="95">
        <v>10</v>
      </c>
      <c r="P281" s="98">
        <f t="shared" si="51"/>
        <v>3.0030000000000001</v>
      </c>
      <c r="Q281" s="99">
        <f>IFERROR(VLOOKUP(I281,'Raw material list'!$A$3:$F$695,6,0),"")</f>
        <v>9.8800000000000016E-3</v>
      </c>
      <c r="R281" s="100">
        <f t="shared" si="54"/>
        <v>2.9669640000000008E-2</v>
      </c>
      <c r="S281" s="94">
        <f t="shared" si="56"/>
        <v>2.9669640000000008E-3</v>
      </c>
      <c r="T281" s="94">
        <f t="shared" si="57"/>
        <v>3.2636604000000007E-2</v>
      </c>
      <c r="U281" s="93">
        <f t="shared" si="58"/>
        <v>3.2636604000000008E-3</v>
      </c>
      <c r="V281" s="93">
        <f t="shared" si="59"/>
        <v>3.2636604000000008E-4</v>
      </c>
      <c r="W281" s="93">
        <f t="shared" si="60"/>
        <v>3.2636604000000008E-4</v>
      </c>
      <c r="X281" s="93">
        <f t="shared" si="61"/>
        <v>3.6552996480000002E-2</v>
      </c>
      <c r="Y281" s="121"/>
    </row>
    <row r="282" spans="1:25">
      <c r="A282" s="95" t="s">
        <v>1481</v>
      </c>
      <c r="B282" s="95" t="s">
        <v>1631</v>
      </c>
      <c r="C282" s="95" t="s">
        <v>1427</v>
      </c>
      <c r="D282" s="101" t="s">
        <v>1475</v>
      </c>
      <c r="E282" s="101" t="s">
        <v>1662</v>
      </c>
      <c r="F282" s="101" t="s">
        <v>1670</v>
      </c>
      <c r="G282" s="101" t="s">
        <v>1478</v>
      </c>
      <c r="H282" s="97" t="str">
        <f>IFERROR(VLOOKUP(I282,'Raw material list'!$A$3:$C$695,3,0),"")</f>
        <v>DRS1-1652</v>
      </c>
      <c r="I282" s="97" t="s">
        <v>1425</v>
      </c>
      <c r="J282" s="101" t="s">
        <v>111</v>
      </c>
      <c r="K282" s="101" t="str">
        <f>IFERROR(VLOOKUP(I282,'Raw material list'!$A$3:$E$695,5,0),"")</f>
        <v xml:space="preserve">Gram </v>
      </c>
      <c r="L282" s="95">
        <v>137.16999999999999</v>
      </c>
      <c r="M282" s="98">
        <f t="shared" si="55"/>
        <v>137.16999999999999</v>
      </c>
      <c r="N282" s="98">
        <v>100</v>
      </c>
      <c r="O282" s="95">
        <v>10</v>
      </c>
      <c r="P282" s="98">
        <f t="shared" si="51"/>
        <v>13.716999999999999</v>
      </c>
      <c r="Q282" s="99">
        <f>IFERROR(VLOOKUP(I282,'Raw material list'!$A$3:$F$695,6,0),"")</f>
        <v>1.2800000000000001E-2</v>
      </c>
      <c r="R282" s="100">
        <f t="shared" si="54"/>
        <v>0.1755776</v>
      </c>
      <c r="S282" s="94">
        <f t="shared" si="56"/>
        <v>1.7557760000000002E-2</v>
      </c>
      <c r="T282" s="94">
        <f t="shared" si="57"/>
        <v>0.19313536000000001</v>
      </c>
      <c r="U282" s="93">
        <f t="shared" si="58"/>
        <v>1.9313536000000003E-2</v>
      </c>
      <c r="V282" s="93">
        <f t="shared" si="59"/>
        <v>1.9313536E-3</v>
      </c>
      <c r="W282" s="93">
        <f t="shared" si="60"/>
        <v>1.9313536E-3</v>
      </c>
      <c r="X282" s="93">
        <f t="shared" si="61"/>
        <v>0.21631160319999998</v>
      </c>
      <c r="Y282" s="121"/>
    </row>
    <row r="283" spans="1:25">
      <c r="A283" s="95" t="s">
        <v>1481</v>
      </c>
      <c r="B283" s="95" t="s">
        <v>1631</v>
      </c>
      <c r="C283" s="95" t="s">
        <v>1427</v>
      </c>
      <c r="D283" s="101" t="s">
        <v>1475</v>
      </c>
      <c r="E283" s="101" t="s">
        <v>1662</v>
      </c>
      <c r="F283" s="101" t="s">
        <v>1670</v>
      </c>
      <c r="G283" s="101" t="s">
        <v>1478</v>
      </c>
      <c r="H283" s="97" t="str">
        <f>IFERROR(VLOOKUP(I283,'Raw material list'!$A$3:$C$695,3,0),"")</f>
        <v>DRS1-5208</v>
      </c>
      <c r="I283" s="97" t="s">
        <v>788</v>
      </c>
      <c r="J283" s="101" t="s">
        <v>111</v>
      </c>
      <c r="K283" s="101" t="str">
        <f>IFERROR(VLOOKUP(I283,'Raw material list'!$A$3:$E$695,5,0),"")</f>
        <v xml:space="preserve">Gram </v>
      </c>
      <c r="L283" s="95">
        <v>41.15</v>
      </c>
      <c r="M283" s="98">
        <f t="shared" si="55"/>
        <v>41.15</v>
      </c>
      <c r="N283" s="98">
        <v>100</v>
      </c>
      <c r="O283" s="95">
        <v>10</v>
      </c>
      <c r="P283" s="98">
        <f t="shared" si="51"/>
        <v>4.1150000000000002</v>
      </c>
      <c r="Q283" s="99">
        <f>IFERROR(VLOOKUP(I283,'Raw material list'!$A$3:$F$695,6,0),"")</f>
        <v>0.14000000000000001</v>
      </c>
      <c r="R283" s="100">
        <f t="shared" si="54"/>
        <v>0.57610000000000006</v>
      </c>
      <c r="S283" s="94">
        <f t="shared" si="56"/>
        <v>5.7610000000000008E-2</v>
      </c>
      <c r="T283" s="94">
        <f t="shared" si="57"/>
        <v>0.63371000000000011</v>
      </c>
      <c r="U283" s="93">
        <f t="shared" si="58"/>
        <v>6.3371000000000011E-2</v>
      </c>
      <c r="V283" s="93">
        <f t="shared" si="59"/>
        <v>6.3371000000000009E-3</v>
      </c>
      <c r="W283" s="93">
        <f t="shared" si="60"/>
        <v>6.3371000000000009E-3</v>
      </c>
      <c r="X283" s="93">
        <f t="shared" si="61"/>
        <v>0.70975520000000003</v>
      </c>
      <c r="Y283" s="121"/>
    </row>
    <row r="284" spans="1:25">
      <c r="A284" s="95" t="s">
        <v>1481</v>
      </c>
      <c r="B284" s="95" t="s">
        <v>1631</v>
      </c>
      <c r="C284" s="95" t="s">
        <v>1427</v>
      </c>
      <c r="D284" s="101" t="s">
        <v>1475</v>
      </c>
      <c r="E284" s="101" t="s">
        <v>1662</v>
      </c>
      <c r="F284" s="101" t="s">
        <v>1670</v>
      </c>
      <c r="G284" s="101" t="s">
        <v>1478</v>
      </c>
      <c r="H284" s="97" t="str">
        <f>IFERROR(VLOOKUP(I284,'Raw material list'!$A$3:$C$695,3,0),"")</f>
        <v>DRS6-4482</v>
      </c>
      <c r="I284" s="97" t="s">
        <v>690</v>
      </c>
      <c r="J284" s="101" t="s">
        <v>111</v>
      </c>
      <c r="K284" s="101" t="str">
        <f>IFERROR(VLOOKUP(I284,'Raw material list'!$A$3:$E$695,5,0),"")</f>
        <v xml:space="preserve">Gram </v>
      </c>
      <c r="L284" s="95">
        <v>0.54800000000000004</v>
      </c>
      <c r="M284" s="98">
        <f t="shared" si="55"/>
        <v>0.54800000000000004</v>
      </c>
      <c r="N284" s="98">
        <v>100</v>
      </c>
      <c r="O284" s="95">
        <v>10</v>
      </c>
      <c r="P284" s="98">
        <f t="shared" si="51"/>
        <v>5.4800000000000001E-2</v>
      </c>
      <c r="Q284" s="99">
        <f>IFERROR(VLOOKUP(I284,'Raw material list'!$A$3:$F$695,6,0),"")</f>
        <v>1.04E-2</v>
      </c>
      <c r="R284" s="100">
        <f t="shared" si="54"/>
        <v>5.6992000000000002E-4</v>
      </c>
      <c r="S284" s="94">
        <f t="shared" si="56"/>
        <v>5.6992000000000006E-5</v>
      </c>
      <c r="T284" s="94">
        <f t="shared" si="57"/>
        <v>6.2691199999999998E-4</v>
      </c>
      <c r="U284" s="93">
        <f t="shared" si="58"/>
        <v>6.26912E-5</v>
      </c>
      <c r="V284" s="93">
        <f t="shared" si="59"/>
        <v>6.2691199999999995E-6</v>
      </c>
      <c r="W284" s="93">
        <f t="shared" si="60"/>
        <v>6.2691199999999995E-6</v>
      </c>
      <c r="X284" s="93">
        <f t="shared" si="61"/>
        <v>7.0214143999999996E-4</v>
      </c>
      <c r="Y284" s="121"/>
    </row>
    <row r="285" spans="1:25">
      <c r="A285" s="95" t="s">
        <v>1481</v>
      </c>
      <c r="B285" s="95" t="s">
        <v>1631</v>
      </c>
      <c r="C285" s="95" t="s">
        <v>1427</v>
      </c>
      <c r="D285" s="101" t="s">
        <v>1475</v>
      </c>
      <c r="E285" s="101" t="s">
        <v>1662</v>
      </c>
      <c r="F285" s="101" t="s">
        <v>1670</v>
      </c>
      <c r="G285" s="101" t="s">
        <v>1478</v>
      </c>
      <c r="H285" s="97" t="str">
        <f>IFERROR(VLOOKUP(I285,'Raw material list'!$A$3:$C$695,3,0),"")</f>
        <v>DRS6-537</v>
      </c>
      <c r="I285" s="97" t="s">
        <v>25</v>
      </c>
      <c r="J285" s="101" t="s">
        <v>111</v>
      </c>
      <c r="K285" s="101" t="str">
        <f>IFERROR(VLOOKUP(I285,'Raw material list'!$A$3:$E$695,5,0),"")</f>
        <v xml:space="preserve">Gram </v>
      </c>
      <c r="L285" s="95">
        <v>0.54800000000000004</v>
      </c>
      <c r="M285" s="98">
        <f t="shared" si="55"/>
        <v>0.54800000000000004</v>
      </c>
      <c r="N285" s="98">
        <v>100</v>
      </c>
      <c r="O285" s="95">
        <v>10</v>
      </c>
      <c r="P285" s="98">
        <f t="shared" si="51"/>
        <v>5.4800000000000001E-2</v>
      </c>
      <c r="Q285" s="99">
        <f>IFERROR(VLOOKUP(I285,'Raw material list'!$A$3:$F$695,6,0),"")</f>
        <v>3.5000000000000003E-2</v>
      </c>
      <c r="R285" s="100">
        <f t="shared" si="54"/>
        <v>1.9180000000000002E-3</v>
      </c>
      <c r="S285" s="94">
        <f t="shared" si="56"/>
        <v>1.9180000000000003E-4</v>
      </c>
      <c r="T285" s="94">
        <f t="shared" si="57"/>
        <v>2.1098000000000002E-3</v>
      </c>
      <c r="U285" s="93">
        <f t="shared" si="58"/>
        <v>2.1098000000000004E-4</v>
      </c>
      <c r="V285" s="93">
        <f t="shared" si="59"/>
        <v>2.1098000000000004E-5</v>
      </c>
      <c r="W285" s="93">
        <f t="shared" si="60"/>
        <v>2.1098000000000004E-5</v>
      </c>
      <c r="X285" s="93">
        <f t="shared" si="61"/>
        <v>2.3629760000000006E-3</v>
      </c>
      <c r="Y285" s="121"/>
    </row>
    <row r="286" spans="1:25">
      <c r="A286" s="95" t="s">
        <v>1481</v>
      </c>
      <c r="B286" s="95" t="s">
        <v>1631</v>
      </c>
      <c r="C286" s="95" t="s">
        <v>1427</v>
      </c>
      <c r="D286" s="101" t="s">
        <v>1475</v>
      </c>
      <c r="E286" s="101" t="s">
        <v>1662</v>
      </c>
      <c r="F286" s="101" t="s">
        <v>1670</v>
      </c>
      <c r="G286" s="101" t="s">
        <v>1478</v>
      </c>
      <c r="H286" s="97" t="str">
        <f>IFERROR(VLOOKUP(I286,'Raw material list'!$A$3:$C$695,3,0),"")</f>
        <v>DRS1-114</v>
      </c>
      <c r="I286" s="97" t="s">
        <v>279</v>
      </c>
      <c r="J286" s="101" t="s">
        <v>111</v>
      </c>
      <c r="K286" s="101" t="str">
        <f>IFERROR(VLOOKUP(I286,'Raw material list'!$A$3:$E$695,5,0),"")</f>
        <v xml:space="preserve">Gram </v>
      </c>
      <c r="L286" s="95">
        <v>1.37</v>
      </c>
      <c r="M286" s="98">
        <f t="shared" si="55"/>
        <v>1.37</v>
      </c>
      <c r="N286" s="98">
        <v>100</v>
      </c>
      <c r="O286" s="95">
        <v>10</v>
      </c>
      <c r="P286" s="98">
        <f t="shared" si="51"/>
        <v>0.13700000000000001</v>
      </c>
      <c r="Q286" s="99">
        <f>IFERROR(VLOOKUP(I286,'Raw material list'!$A$3:$F$695,6,0),"")</f>
        <v>4.7489823609226586E-3</v>
      </c>
      <c r="R286" s="100">
        <f t="shared" si="54"/>
        <v>6.5061058344640429E-4</v>
      </c>
      <c r="S286" s="94">
        <f t="shared" si="56"/>
        <v>6.5061058344640431E-5</v>
      </c>
      <c r="T286" s="94">
        <f t="shared" si="57"/>
        <v>7.1567164179104476E-4</v>
      </c>
      <c r="U286" s="93">
        <f t="shared" si="58"/>
        <v>7.1567164179104476E-5</v>
      </c>
      <c r="V286" s="93">
        <f t="shared" si="59"/>
        <v>7.1567164179104479E-6</v>
      </c>
      <c r="W286" s="93">
        <f t="shared" si="60"/>
        <v>7.1567164179104479E-6</v>
      </c>
      <c r="X286" s="93">
        <f t="shared" si="61"/>
        <v>8.015522388059702E-4</v>
      </c>
      <c r="Y286" s="121"/>
    </row>
    <row r="287" spans="1:25">
      <c r="A287" s="95" t="s">
        <v>1481</v>
      </c>
      <c r="B287" s="95" t="s">
        <v>1631</v>
      </c>
      <c r="C287" s="95" t="s">
        <v>1427</v>
      </c>
      <c r="D287" s="101" t="s">
        <v>1475</v>
      </c>
      <c r="E287" s="101" t="s">
        <v>1662</v>
      </c>
      <c r="F287" s="101" t="s">
        <v>1670</v>
      </c>
      <c r="G287" s="101" t="s">
        <v>1478</v>
      </c>
      <c r="H287" s="97" t="str">
        <f>IFERROR(VLOOKUP(I287,'Raw material list'!$A$3:$C$695,3,0),"")</f>
        <v>WAT-001</v>
      </c>
      <c r="I287" s="97" t="s">
        <v>1406</v>
      </c>
      <c r="J287" s="101" t="s">
        <v>161</v>
      </c>
      <c r="K287" s="101" t="str">
        <f>IFERROR(VLOOKUP(I287,'Raw material list'!$A$3:$E$695,5,0),"")</f>
        <v>Ml</v>
      </c>
      <c r="L287" s="95">
        <v>13.71</v>
      </c>
      <c r="M287" s="98">
        <f t="shared" si="55"/>
        <v>13.71</v>
      </c>
      <c r="N287" s="98">
        <v>100</v>
      </c>
      <c r="O287" s="95">
        <v>10</v>
      </c>
      <c r="P287" s="98">
        <f t="shared" si="51"/>
        <v>1.371</v>
      </c>
      <c r="Q287" s="99">
        <f>IFERROR(VLOOKUP(I287,'Raw material list'!$A$3:$F$695,6,0),"")</f>
        <v>8.0000000000000007E-5</v>
      </c>
      <c r="R287" s="100">
        <f t="shared" si="54"/>
        <v>1.0968000000000001E-4</v>
      </c>
      <c r="S287" s="94">
        <f t="shared" si="56"/>
        <v>1.0968000000000001E-5</v>
      </c>
      <c r="T287" s="94">
        <f t="shared" si="57"/>
        <v>1.20648E-4</v>
      </c>
      <c r="U287" s="93">
        <f t="shared" si="58"/>
        <v>1.20648E-5</v>
      </c>
      <c r="V287" s="93">
        <f t="shared" si="59"/>
        <v>1.2064800000000001E-6</v>
      </c>
      <c r="W287" s="93">
        <f t="shared" si="60"/>
        <v>1.2064800000000001E-6</v>
      </c>
      <c r="X287" s="93">
        <f t="shared" si="61"/>
        <v>1.3512575999999999E-4</v>
      </c>
      <c r="Y287" s="121"/>
    </row>
    <row r="288" spans="1:25">
      <c r="A288" s="95" t="s">
        <v>1481</v>
      </c>
      <c r="B288" s="95" t="s">
        <v>1631</v>
      </c>
      <c r="C288" s="95" t="s">
        <v>1427</v>
      </c>
      <c r="D288" s="101" t="s">
        <v>1475</v>
      </c>
      <c r="E288" s="101" t="s">
        <v>1662</v>
      </c>
      <c r="F288" s="101" t="s">
        <v>1670</v>
      </c>
      <c r="G288" s="101" t="s">
        <v>1478</v>
      </c>
      <c r="H288" s="97" t="str">
        <f>IFERROR(VLOOKUP(I288,'Raw material list'!$A$3:$C$695,3,0),"")</f>
        <v>DRY1-602</v>
      </c>
      <c r="I288" s="97" t="s">
        <v>65</v>
      </c>
      <c r="J288" s="101" t="s">
        <v>111</v>
      </c>
      <c r="K288" s="101" t="str">
        <f>IFERROR(VLOOKUP(I288,'Raw material list'!$A$3:$E$695,5,0),"")</f>
        <v xml:space="preserve">Gram </v>
      </c>
      <c r="L288" s="95">
        <v>5.48</v>
      </c>
      <c r="M288" s="98">
        <f t="shared" si="55"/>
        <v>5.48</v>
      </c>
      <c r="N288" s="98">
        <v>100</v>
      </c>
      <c r="O288" s="95">
        <v>10</v>
      </c>
      <c r="P288" s="98">
        <f t="shared" si="51"/>
        <v>0.54800000000000004</v>
      </c>
      <c r="Q288" s="99">
        <f>IFERROR(VLOOKUP(I288,'Raw material list'!$A$3:$F$695,6,0),"")</f>
        <v>5.5E-2</v>
      </c>
      <c r="R288" s="100">
        <f t="shared" si="54"/>
        <v>3.0140000000000004E-2</v>
      </c>
      <c r="S288" s="94">
        <f t="shared" si="56"/>
        <v>3.0140000000000006E-3</v>
      </c>
      <c r="T288" s="94">
        <f t="shared" si="57"/>
        <v>3.3154000000000003E-2</v>
      </c>
      <c r="U288" s="93">
        <f t="shared" si="58"/>
        <v>3.3154000000000005E-3</v>
      </c>
      <c r="V288" s="93">
        <f t="shared" si="59"/>
        <v>3.3154000000000001E-4</v>
      </c>
      <c r="W288" s="93">
        <f t="shared" si="60"/>
        <v>3.3154000000000001E-4</v>
      </c>
      <c r="X288" s="93">
        <f t="shared" si="61"/>
        <v>3.7132480000000002E-2</v>
      </c>
      <c r="Y288" s="121"/>
    </row>
    <row r="289" spans="1:25" s="90" customFormat="1">
      <c r="A289" s="95" t="s">
        <v>1482</v>
      </c>
      <c r="B289" s="95" t="s">
        <v>1668</v>
      </c>
      <c r="C289" s="95" t="s">
        <v>1427</v>
      </c>
      <c r="D289" s="101" t="s">
        <v>1479</v>
      </c>
      <c r="E289" s="101" t="s">
        <v>1662</v>
      </c>
      <c r="F289" s="101" t="s">
        <v>1671</v>
      </c>
      <c r="G289" s="101" t="s">
        <v>1591</v>
      </c>
      <c r="H289" s="97" t="str">
        <f>IFERROR(VLOOKUP(I289,'Raw material list'!$A$3:$C$695,3,0),"")</f>
        <v>PLT2-3278</v>
      </c>
      <c r="I289" s="97" t="s">
        <v>61</v>
      </c>
      <c r="J289" s="101" t="s">
        <v>111</v>
      </c>
      <c r="K289" s="101" t="str">
        <f>IFERROR(VLOOKUP(I289,'Raw material list'!$A$3:$E$695,5,0),"")</f>
        <v xml:space="preserve">Gram </v>
      </c>
      <c r="L289" s="95">
        <v>1200</v>
      </c>
      <c r="M289" s="98">
        <f t="shared" si="55"/>
        <v>1574.803149606299</v>
      </c>
      <c r="N289" s="98">
        <v>76.2</v>
      </c>
      <c r="O289" s="95">
        <v>10</v>
      </c>
      <c r="P289" s="98">
        <f t="shared" si="51"/>
        <v>120</v>
      </c>
      <c r="Q289" s="99">
        <f>IFERROR(VLOOKUP(I289,'Raw material list'!$A$3:$F$695,6,0),"")</f>
        <v>3.035714285714285E-2</v>
      </c>
      <c r="R289" s="100">
        <f t="shared" si="54"/>
        <v>3.6428571428571419</v>
      </c>
      <c r="S289" s="94">
        <f t="shared" si="56"/>
        <v>0.36428571428571421</v>
      </c>
      <c r="T289" s="94">
        <f t="shared" si="57"/>
        <v>4.0071428571428562</v>
      </c>
      <c r="U289" s="93">
        <f t="shared" si="58"/>
        <v>0.40071428571428563</v>
      </c>
      <c r="V289" s="93">
        <f t="shared" si="59"/>
        <v>4.0071428571428563E-2</v>
      </c>
      <c r="W289" s="93">
        <f t="shared" si="60"/>
        <v>4.0071428571428563E-2</v>
      </c>
      <c r="X289" s="93">
        <f t="shared" si="61"/>
        <v>4.4879999999999987</v>
      </c>
      <c r="Y289" s="127" t="s">
        <v>1674</v>
      </c>
    </row>
    <row r="290" spans="1:25" s="90" customFormat="1">
      <c r="A290" s="95" t="s">
        <v>1482</v>
      </c>
      <c r="B290" s="95" t="s">
        <v>1668</v>
      </c>
      <c r="C290" s="95" t="s">
        <v>1427</v>
      </c>
      <c r="D290" s="101" t="s">
        <v>1479</v>
      </c>
      <c r="E290" s="101" t="s">
        <v>1662</v>
      </c>
      <c r="F290" s="95" t="s">
        <v>1671</v>
      </c>
      <c r="G290" s="101" t="s">
        <v>1591</v>
      </c>
      <c r="H290" s="97" t="str">
        <f>IFERROR(VLOOKUP(I290,'Raw material list'!$A$3:$C$695,3,0),"")</f>
        <v>DRS6-1727</v>
      </c>
      <c r="I290" s="97" t="s">
        <v>41</v>
      </c>
      <c r="J290" s="101" t="s">
        <v>111</v>
      </c>
      <c r="K290" s="101" t="str">
        <f>IFERROR(VLOOKUP(I290,'Raw material list'!$A$3:$E$695,5,0),"")</f>
        <v xml:space="preserve">Gram </v>
      </c>
      <c r="L290" s="95">
        <v>12</v>
      </c>
      <c r="M290" s="98">
        <f t="shared" si="55"/>
        <v>12</v>
      </c>
      <c r="N290" s="98">
        <v>100</v>
      </c>
      <c r="O290" s="95">
        <v>10</v>
      </c>
      <c r="P290" s="98">
        <f t="shared" ref="P290:P293" si="62">IFERROR(L290/O290,0)</f>
        <v>1.2</v>
      </c>
      <c r="Q290" s="99">
        <f>IFERROR(VLOOKUP(I290,'Raw material list'!$A$3:$F$695,6,0),"")</f>
        <v>2.5000000000000001E-2</v>
      </c>
      <c r="R290" s="100">
        <f t="shared" ref="R290:R293" si="63">IFERROR(Q290*P290,0)</f>
        <v>0.03</v>
      </c>
      <c r="S290" s="94">
        <f t="shared" si="56"/>
        <v>3.0000000000000001E-3</v>
      </c>
      <c r="T290" s="94">
        <f t="shared" si="57"/>
        <v>3.3000000000000002E-2</v>
      </c>
      <c r="U290" s="93">
        <f t="shared" si="58"/>
        <v>3.3000000000000004E-3</v>
      </c>
      <c r="V290" s="93">
        <f t="shared" si="59"/>
        <v>3.3E-4</v>
      </c>
      <c r="W290" s="93">
        <f t="shared" si="60"/>
        <v>3.3E-4</v>
      </c>
      <c r="X290" s="93">
        <f t="shared" si="61"/>
        <v>3.6959999999999993E-2</v>
      </c>
      <c r="Y290" s="116"/>
    </row>
    <row r="291" spans="1:25" s="90" customFormat="1">
      <c r="A291" s="95" t="s">
        <v>1482</v>
      </c>
      <c r="B291" s="95" t="s">
        <v>1668</v>
      </c>
      <c r="C291" s="95" t="s">
        <v>1427</v>
      </c>
      <c r="D291" s="101" t="s">
        <v>1479</v>
      </c>
      <c r="E291" s="101" t="s">
        <v>1662</v>
      </c>
      <c r="F291" s="95" t="s">
        <v>1671</v>
      </c>
      <c r="G291" s="101" t="s">
        <v>1591</v>
      </c>
      <c r="H291" s="97" t="str">
        <f>IFERROR(VLOOKUP(I291,'Raw material list'!$A$3:$C$695,3,0),"")</f>
        <v>DRS6-5088</v>
      </c>
      <c r="I291" s="97" t="s">
        <v>668</v>
      </c>
      <c r="J291" s="101" t="s">
        <v>111</v>
      </c>
      <c r="K291" s="101" t="str">
        <f>IFERROR(VLOOKUP(I291,'Raw material list'!$A$3:$E$695,5,0),"")</f>
        <v xml:space="preserve">Gram </v>
      </c>
      <c r="L291" s="95">
        <v>12</v>
      </c>
      <c r="M291" s="98">
        <f t="shared" si="55"/>
        <v>12</v>
      </c>
      <c r="N291" s="98">
        <v>100</v>
      </c>
      <c r="O291" s="95">
        <v>10</v>
      </c>
      <c r="P291" s="98">
        <f t="shared" si="62"/>
        <v>1.2</v>
      </c>
      <c r="Q291" s="99">
        <f>IFERROR(VLOOKUP(I291,'Raw material list'!$A$3:$F$695,6,0),"")</f>
        <v>0.08</v>
      </c>
      <c r="R291" s="100">
        <f t="shared" si="63"/>
        <v>9.6000000000000002E-2</v>
      </c>
      <c r="S291" s="94">
        <f t="shared" si="56"/>
        <v>9.6000000000000009E-3</v>
      </c>
      <c r="T291" s="94">
        <f t="shared" si="57"/>
        <v>0.1056</v>
      </c>
      <c r="U291" s="93">
        <f t="shared" si="58"/>
        <v>1.056E-2</v>
      </c>
      <c r="V291" s="93">
        <f t="shared" si="59"/>
        <v>1.0560000000000001E-3</v>
      </c>
      <c r="W291" s="93">
        <f t="shared" si="60"/>
        <v>1.0560000000000001E-3</v>
      </c>
      <c r="X291" s="93">
        <f t="shared" si="61"/>
        <v>0.118272</v>
      </c>
      <c r="Y291" s="116"/>
    </row>
    <row r="292" spans="1:25" s="90" customFormat="1">
      <c r="A292" s="95" t="s">
        <v>1482</v>
      </c>
      <c r="B292" s="95" t="s">
        <v>1668</v>
      </c>
      <c r="C292" s="95" t="s">
        <v>1427</v>
      </c>
      <c r="D292" s="101" t="s">
        <v>1479</v>
      </c>
      <c r="E292" s="101" t="s">
        <v>1662</v>
      </c>
      <c r="F292" s="95" t="s">
        <v>1671</v>
      </c>
      <c r="G292" s="101" t="s">
        <v>1591</v>
      </c>
      <c r="H292" s="97" t="str">
        <f>IFERROR(VLOOKUP(I292,'Raw material list'!$A$3:$C$695,3,0),"")</f>
        <v>DRS6-5376</v>
      </c>
      <c r="I292" s="97" t="s">
        <v>55</v>
      </c>
      <c r="J292" s="101" t="s">
        <v>111</v>
      </c>
      <c r="K292" s="101" t="str">
        <f>IFERROR(VLOOKUP(I292,'Raw material list'!$A$3:$E$695,5,0),"")</f>
        <v xml:space="preserve">Gram </v>
      </c>
      <c r="L292" s="95">
        <v>3</v>
      </c>
      <c r="M292" s="98">
        <f t="shared" si="55"/>
        <v>3</v>
      </c>
      <c r="N292" s="98">
        <v>100</v>
      </c>
      <c r="O292" s="95">
        <v>10</v>
      </c>
      <c r="P292" s="98">
        <f t="shared" si="62"/>
        <v>0.3</v>
      </c>
      <c r="Q292" s="99">
        <f>IFERROR(VLOOKUP(I292,'Raw material list'!$A$3:$F$695,6,0),"")</f>
        <v>2.8000000000000001E-2</v>
      </c>
      <c r="R292" s="100">
        <f t="shared" si="63"/>
        <v>8.3999999999999995E-3</v>
      </c>
      <c r="S292" s="94">
        <f t="shared" si="56"/>
        <v>8.4000000000000003E-4</v>
      </c>
      <c r="T292" s="94">
        <f t="shared" si="57"/>
        <v>9.2399999999999999E-3</v>
      </c>
      <c r="U292" s="93">
        <f t="shared" si="58"/>
        <v>9.2400000000000002E-4</v>
      </c>
      <c r="V292" s="93">
        <f t="shared" si="59"/>
        <v>9.2399999999999996E-5</v>
      </c>
      <c r="W292" s="93">
        <f t="shared" si="60"/>
        <v>9.2399999999999996E-5</v>
      </c>
      <c r="X292" s="93">
        <f t="shared" si="61"/>
        <v>1.0348799999999998E-2</v>
      </c>
      <c r="Y292" s="116"/>
    </row>
    <row r="293" spans="1:25" s="90" customFormat="1">
      <c r="A293" s="95" t="s">
        <v>1482</v>
      </c>
      <c r="B293" s="95" t="s">
        <v>1668</v>
      </c>
      <c r="C293" s="95" t="s">
        <v>1427</v>
      </c>
      <c r="D293" s="101" t="s">
        <v>1479</v>
      </c>
      <c r="E293" s="101" t="s">
        <v>1662</v>
      </c>
      <c r="F293" s="95" t="s">
        <v>1671</v>
      </c>
      <c r="G293" s="101" t="s">
        <v>1591</v>
      </c>
      <c r="H293" s="97" t="str">
        <f>IFERROR(VLOOKUP(I293,'Raw material list'!$A$3:$C$695,3,0),"")</f>
        <v>WAT-001</v>
      </c>
      <c r="I293" s="97" t="s">
        <v>1406</v>
      </c>
      <c r="J293" s="101" t="s">
        <v>161</v>
      </c>
      <c r="K293" s="101" t="str">
        <f>IFERROR(VLOOKUP(I293,'Raw material list'!$A$3:$E$695,5,0),"")</f>
        <v>Ml</v>
      </c>
      <c r="L293" s="95">
        <v>120</v>
      </c>
      <c r="M293" s="98">
        <f t="shared" si="55"/>
        <v>120</v>
      </c>
      <c r="N293" s="98">
        <v>100</v>
      </c>
      <c r="O293" s="95">
        <v>10</v>
      </c>
      <c r="P293" s="98">
        <f t="shared" si="62"/>
        <v>12</v>
      </c>
      <c r="Q293" s="99">
        <f>IFERROR(VLOOKUP(I293,'Raw material list'!$A$3:$F$695,6,0),"")</f>
        <v>8.0000000000000007E-5</v>
      </c>
      <c r="R293" s="100">
        <f t="shared" si="63"/>
        <v>9.6000000000000013E-4</v>
      </c>
      <c r="S293" s="94">
        <f t="shared" si="56"/>
        <v>9.6000000000000016E-5</v>
      </c>
      <c r="T293" s="94">
        <f t="shared" si="57"/>
        <v>1.0560000000000001E-3</v>
      </c>
      <c r="U293" s="93">
        <f t="shared" si="58"/>
        <v>1.0560000000000002E-4</v>
      </c>
      <c r="V293" s="93">
        <f t="shared" si="59"/>
        <v>1.0560000000000001E-5</v>
      </c>
      <c r="W293" s="93">
        <f t="shared" si="60"/>
        <v>1.0560000000000001E-5</v>
      </c>
      <c r="X293" s="93">
        <f t="shared" si="61"/>
        <v>1.18272E-3</v>
      </c>
      <c r="Y293" s="116"/>
    </row>
    <row r="294" spans="1:25" s="90" customFormat="1">
      <c r="A294" s="95" t="s">
        <v>1482</v>
      </c>
      <c r="B294" s="95" t="s">
        <v>1668</v>
      </c>
      <c r="C294" s="95" t="s">
        <v>1427</v>
      </c>
      <c r="D294" s="101" t="s">
        <v>1479</v>
      </c>
      <c r="E294" s="101" t="s">
        <v>1662</v>
      </c>
      <c r="F294" s="101" t="s">
        <v>1670</v>
      </c>
      <c r="G294" s="101" t="s">
        <v>1461</v>
      </c>
      <c r="H294" s="97" t="str">
        <f>IFERROR(VLOOKUP(I294,'Raw material list'!$A$3:$C$695,3,0),"")</f>
        <v>DRS6-260</v>
      </c>
      <c r="I294" s="97" t="s">
        <v>17</v>
      </c>
      <c r="J294" s="101" t="s">
        <v>111</v>
      </c>
      <c r="K294" s="101" t="str">
        <f>IFERROR(VLOOKUP(I294,'Raw material list'!$A$3:$E$695,5,0),"")</f>
        <v xml:space="preserve">Gram </v>
      </c>
      <c r="L294" s="95">
        <v>5</v>
      </c>
      <c r="M294" s="98">
        <f t="shared" si="55"/>
        <v>5</v>
      </c>
      <c r="N294" s="98">
        <v>100</v>
      </c>
      <c r="O294" s="95">
        <v>10</v>
      </c>
      <c r="P294" s="98">
        <f t="shared" si="51"/>
        <v>0.5</v>
      </c>
      <c r="Q294" s="99">
        <f>IFERROR(VLOOKUP(I294,'Raw material list'!$A$3:$F$695,6,0),"")</f>
        <v>0.02</v>
      </c>
      <c r="R294" s="100">
        <f t="shared" si="54"/>
        <v>0.01</v>
      </c>
      <c r="S294" s="94">
        <f t="shared" si="56"/>
        <v>1E-3</v>
      </c>
      <c r="T294" s="94">
        <f t="shared" si="57"/>
        <v>1.0999999999999999E-2</v>
      </c>
      <c r="U294" s="93">
        <f t="shared" si="58"/>
        <v>1.1000000000000001E-3</v>
      </c>
      <c r="V294" s="93">
        <f t="shared" si="59"/>
        <v>1.0999999999999999E-4</v>
      </c>
      <c r="W294" s="93">
        <f t="shared" si="60"/>
        <v>1.0999999999999999E-4</v>
      </c>
      <c r="X294" s="93">
        <f t="shared" si="61"/>
        <v>1.2320000000000001E-2</v>
      </c>
      <c r="Y294" s="117"/>
    </row>
    <row r="295" spans="1:25" s="90" customFormat="1">
      <c r="A295" s="95" t="s">
        <v>1482</v>
      </c>
      <c r="B295" s="95" t="s">
        <v>1668</v>
      </c>
      <c r="C295" s="95" t="s">
        <v>1427</v>
      </c>
      <c r="D295" s="101" t="s">
        <v>1479</v>
      </c>
      <c r="E295" s="101" t="s">
        <v>1662</v>
      </c>
      <c r="F295" s="101" t="s">
        <v>1670</v>
      </c>
      <c r="G295" s="101" t="s">
        <v>1480</v>
      </c>
      <c r="H295" s="97" t="str">
        <f>IFERROR(VLOOKUP(I295,'Raw material list'!$A$3:$C$695,3,0),"")</f>
        <v>PRD1-232</v>
      </c>
      <c r="I295" s="97" t="s">
        <v>1037</v>
      </c>
      <c r="J295" s="101" t="s">
        <v>111</v>
      </c>
      <c r="K295" s="101" t="str">
        <f>IFERROR(VLOOKUP(I295,'Raw material list'!$A$3:$E$695,5,0),"")</f>
        <v xml:space="preserve">Gram </v>
      </c>
      <c r="L295" s="95">
        <v>741.84</v>
      </c>
      <c r="M295" s="98">
        <f t="shared" si="55"/>
        <v>1030.3333333333335</v>
      </c>
      <c r="N295" s="98">
        <v>72</v>
      </c>
      <c r="O295" s="95">
        <v>10</v>
      </c>
      <c r="P295" s="98">
        <f t="shared" si="51"/>
        <v>74.183999999999997</v>
      </c>
      <c r="Q295" s="99">
        <f>IFERROR(VLOOKUP(I295,'Raw material list'!$A$3:$F$695,6,0),"")</f>
        <v>4.4444444444444436E-3</v>
      </c>
      <c r="R295" s="100">
        <f t="shared" si="54"/>
        <v>0.32970666666666659</v>
      </c>
      <c r="S295" s="94">
        <f t="shared" si="56"/>
        <v>3.2970666666666662E-2</v>
      </c>
      <c r="T295" s="94">
        <f t="shared" si="57"/>
        <v>0.36267733333333324</v>
      </c>
      <c r="U295" s="93">
        <f t="shared" si="58"/>
        <v>3.6267733333333323E-2</v>
      </c>
      <c r="V295" s="93">
        <f t="shared" si="59"/>
        <v>3.6267733333333325E-3</v>
      </c>
      <c r="W295" s="93">
        <f t="shared" si="60"/>
        <v>3.6267733333333325E-3</v>
      </c>
      <c r="X295" s="93">
        <f t="shared" si="61"/>
        <v>0.40619861333333324</v>
      </c>
      <c r="Y295" s="117"/>
    </row>
    <row r="296" spans="1:25" s="90" customFormat="1">
      <c r="A296" s="95" t="s">
        <v>1482</v>
      </c>
      <c r="B296" s="95" t="s">
        <v>1668</v>
      </c>
      <c r="C296" s="95" t="s">
        <v>1427</v>
      </c>
      <c r="D296" s="101" t="s">
        <v>1479</v>
      </c>
      <c r="E296" s="101" t="s">
        <v>1662</v>
      </c>
      <c r="F296" s="101" t="s">
        <v>1670</v>
      </c>
      <c r="G296" s="101" t="s">
        <v>1480</v>
      </c>
      <c r="H296" s="97" t="str">
        <f>IFERROR(VLOOKUP(I296,'Raw material list'!$A$3:$C$695,3,0),"")</f>
        <v>DRS3-1615</v>
      </c>
      <c r="I296" s="97" t="s">
        <v>24</v>
      </c>
      <c r="J296" s="101" t="s">
        <v>161</v>
      </c>
      <c r="K296" s="101" t="str">
        <f>IFERROR(VLOOKUP(I296,'Raw material list'!$A$3:$E$695,5,0),"")</f>
        <v>Ml</v>
      </c>
      <c r="L296" s="95">
        <v>20.38</v>
      </c>
      <c r="M296" s="98">
        <f t="shared" si="55"/>
        <v>20.38</v>
      </c>
      <c r="N296" s="98">
        <v>100</v>
      </c>
      <c r="O296" s="95">
        <v>10</v>
      </c>
      <c r="P296" s="98">
        <f t="shared" ref="P296:P345" si="64">IFERROR(L296/O296,0)</f>
        <v>2.0379999999999998</v>
      </c>
      <c r="Q296" s="99">
        <f>IFERROR(VLOOKUP(I296,'Raw material list'!$A$3:$F$695,6,0),"")</f>
        <v>1.2E-2</v>
      </c>
      <c r="R296" s="100">
        <f t="shared" si="54"/>
        <v>2.4455999999999999E-2</v>
      </c>
      <c r="S296" s="94">
        <f t="shared" si="56"/>
        <v>2.4456E-3</v>
      </c>
      <c r="T296" s="94">
        <f t="shared" si="57"/>
        <v>2.6901599999999998E-2</v>
      </c>
      <c r="U296" s="93">
        <f t="shared" si="58"/>
        <v>2.69016E-3</v>
      </c>
      <c r="V296" s="93">
        <f t="shared" si="59"/>
        <v>2.6901599999999996E-4</v>
      </c>
      <c r="W296" s="93">
        <f t="shared" si="60"/>
        <v>2.6901599999999996E-4</v>
      </c>
      <c r="X296" s="93">
        <f t="shared" si="61"/>
        <v>3.0129791999999999E-2</v>
      </c>
      <c r="Y296" s="117"/>
    </row>
    <row r="297" spans="1:25" s="90" customFormat="1">
      <c r="A297" s="95" t="s">
        <v>1482</v>
      </c>
      <c r="B297" s="95" t="s">
        <v>1668</v>
      </c>
      <c r="C297" s="95" t="s">
        <v>1427</v>
      </c>
      <c r="D297" s="101" t="s">
        <v>1479</v>
      </c>
      <c r="E297" s="101" t="s">
        <v>1662</v>
      </c>
      <c r="F297" s="101" t="s">
        <v>1670</v>
      </c>
      <c r="G297" s="101" t="s">
        <v>1480</v>
      </c>
      <c r="H297" s="97" t="str">
        <f>IFERROR(VLOOKUP(I297,'Raw material list'!$A$3:$C$695,3,0),"")</f>
        <v>DRS1-114</v>
      </c>
      <c r="I297" s="97" t="s">
        <v>279</v>
      </c>
      <c r="J297" s="101" t="s">
        <v>111</v>
      </c>
      <c r="K297" s="101" t="str">
        <f>IFERROR(VLOOKUP(I297,'Raw material list'!$A$3:$E$695,5,0),"")</f>
        <v xml:space="preserve">Gram </v>
      </c>
      <c r="L297" s="95">
        <v>7.71</v>
      </c>
      <c r="M297" s="98">
        <f t="shared" si="55"/>
        <v>7.71</v>
      </c>
      <c r="N297" s="98">
        <v>100</v>
      </c>
      <c r="O297" s="95">
        <v>10</v>
      </c>
      <c r="P297" s="98">
        <f t="shared" si="64"/>
        <v>0.77100000000000002</v>
      </c>
      <c r="Q297" s="99">
        <f>IFERROR(VLOOKUP(I297,'Raw material list'!$A$3:$F$695,6,0),"")</f>
        <v>4.7489823609226586E-3</v>
      </c>
      <c r="R297" s="100">
        <f t="shared" si="54"/>
        <v>3.6614654002713699E-3</v>
      </c>
      <c r="S297" s="94">
        <f t="shared" si="56"/>
        <v>3.6614654002713702E-4</v>
      </c>
      <c r="T297" s="94">
        <f t="shared" si="57"/>
        <v>4.027611940298507E-3</v>
      </c>
      <c r="U297" s="93">
        <f t="shared" si="58"/>
        <v>4.0276119402985074E-4</v>
      </c>
      <c r="V297" s="93">
        <f t="shared" si="59"/>
        <v>4.027611940298507E-5</v>
      </c>
      <c r="W297" s="93">
        <f t="shared" si="60"/>
        <v>4.027611940298507E-5</v>
      </c>
      <c r="X297" s="93">
        <f t="shared" si="61"/>
        <v>4.5109253731343288E-3</v>
      </c>
      <c r="Y297" s="117"/>
    </row>
    <row r="298" spans="1:25" s="90" customFormat="1">
      <c r="A298" s="95" t="s">
        <v>1482</v>
      </c>
      <c r="B298" s="95" t="s">
        <v>1668</v>
      </c>
      <c r="C298" s="95" t="s">
        <v>1427</v>
      </c>
      <c r="D298" s="101" t="s">
        <v>1479</v>
      </c>
      <c r="E298" s="101" t="s">
        <v>1662</v>
      </c>
      <c r="F298" s="101" t="s">
        <v>1670</v>
      </c>
      <c r="G298" s="101" t="s">
        <v>1480</v>
      </c>
      <c r="H298" s="97" t="str">
        <f>IFERROR(VLOOKUP(I298,'Raw material list'!$A$3:$C$695,3,0),"")</f>
        <v>DRS6-537</v>
      </c>
      <c r="I298" s="97" t="s">
        <v>25</v>
      </c>
      <c r="J298" s="101" t="s">
        <v>111</v>
      </c>
      <c r="K298" s="101" t="str">
        <f>IFERROR(VLOOKUP(I298,'Raw material list'!$A$3:$E$695,5,0),"")</f>
        <v xml:space="preserve">Gram </v>
      </c>
      <c r="L298" s="95">
        <v>3.17</v>
      </c>
      <c r="M298" s="98">
        <f t="shared" si="55"/>
        <v>3.17</v>
      </c>
      <c r="N298" s="98">
        <v>100</v>
      </c>
      <c r="O298" s="95">
        <v>10</v>
      </c>
      <c r="P298" s="98">
        <f t="shared" si="64"/>
        <v>0.317</v>
      </c>
      <c r="Q298" s="99">
        <f>IFERROR(VLOOKUP(I298,'Raw material list'!$A$3:$F$695,6,0),"")</f>
        <v>3.5000000000000003E-2</v>
      </c>
      <c r="R298" s="100">
        <f t="shared" si="54"/>
        <v>1.1095000000000001E-2</v>
      </c>
      <c r="S298" s="94">
        <f t="shared" si="56"/>
        <v>1.1095E-3</v>
      </c>
      <c r="T298" s="94">
        <f t="shared" si="57"/>
        <v>1.22045E-2</v>
      </c>
      <c r="U298" s="93">
        <f t="shared" si="58"/>
        <v>1.2204500000000001E-3</v>
      </c>
      <c r="V298" s="93">
        <f t="shared" si="59"/>
        <v>1.22045E-4</v>
      </c>
      <c r="W298" s="93">
        <f t="shared" si="60"/>
        <v>1.22045E-4</v>
      </c>
      <c r="X298" s="93">
        <f t="shared" si="61"/>
        <v>1.3669039999999999E-2</v>
      </c>
      <c r="Y298" s="117"/>
    </row>
    <row r="299" spans="1:25" s="90" customFormat="1">
      <c r="A299" s="95" t="s">
        <v>1482</v>
      </c>
      <c r="B299" s="95" t="s">
        <v>1668</v>
      </c>
      <c r="C299" s="95" t="s">
        <v>1427</v>
      </c>
      <c r="D299" s="101" t="s">
        <v>1479</v>
      </c>
      <c r="E299" s="101" t="s">
        <v>1662</v>
      </c>
      <c r="F299" s="101" t="s">
        <v>1670</v>
      </c>
      <c r="G299" s="101" t="s">
        <v>1480</v>
      </c>
      <c r="H299" s="97" t="str">
        <f>IFERROR(VLOOKUP(I299,'Raw material list'!$A$3:$C$695,3,0),"")</f>
        <v>DRS6-261</v>
      </c>
      <c r="I299" s="97" t="s">
        <v>1565</v>
      </c>
      <c r="J299" s="101" t="s">
        <v>111</v>
      </c>
      <c r="K299" s="101" t="str">
        <f>IFERROR(VLOOKUP(I299,'Raw material list'!$A$3:$E$695,5,0),"")</f>
        <v xml:space="preserve">Gram </v>
      </c>
      <c r="L299" s="95">
        <v>1.35</v>
      </c>
      <c r="M299" s="98">
        <f t="shared" si="55"/>
        <v>1.35</v>
      </c>
      <c r="N299" s="98">
        <v>100</v>
      </c>
      <c r="O299" s="95">
        <v>10</v>
      </c>
      <c r="P299" s="98">
        <f t="shared" si="64"/>
        <v>0.13500000000000001</v>
      </c>
      <c r="Q299" s="99">
        <f>IFERROR(VLOOKUP(I299,'Raw material list'!$A$3:$F$695,6,0),"")</f>
        <v>1.4E-2</v>
      </c>
      <c r="R299" s="100">
        <f t="shared" si="54"/>
        <v>1.8900000000000002E-3</v>
      </c>
      <c r="S299" s="94">
        <f t="shared" si="56"/>
        <v>1.8900000000000004E-4</v>
      </c>
      <c r="T299" s="94">
        <f t="shared" si="57"/>
        <v>2.0790000000000001E-3</v>
      </c>
      <c r="U299" s="93">
        <f t="shared" si="58"/>
        <v>2.0790000000000001E-4</v>
      </c>
      <c r="V299" s="93">
        <f t="shared" si="59"/>
        <v>2.0790000000000003E-5</v>
      </c>
      <c r="W299" s="93">
        <f t="shared" si="60"/>
        <v>2.0790000000000003E-5</v>
      </c>
      <c r="X299" s="93">
        <f t="shared" si="61"/>
        <v>2.3284800000000004E-3</v>
      </c>
      <c r="Y299" s="117"/>
    </row>
    <row r="300" spans="1:25" s="90" customFormat="1">
      <c r="A300" s="95" t="s">
        <v>1482</v>
      </c>
      <c r="B300" s="95" t="s">
        <v>1668</v>
      </c>
      <c r="C300" s="95" t="s">
        <v>1427</v>
      </c>
      <c r="D300" s="101" t="s">
        <v>1479</v>
      </c>
      <c r="E300" s="101" t="s">
        <v>1662</v>
      </c>
      <c r="F300" s="101" t="s">
        <v>1670</v>
      </c>
      <c r="G300" s="101" t="s">
        <v>1480</v>
      </c>
      <c r="H300" s="97" t="str">
        <f>IFERROR(VLOOKUP(I300,'Raw material list'!$A$3:$C$695,3,0),"")</f>
        <v>DRS1-1780</v>
      </c>
      <c r="I300" s="97" t="s">
        <v>235</v>
      </c>
      <c r="J300" s="101" t="s">
        <v>111</v>
      </c>
      <c r="K300" s="101" t="str">
        <f>IFERROR(VLOOKUP(I300,'Raw material list'!$A$3:$E$695,5,0),"")</f>
        <v xml:space="preserve">Gram </v>
      </c>
      <c r="L300" s="95">
        <v>54.34</v>
      </c>
      <c r="M300" s="98">
        <f t="shared" si="55"/>
        <v>54.339999999999996</v>
      </c>
      <c r="N300" s="98">
        <v>100</v>
      </c>
      <c r="O300" s="95">
        <v>10</v>
      </c>
      <c r="P300" s="98">
        <f t="shared" si="64"/>
        <v>5.4340000000000002</v>
      </c>
      <c r="Q300" s="99">
        <f>IFERROR(VLOOKUP(I300,'Raw material list'!$A$3:$F$695,6,0),"")</f>
        <v>0.04</v>
      </c>
      <c r="R300" s="100">
        <f t="shared" si="54"/>
        <v>0.21736</v>
      </c>
      <c r="S300" s="94">
        <f t="shared" si="56"/>
        <v>2.1736000000000002E-2</v>
      </c>
      <c r="T300" s="94">
        <f t="shared" si="57"/>
        <v>0.239096</v>
      </c>
      <c r="U300" s="93">
        <f t="shared" si="58"/>
        <v>2.3909600000000003E-2</v>
      </c>
      <c r="V300" s="93">
        <f t="shared" si="59"/>
        <v>2.3909600000000001E-3</v>
      </c>
      <c r="W300" s="93">
        <f t="shared" si="60"/>
        <v>2.3909600000000001E-3</v>
      </c>
      <c r="X300" s="93">
        <f t="shared" si="61"/>
        <v>0.26778752</v>
      </c>
      <c r="Y300" s="117"/>
    </row>
    <row r="301" spans="1:25" s="90" customFormat="1">
      <c r="A301" s="95" t="s">
        <v>1482</v>
      </c>
      <c r="B301" s="95" t="s">
        <v>1668</v>
      </c>
      <c r="C301" s="95" t="s">
        <v>1427</v>
      </c>
      <c r="D301" s="101" t="s">
        <v>1479</v>
      </c>
      <c r="E301" s="101" t="s">
        <v>1662</v>
      </c>
      <c r="F301" s="101" t="s">
        <v>1670</v>
      </c>
      <c r="G301" s="101" t="s">
        <v>1480</v>
      </c>
      <c r="H301" s="97" t="str">
        <f>IFERROR(VLOOKUP(I301,'Raw material list'!$A$3:$C$695,3,0),"")</f>
        <v>DRY2-1858</v>
      </c>
      <c r="I301" s="97" t="s">
        <v>42</v>
      </c>
      <c r="J301" s="101" t="s">
        <v>161</v>
      </c>
      <c r="K301" s="101" t="str">
        <f>IFERROR(VLOOKUP(I301,'Raw material list'!$A$3:$E$695,5,0),"")</f>
        <v>Ml</v>
      </c>
      <c r="L301" s="95">
        <v>464</v>
      </c>
      <c r="M301" s="98">
        <f t="shared" si="55"/>
        <v>463.99999999999994</v>
      </c>
      <c r="N301" s="98">
        <v>100</v>
      </c>
      <c r="O301" s="95">
        <v>10</v>
      </c>
      <c r="P301" s="98">
        <f t="shared" si="64"/>
        <v>46.4</v>
      </c>
      <c r="Q301" s="99">
        <f>IFERROR(VLOOKUP(I301,'Raw material list'!$A$3:$F$695,6,0),"")</f>
        <v>9.8800000000000016E-3</v>
      </c>
      <c r="R301" s="100">
        <f t="shared" si="54"/>
        <v>0.45843200000000006</v>
      </c>
      <c r="S301" s="94">
        <f t="shared" si="56"/>
        <v>4.5843200000000008E-2</v>
      </c>
      <c r="T301" s="94">
        <f t="shared" si="57"/>
        <v>0.50427520000000003</v>
      </c>
      <c r="U301" s="93">
        <f t="shared" si="58"/>
        <v>5.0427520000000003E-2</v>
      </c>
      <c r="V301" s="93">
        <f t="shared" si="59"/>
        <v>5.0427520000000002E-3</v>
      </c>
      <c r="W301" s="93">
        <f t="shared" si="60"/>
        <v>5.0427520000000002E-3</v>
      </c>
      <c r="X301" s="93">
        <f t="shared" si="61"/>
        <v>0.56478822400000017</v>
      </c>
      <c r="Y301" s="117"/>
    </row>
    <row r="302" spans="1:25" s="90" customFormat="1">
      <c r="A302" s="95" t="s">
        <v>1482</v>
      </c>
      <c r="B302" s="95" t="s">
        <v>1668</v>
      </c>
      <c r="C302" s="95" t="s">
        <v>1427</v>
      </c>
      <c r="D302" s="101" t="s">
        <v>1479</v>
      </c>
      <c r="E302" s="101" t="s">
        <v>1662</v>
      </c>
      <c r="F302" s="101" t="s">
        <v>1670</v>
      </c>
      <c r="G302" s="101" t="s">
        <v>1480</v>
      </c>
      <c r="H302" s="97" t="str">
        <f>IFERROR(VLOOKUP(I302,'Raw material list'!$A$3:$C$695,3,0),"")</f>
        <v>WAT-001</v>
      </c>
      <c r="I302" s="97" t="s">
        <v>1406</v>
      </c>
      <c r="J302" s="101" t="s">
        <v>161</v>
      </c>
      <c r="K302" s="101" t="str">
        <f>IFERROR(VLOOKUP(I302,'Raw material list'!$A$3:$E$695,5,0),"")</f>
        <v>Ml</v>
      </c>
      <c r="L302" s="95">
        <v>339.67</v>
      </c>
      <c r="M302" s="98">
        <f t="shared" si="55"/>
        <v>339.67</v>
      </c>
      <c r="N302" s="98">
        <v>100</v>
      </c>
      <c r="O302" s="95">
        <v>10</v>
      </c>
      <c r="P302" s="98">
        <f t="shared" si="64"/>
        <v>33.966999999999999</v>
      </c>
      <c r="Q302" s="99">
        <f>IFERROR(VLOOKUP(I302,'Raw material list'!$A$3:$F$695,6,0),"")</f>
        <v>8.0000000000000007E-5</v>
      </c>
      <c r="R302" s="100">
        <f t="shared" si="54"/>
        <v>2.7173600000000003E-3</v>
      </c>
      <c r="S302" s="94">
        <f t="shared" si="56"/>
        <v>2.7173600000000002E-4</v>
      </c>
      <c r="T302" s="94">
        <f t="shared" si="57"/>
        <v>2.9890960000000001E-3</v>
      </c>
      <c r="U302" s="93">
        <f t="shared" si="58"/>
        <v>2.9890960000000002E-4</v>
      </c>
      <c r="V302" s="93">
        <f t="shared" si="59"/>
        <v>2.9890960000000003E-5</v>
      </c>
      <c r="W302" s="93">
        <f t="shared" si="60"/>
        <v>2.9890960000000003E-5</v>
      </c>
      <c r="X302" s="93">
        <f t="shared" si="61"/>
        <v>3.3477875200000002E-3</v>
      </c>
      <c r="Y302" s="117"/>
    </row>
    <row r="303" spans="1:25" s="90" customFormat="1">
      <c r="A303" s="95" t="s">
        <v>1482</v>
      </c>
      <c r="B303" s="95" t="s">
        <v>1668</v>
      </c>
      <c r="C303" s="95" t="s">
        <v>1427</v>
      </c>
      <c r="D303" s="101" t="s">
        <v>1479</v>
      </c>
      <c r="E303" s="101" t="s">
        <v>1662</v>
      </c>
      <c r="F303" s="101" t="s">
        <v>1670</v>
      </c>
      <c r="G303" s="101" t="s">
        <v>1433</v>
      </c>
      <c r="H303" s="97" t="str">
        <f>IFERROR(VLOOKUP(I303,'Raw material list'!$A$3:$C$695,3,0),"")</f>
        <v>DRS4-498</v>
      </c>
      <c r="I303" s="97" t="s">
        <v>62</v>
      </c>
      <c r="J303" s="101" t="s">
        <v>111</v>
      </c>
      <c r="K303" s="101" t="str">
        <f>IFERROR(VLOOKUP(I303,'Raw material list'!$A$3:$E$695,5,0),"")</f>
        <v xml:space="preserve">Gram </v>
      </c>
      <c r="L303" s="95">
        <v>600</v>
      </c>
      <c r="M303" s="98">
        <f t="shared" si="55"/>
        <v>600</v>
      </c>
      <c r="N303" s="98">
        <v>100</v>
      </c>
      <c r="O303" s="95">
        <v>10</v>
      </c>
      <c r="P303" s="98">
        <f t="shared" si="64"/>
        <v>60</v>
      </c>
      <c r="Q303" s="99">
        <f>IFERROR(VLOOKUP(I303,'Raw material list'!$A$3:$F$695,6,0),"")</f>
        <v>5.7499999999999999E-3</v>
      </c>
      <c r="R303" s="100">
        <f t="shared" si="54"/>
        <v>0.34499999999999997</v>
      </c>
      <c r="S303" s="94">
        <f t="shared" si="56"/>
        <v>3.4499999999999996E-2</v>
      </c>
      <c r="T303" s="94">
        <f t="shared" si="57"/>
        <v>0.37949999999999995</v>
      </c>
      <c r="U303" s="93">
        <f t="shared" si="58"/>
        <v>3.7949999999999998E-2</v>
      </c>
      <c r="V303" s="93">
        <f t="shared" si="59"/>
        <v>3.7949999999999998E-3</v>
      </c>
      <c r="W303" s="93">
        <f t="shared" si="60"/>
        <v>3.7949999999999998E-3</v>
      </c>
      <c r="X303" s="93">
        <f t="shared" si="61"/>
        <v>0.42503999999999992</v>
      </c>
      <c r="Y303" s="117"/>
    </row>
    <row r="304" spans="1:25" s="90" customFormat="1">
      <c r="A304" s="95" t="s">
        <v>1482</v>
      </c>
      <c r="B304" s="95" t="s">
        <v>1668</v>
      </c>
      <c r="C304" s="95" t="s">
        <v>1427</v>
      </c>
      <c r="D304" s="101" t="s">
        <v>1479</v>
      </c>
      <c r="E304" s="101" t="s">
        <v>1662</v>
      </c>
      <c r="F304" s="101" t="s">
        <v>1670</v>
      </c>
      <c r="G304" s="101" t="s">
        <v>1433</v>
      </c>
      <c r="H304" s="97" t="str">
        <f>IFERROR(VLOOKUP(I304,'Raw material list'!$A$3:$C$695,3,0),"")</f>
        <v>WAT-001</v>
      </c>
      <c r="I304" s="97" t="s">
        <v>1406</v>
      </c>
      <c r="J304" s="101" t="s">
        <v>161</v>
      </c>
      <c r="K304" s="101" t="str">
        <f>IFERROR(VLOOKUP(I304,'Raw material list'!$A$3:$E$695,5,0),"")</f>
        <v>Ml</v>
      </c>
      <c r="L304" s="95">
        <v>1100</v>
      </c>
      <c r="M304" s="98">
        <f t="shared" si="55"/>
        <v>1100</v>
      </c>
      <c r="N304" s="98">
        <v>100</v>
      </c>
      <c r="O304" s="95">
        <v>10</v>
      </c>
      <c r="P304" s="98">
        <f t="shared" si="64"/>
        <v>110</v>
      </c>
      <c r="Q304" s="99">
        <f>IFERROR(VLOOKUP(I304,'Raw material list'!$A$3:$F$695,6,0),"")</f>
        <v>8.0000000000000007E-5</v>
      </c>
      <c r="R304" s="100">
        <f t="shared" si="54"/>
        <v>8.8000000000000005E-3</v>
      </c>
      <c r="S304" s="94">
        <f t="shared" si="56"/>
        <v>8.8000000000000014E-4</v>
      </c>
      <c r="T304" s="94">
        <f t="shared" si="57"/>
        <v>9.6800000000000011E-3</v>
      </c>
      <c r="U304" s="93">
        <f t="shared" si="58"/>
        <v>9.6800000000000011E-4</v>
      </c>
      <c r="V304" s="93">
        <f t="shared" si="59"/>
        <v>9.6800000000000008E-5</v>
      </c>
      <c r="W304" s="93">
        <f t="shared" si="60"/>
        <v>9.6800000000000008E-5</v>
      </c>
      <c r="X304" s="93">
        <f t="shared" si="61"/>
        <v>1.08416E-2</v>
      </c>
      <c r="Y304" s="117"/>
    </row>
    <row r="305" spans="1:25" s="90" customFormat="1">
      <c r="A305" s="95" t="s">
        <v>1482</v>
      </c>
      <c r="B305" s="95" t="s">
        <v>1668</v>
      </c>
      <c r="C305" s="95" t="s">
        <v>1427</v>
      </c>
      <c r="D305" s="101" t="s">
        <v>1479</v>
      </c>
      <c r="E305" s="101" t="s">
        <v>1662</v>
      </c>
      <c r="F305" s="101" t="s">
        <v>1670</v>
      </c>
      <c r="G305" s="101" t="s">
        <v>1433</v>
      </c>
      <c r="H305" s="97" t="str">
        <f>IFERROR(VLOOKUP(I305,'Raw material list'!$A$3:$C$695,3,0),"")</f>
        <v>DRS1-3880</v>
      </c>
      <c r="I305" s="97" t="s">
        <v>1398</v>
      </c>
      <c r="J305" s="101" t="s">
        <v>111</v>
      </c>
      <c r="K305" s="101" t="str">
        <f>IFERROR(VLOOKUP(I305,'Raw material list'!$A$3:$E$695,5,0),"")</f>
        <v xml:space="preserve">Gram </v>
      </c>
      <c r="L305" s="95">
        <v>14</v>
      </c>
      <c r="M305" s="98">
        <f t="shared" si="55"/>
        <v>14.000000000000002</v>
      </c>
      <c r="N305" s="98">
        <v>100</v>
      </c>
      <c r="O305" s="95">
        <v>10</v>
      </c>
      <c r="P305" s="98">
        <f t="shared" si="64"/>
        <v>1.4</v>
      </c>
      <c r="Q305" s="99">
        <f>IFERROR(VLOOKUP(I305,'Raw material list'!$A$3:$F$695,6,0),"")</f>
        <v>5.0000000000000001E-4</v>
      </c>
      <c r="R305" s="100">
        <f t="shared" si="54"/>
        <v>6.9999999999999999E-4</v>
      </c>
      <c r="S305" s="94">
        <f t="shared" si="56"/>
        <v>7.0000000000000007E-5</v>
      </c>
      <c r="T305" s="94">
        <f t="shared" si="57"/>
        <v>7.6999999999999996E-4</v>
      </c>
      <c r="U305" s="93">
        <f t="shared" si="58"/>
        <v>7.7000000000000001E-5</v>
      </c>
      <c r="V305" s="93">
        <f t="shared" si="59"/>
        <v>7.6999999999999991E-6</v>
      </c>
      <c r="W305" s="93">
        <f t="shared" si="60"/>
        <v>7.6999999999999991E-6</v>
      </c>
      <c r="X305" s="93">
        <f t="shared" si="61"/>
        <v>8.6240000000000004E-4</v>
      </c>
      <c r="Y305" s="117"/>
    </row>
    <row r="306" spans="1:25" s="90" customFormat="1">
      <c r="A306" s="95" t="s">
        <v>1482</v>
      </c>
      <c r="B306" s="95" t="s">
        <v>1668</v>
      </c>
      <c r="C306" s="95" t="s">
        <v>1427</v>
      </c>
      <c r="D306" s="101" t="s">
        <v>1479</v>
      </c>
      <c r="E306" s="101" t="s">
        <v>1662</v>
      </c>
      <c r="F306" s="101" t="s">
        <v>1670</v>
      </c>
      <c r="G306" s="101" t="s">
        <v>1433</v>
      </c>
      <c r="H306" s="97" t="str">
        <f>IFERROR(VLOOKUP(I306,'Raw material list'!$A$3:$C$695,3,0),"")</f>
        <v>DRS6-309</v>
      </c>
      <c r="I306" s="97" t="s">
        <v>35</v>
      </c>
      <c r="J306" s="101" t="s">
        <v>111</v>
      </c>
      <c r="K306" s="101" t="str">
        <f>IFERROR(VLOOKUP(I306,'Raw material list'!$A$3:$E$695,5,0),"")</f>
        <v xml:space="preserve">Gram </v>
      </c>
      <c r="L306" s="95">
        <v>1</v>
      </c>
      <c r="M306" s="98">
        <f t="shared" si="55"/>
        <v>1</v>
      </c>
      <c r="N306" s="98">
        <v>100</v>
      </c>
      <c r="O306" s="95">
        <v>10</v>
      </c>
      <c r="P306" s="98">
        <f t="shared" si="64"/>
        <v>0.1</v>
      </c>
      <c r="Q306" s="99">
        <f>IFERROR(VLOOKUP(I306,'Raw material list'!$A$3:$F$695,6,0),"")</f>
        <v>2.8000000000000001E-2</v>
      </c>
      <c r="R306" s="100">
        <f t="shared" si="54"/>
        <v>2.8000000000000004E-3</v>
      </c>
      <c r="S306" s="94">
        <f t="shared" si="56"/>
        <v>2.8000000000000003E-4</v>
      </c>
      <c r="T306" s="94">
        <f t="shared" si="57"/>
        <v>3.0800000000000003E-3</v>
      </c>
      <c r="U306" s="93">
        <f t="shared" si="58"/>
        <v>3.0800000000000006E-4</v>
      </c>
      <c r="V306" s="93">
        <f t="shared" si="59"/>
        <v>3.0800000000000003E-5</v>
      </c>
      <c r="W306" s="93">
        <f t="shared" si="60"/>
        <v>3.0800000000000003E-5</v>
      </c>
      <c r="X306" s="93">
        <f t="shared" si="61"/>
        <v>3.4496000000000006E-3</v>
      </c>
      <c r="Y306" s="117"/>
    </row>
    <row r="307" spans="1:25" s="90" customFormat="1">
      <c r="A307" s="95" t="s">
        <v>1482</v>
      </c>
      <c r="B307" s="95" t="s">
        <v>1668</v>
      </c>
      <c r="C307" s="95" t="s">
        <v>1427</v>
      </c>
      <c r="D307" s="101" t="s">
        <v>1479</v>
      </c>
      <c r="E307" s="101" t="s">
        <v>1662</v>
      </c>
      <c r="F307" s="101" t="s">
        <v>1670</v>
      </c>
      <c r="G307" s="101" t="s">
        <v>1433</v>
      </c>
      <c r="H307" s="97" t="str">
        <f>IFERROR(VLOOKUP(I307,'Raw material list'!$A$3:$C$695,3,0),"")</f>
        <v>DRS6-3593</v>
      </c>
      <c r="I307" s="97" t="s">
        <v>1417</v>
      </c>
      <c r="J307" s="101" t="s">
        <v>111</v>
      </c>
      <c r="K307" s="101" t="str">
        <f>IFERROR(VLOOKUP(I307,'Raw material list'!$A$3:$E$695,5,0),"")</f>
        <v xml:space="preserve">Gram </v>
      </c>
      <c r="L307" s="95">
        <v>1</v>
      </c>
      <c r="M307" s="98">
        <f t="shared" si="55"/>
        <v>1</v>
      </c>
      <c r="N307" s="98">
        <v>100</v>
      </c>
      <c r="O307" s="95">
        <v>10</v>
      </c>
      <c r="P307" s="98">
        <f t="shared" si="64"/>
        <v>0.1</v>
      </c>
      <c r="Q307" s="99">
        <f>IFERROR(VLOOKUP(I307,'Raw material list'!$A$3:$F$695,6,0),"")</f>
        <v>1.0500000000000001E-2</v>
      </c>
      <c r="R307" s="100">
        <f t="shared" si="54"/>
        <v>1.0500000000000002E-3</v>
      </c>
      <c r="S307" s="94">
        <f t="shared" si="56"/>
        <v>1.0500000000000002E-4</v>
      </c>
      <c r="T307" s="94">
        <f t="shared" si="57"/>
        <v>1.1550000000000002E-3</v>
      </c>
      <c r="U307" s="93">
        <f t="shared" si="58"/>
        <v>1.1550000000000003E-4</v>
      </c>
      <c r="V307" s="93">
        <f t="shared" si="59"/>
        <v>1.1550000000000003E-5</v>
      </c>
      <c r="W307" s="93">
        <f t="shared" si="60"/>
        <v>1.1550000000000003E-5</v>
      </c>
      <c r="X307" s="93">
        <f t="shared" si="61"/>
        <v>1.2936E-3</v>
      </c>
      <c r="Y307" s="117"/>
    </row>
    <row r="308" spans="1:25" s="90" customFormat="1">
      <c r="A308" s="95" t="s">
        <v>1482</v>
      </c>
      <c r="B308" s="95" t="s">
        <v>1668</v>
      </c>
      <c r="C308" s="95" t="s">
        <v>1427</v>
      </c>
      <c r="D308" s="101" t="s">
        <v>1479</v>
      </c>
      <c r="E308" s="101" t="s">
        <v>1662</v>
      </c>
      <c r="F308" s="101" t="s">
        <v>1670</v>
      </c>
      <c r="G308" s="101" t="s">
        <v>1433</v>
      </c>
      <c r="H308" s="97" t="str">
        <f>IFERROR(VLOOKUP(I308,'Raw material list'!$A$3:$C$695,3,0),"")</f>
        <v>DRS3-1813</v>
      </c>
      <c r="I308" s="97" t="s">
        <v>39</v>
      </c>
      <c r="J308" s="101" t="s">
        <v>161</v>
      </c>
      <c r="K308" s="101" t="str">
        <f>IFERROR(VLOOKUP(I308,'Raw material list'!$A$3:$E$695,5,0),"")</f>
        <v>Ml</v>
      </c>
      <c r="L308" s="95">
        <v>30</v>
      </c>
      <c r="M308" s="98">
        <f t="shared" si="55"/>
        <v>30</v>
      </c>
      <c r="N308" s="98">
        <v>100</v>
      </c>
      <c r="O308" s="95">
        <v>10</v>
      </c>
      <c r="P308" s="98">
        <f t="shared" si="64"/>
        <v>3</v>
      </c>
      <c r="Q308" s="99">
        <f>IFERROR(VLOOKUP(I308,'Raw material list'!$A$3:$F$695,6,0),"")</f>
        <v>8.0555555555555554E-3</v>
      </c>
      <c r="R308" s="100">
        <f t="shared" si="54"/>
        <v>2.4166666666666666E-2</v>
      </c>
      <c r="S308" s="94">
        <f t="shared" si="56"/>
        <v>2.4166666666666668E-3</v>
      </c>
      <c r="T308" s="94">
        <f t="shared" si="57"/>
        <v>2.6583333333333334E-2</v>
      </c>
      <c r="U308" s="93">
        <f t="shared" si="58"/>
        <v>2.6583333333333337E-3</v>
      </c>
      <c r="V308" s="93">
        <f t="shared" si="59"/>
        <v>2.6583333333333336E-4</v>
      </c>
      <c r="W308" s="93">
        <f t="shared" si="60"/>
        <v>2.6583333333333336E-4</v>
      </c>
      <c r="X308" s="93">
        <f t="shared" si="61"/>
        <v>2.9773333333333332E-2</v>
      </c>
      <c r="Y308" s="117"/>
    </row>
    <row r="309" spans="1:25" s="90" customFormat="1">
      <c r="A309" s="95" t="s">
        <v>1482</v>
      </c>
      <c r="B309" s="95" t="s">
        <v>1668</v>
      </c>
      <c r="C309" s="95" t="s">
        <v>1427</v>
      </c>
      <c r="D309" s="101" t="s">
        <v>1479</v>
      </c>
      <c r="E309" s="101" t="s">
        <v>1662</v>
      </c>
      <c r="F309" s="101" t="s">
        <v>1670</v>
      </c>
      <c r="G309" s="101" t="s">
        <v>1433</v>
      </c>
      <c r="H309" s="97" t="str">
        <f>IFERROR(VLOOKUP(I309,'Raw material list'!$A$3:$C$695,3,0),"")</f>
        <v>DRS6-539</v>
      </c>
      <c r="I309" s="97" t="s">
        <v>717</v>
      </c>
      <c r="J309" s="101" t="s">
        <v>111</v>
      </c>
      <c r="K309" s="101" t="str">
        <f>IFERROR(VLOOKUP(I309,'Raw material list'!$A$3:$E$695,5,0),"")</f>
        <v xml:space="preserve">Gram </v>
      </c>
      <c r="L309" s="95">
        <v>2</v>
      </c>
      <c r="M309" s="98">
        <f t="shared" si="55"/>
        <v>2</v>
      </c>
      <c r="N309" s="98">
        <v>100</v>
      </c>
      <c r="O309" s="95">
        <v>10</v>
      </c>
      <c r="P309" s="98">
        <f t="shared" si="64"/>
        <v>0.2</v>
      </c>
      <c r="Q309" s="99">
        <f>IFERROR(VLOOKUP(I309,'Raw material list'!$A$3:$F$695,6,0),"")</f>
        <v>0.16</v>
      </c>
      <c r="R309" s="100">
        <f t="shared" si="54"/>
        <v>3.2000000000000001E-2</v>
      </c>
      <c r="S309" s="94">
        <f t="shared" si="56"/>
        <v>3.2000000000000002E-3</v>
      </c>
      <c r="T309" s="94">
        <f t="shared" si="57"/>
        <v>3.5200000000000002E-2</v>
      </c>
      <c r="U309" s="93">
        <f t="shared" si="58"/>
        <v>3.5200000000000006E-3</v>
      </c>
      <c r="V309" s="93">
        <f t="shared" si="59"/>
        <v>3.5200000000000005E-4</v>
      </c>
      <c r="W309" s="93">
        <f t="shared" si="60"/>
        <v>3.5200000000000005E-4</v>
      </c>
      <c r="X309" s="93">
        <f t="shared" si="61"/>
        <v>3.9424000000000001E-2</v>
      </c>
      <c r="Y309" s="117"/>
    </row>
    <row r="310" spans="1:25" s="90" customFormat="1">
      <c r="A310" s="95" t="s">
        <v>1482</v>
      </c>
      <c r="B310" s="95" t="s">
        <v>1668</v>
      </c>
      <c r="C310" s="95" t="s">
        <v>1427</v>
      </c>
      <c r="D310" s="101" t="s">
        <v>1479</v>
      </c>
      <c r="E310" s="101" t="s">
        <v>1662</v>
      </c>
      <c r="F310" s="101" t="s">
        <v>1670</v>
      </c>
      <c r="G310" s="101" t="s">
        <v>1433</v>
      </c>
      <c r="H310" s="97" t="str">
        <f>IFERROR(VLOOKUP(I310,'Raw material list'!$A$3:$C$695,3,0),"")</f>
        <v>DRS6-261</v>
      </c>
      <c r="I310" s="97" t="s">
        <v>1565</v>
      </c>
      <c r="J310" s="101" t="s">
        <v>111</v>
      </c>
      <c r="K310" s="101" t="str">
        <f>IFERROR(VLOOKUP(I310,'Raw material list'!$A$3:$E$695,5,0),"")</f>
        <v xml:space="preserve">Gram </v>
      </c>
      <c r="L310" s="95">
        <v>0.3</v>
      </c>
      <c r="M310" s="98">
        <f t="shared" si="55"/>
        <v>0.3</v>
      </c>
      <c r="N310" s="98">
        <v>100</v>
      </c>
      <c r="O310" s="95">
        <v>10</v>
      </c>
      <c r="P310" s="98">
        <f t="shared" si="64"/>
        <v>0.03</v>
      </c>
      <c r="Q310" s="99">
        <f>IFERROR(VLOOKUP(I310,'Raw material list'!$A$3:$F$695,6,0),"")</f>
        <v>1.4E-2</v>
      </c>
      <c r="R310" s="100">
        <f t="shared" si="54"/>
        <v>4.2000000000000002E-4</v>
      </c>
      <c r="S310" s="94">
        <f t="shared" si="56"/>
        <v>4.2000000000000004E-5</v>
      </c>
      <c r="T310" s="94">
        <f t="shared" si="57"/>
        <v>4.6200000000000001E-4</v>
      </c>
      <c r="U310" s="93">
        <f t="shared" si="58"/>
        <v>4.6200000000000005E-5</v>
      </c>
      <c r="V310" s="93">
        <f t="shared" si="59"/>
        <v>4.6199999999999998E-6</v>
      </c>
      <c r="W310" s="93">
        <f t="shared" si="60"/>
        <v>4.6199999999999998E-6</v>
      </c>
      <c r="X310" s="93">
        <f t="shared" si="61"/>
        <v>5.1743999999999998E-4</v>
      </c>
      <c r="Y310" s="117"/>
    </row>
    <row r="311" spans="1:25" s="90" customFormat="1">
      <c r="A311" s="95" t="s">
        <v>1483</v>
      </c>
      <c r="B311" s="95" t="s">
        <v>1668</v>
      </c>
      <c r="C311" s="95" t="s">
        <v>1427</v>
      </c>
      <c r="D311" s="101" t="s">
        <v>1486</v>
      </c>
      <c r="E311" s="101" t="s">
        <v>1485</v>
      </c>
      <c r="F311" s="101" t="s">
        <v>1671</v>
      </c>
      <c r="G311" s="101" t="s">
        <v>1591</v>
      </c>
      <c r="H311" s="97" t="str">
        <f>IFERROR(VLOOKUP(I311,'Raw material list'!$A$3:$C$695,3,0),"")</f>
        <v>PLT2-3278</v>
      </c>
      <c r="I311" s="97" t="s">
        <v>61</v>
      </c>
      <c r="J311" s="101" t="s">
        <v>111</v>
      </c>
      <c r="K311" s="101" t="str">
        <f>IFERROR(VLOOKUP(I311,'Raw material list'!$A$3:$E$695,5,0),"")</f>
        <v xml:space="preserve">Gram </v>
      </c>
      <c r="L311" s="95">
        <v>1400</v>
      </c>
      <c r="M311" s="98">
        <f t="shared" si="55"/>
        <v>1837.2703412073492</v>
      </c>
      <c r="N311" s="98">
        <v>76.2</v>
      </c>
      <c r="O311" s="95">
        <v>10</v>
      </c>
      <c r="P311" s="98">
        <f t="shared" si="64"/>
        <v>140</v>
      </c>
      <c r="Q311" s="99">
        <f>IFERROR(VLOOKUP(I311,'Raw material list'!$A$3:$F$695,6,0),"")</f>
        <v>3.035714285714285E-2</v>
      </c>
      <c r="R311" s="100">
        <f t="shared" ref="R311:R359" si="65">IFERROR(Q311*P311,0)</f>
        <v>4.2499999999999991</v>
      </c>
      <c r="S311" s="94">
        <f t="shared" si="56"/>
        <v>0.42499999999999993</v>
      </c>
      <c r="T311" s="94">
        <f t="shared" si="57"/>
        <v>4.6749999999999989</v>
      </c>
      <c r="U311" s="93">
        <f t="shared" si="58"/>
        <v>0.46749999999999992</v>
      </c>
      <c r="V311" s="93">
        <f t="shared" si="59"/>
        <v>4.6749999999999993E-2</v>
      </c>
      <c r="W311" s="93">
        <f t="shared" si="60"/>
        <v>4.6749999999999993E-2</v>
      </c>
      <c r="X311" s="93">
        <f t="shared" si="61"/>
        <v>5.2359999999999998</v>
      </c>
      <c r="Y311" s="117" t="s">
        <v>1674</v>
      </c>
    </row>
    <row r="312" spans="1:25" s="90" customFormat="1">
      <c r="A312" s="95" t="s">
        <v>1483</v>
      </c>
      <c r="B312" s="95" t="s">
        <v>1668</v>
      </c>
      <c r="C312" s="95" t="s">
        <v>1427</v>
      </c>
      <c r="D312" s="101" t="s">
        <v>1486</v>
      </c>
      <c r="E312" s="101" t="s">
        <v>1485</v>
      </c>
      <c r="F312" s="95" t="s">
        <v>1671</v>
      </c>
      <c r="G312" s="101" t="s">
        <v>1591</v>
      </c>
      <c r="H312" s="97" t="str">
        <f>IFERROR(VLOOKUP(I312,'Raw material list'!$A$3:$C$695,3,0),"")</f>
        <v>DRS6-1727</v>
      </c>
      <c r="I312" s="97" t="s">
        <v>41</v>
      </c>
      <c r="J312" s="101" t="s">
        <v>111</v>
      </c>
      <c r="K312" s="101" t="str">
        <f>IFERROR(VLOOKUP(I312,'Raw material list'!$A$3:$E$695,5,0),"")</f>
        <v xml:space="preserve">Gram </v>
      </c>
      <c r="L312" s="95">
        <v>12</v>
      </c>
      <c r="M312" s="98">
        <f t="shared" si="55"/>
        <v>12</v>
      </c>
      <c r="N312" s="98">
        <v>100</v>
      </c>
      <c r="O312" s="95">
        <v>10</v>
      </c>
      <c r="P312" s="98">
        <f t="shared" ref="P312:P315" si="66">IFERROR(L312/O312,0)</f>
        <v>1.2</v>
      </c>
      <c r="Q312" s="99">
        <f>IFERROR(VLOOKUP(I312,'Raw material list'!$A$3:$F$695,6,0),"")</f>
        <v>2.5000000000000001E-2</v>
      </c>
      <c r="R312" s="100">
        <f t="shared" ref="R312:R315" si="67">IFERROR(Q312*P312,0)</f>
        <v>0.03</v>
      </c>
      <c r="S312" s="94">
        <f t="shared" si="56"/>
        <v>3.0000000000000001E-3</v>
      </c>
      <c r="T312" s="94">
        <f t="shared" si="57"/>
        <v>3.3000000000000002E-2</v>
      </c>
      <c r="U312" s="93">
        <f t="shared" si="58"/>
        <v>3.3000000000000004E-3</v>
      </c>
      <c r="V312" s="93">
        <f t="shared" si="59"/>
        <v>3.3E-4</v>
      </c>
      <c r="W312" s="93">
        <f t="shared" si="60"/>
        <v>3.3E-4</v>
      </c>
      <c r="X312" s="93">
        <f t="shared" si="61"/>
        <v>3.6959999999999993E-2</v>
      </c>
      <c r="Y312" s="117"/>
    </row>
    <row r="313" spans="1:25" s="90" customFormat="1">
      <c r="A313" s="95" t="s">
        <v>1483</v>
      </c>
      <c r="B313" s="95" t="s">
        <v>1668</v>
      </c>
      <c r="C313" s="95" t="s">
        <v>1427</v>
      </c>
      <c r="D313" s="101" t="s">
        <v>1486</v>
      </c>
      <c r="E313" s="101" t="s">
        <v>1485</v>
      </c>
      <c r="F313" s="95" t="s">
        <v>1671</v>
      </c>
      <c r="G313" s="101" t="s">
        <v>1591</v>
      </c>
      <c r="H313" s="97" t="str">
        <f>IFERROR(VLOOKUP(I313,'Raw material list'!$A$3:$C$695,3,0),"")</f>
        <v>DRS6-5088</v>
      </c>
      <c r="I313" s="97" t="s">
        <v>668</v>
      </c>
      <c r="J313" s="101" t="s">
        <v>111</v>
      </c>
      <c r="K313" s="101" t="str">
        <f>IFERROR(VLOOKUP(I313,'Raw material list'!$A$3:$E$695,5,0),"")</f>
        <v xml:space="preserve">Gram </v>
      </c>
      <c r="L313" s="95">
        <v>12</v>
      </c>
      <c r="M313" s="98">
        <f t="shared" si="55"/>
        <v>12</v>
      </c>
      <c r="N313" s="98">
        <v>100</v>
      </c>
      <c r="O313" s="95">
        <v>10</v>
      </c>
      <c r="P313" s="98">
        <f t="shared" si="66"/>
        <v>1.2</v>
      </c>
      <c r="Q313" s="99">
        <f>IFERROR(VLOOKUP(I313,'Raw material list'!$A$3:$F$695,6,0),"")</f>
        <v>0.08</v>
      </c>
      <c r="R313" s="100">
        <f t="shared" si="67"/>
        <v>9.6000000000000002E-2</v>
      </c>
      <c r="S313" s="94">
        <f t="shared" si="56"/>
        <v>9.6000000000000009E-3</v>
      </c>
      <c r="T313" s="94">
        <f t="shared" si="57"/>
        <v>0.1056</v>
      </c>
      <c r="U313" s="93">
        <f t="shared" si="58"/>
        <v>1.056E-2</v>
      </c>
      <c r="V313" s="93">
        <f t="shared" si="59"/>
        <v>1.0560000000000001E-3</v>
      </c>
      <c r="W313" s="93">
        <f t="shared" si="60"/>
        <v>1.0560000000000001E-3</v>
      </c>
      <c r="X313" s="93">
        <f t="shared" si="61"/>
        <v>0.118272</v>
      </c>
      <c r="Y313" s="117"/>
    </row>
    <row r="314" spans="1:25" s="90" customFormat="1">
      <c r="A314" s="95" t="s">
        <v>1483</v>
      </c>
      <c r="B314" s="95" t="s">
        <v>1668</v>
      </c>
      <c r="C314" s="95" t="s">
        <v>1427</v>
      </c>
      <c r="D314" s="101" t="s">
        <v>1486</v>
      </c>
      <c r="E314" s="101" t="s">
        <v>1485</v>
      </c>
      <c r="F314" s="95" t="s">
        <v>1671</v>
      </c>
      <c r="G314" s="101" t="s">
        <v>1591</v>
      </c>
      <c r="H314" s="97" t="str">
        <f>IFERROR(VLOOKUP(I314,'Raw material list'!$A$3:$C$695,3,0),"")</f>
        <v>DRS6-5376</v>
      </c>
      <c r="I314" s="97" t="s">
        <v>55</v>
      </c>
      <c r="J314" s="101" t="s">
        <v>111</v>
      </c>
      <c r="K314" s="101" t="str">
        <f>IFERROR(VLOOKUP(I314,'Raw material list'!$A$3:$E$695,5,0),"")</f>
        <v xml:space="preserve">Gram </v>
      </c>
      <c r="L314" s="95">
        <v>3</v>
      </c>
      <c r="M314" s="98">
        <f t="shared" si="55"/>
        <v>3</v>
      </c>
      <c r="N314" s="98">
        <v>100</v>
      </c>
      <c r="O314" s="95">
        <v>10</v>
      </c>
      <c r="P314" s="98">
        <f t="shared" si="66"/>
        <v>0.3</v>
      </c>
      <c r="Q314" s="99">
        <f>IFERROR(VLOOKUP(I314,'Raw material list'!$A$3:$F$695,6,0),"")</f>
        <v>2.8000000000000001E-2</v>
      </c>
      <c r="R314" s="100">
        <f t="shared" si="67"/>
        <v>8.3999999999999995E-3</v>
      </c>
      <c r="S314" s="94">
        <f t="shared" si="56"/>
        <v>8.4000000000000003E-4</v>
      </c>
      <c r="T314" s="94">
        <f t="shared" si="57"/>
        <v>9.2399999999999999E-3</v>
      </c>
      <c r="U314" s="93">
        <f t="shared" si="58"/>
        <v>9.2400000000000002E-4</v>
      </c>
      <c r="V314" s="93">
        <f t="shared" si="59"/>
        <v>9.2399999999999996E-5</v>
      </c>
      <c r="W314" s="93">
        <f t="shared" si="60"/>
        <v>9.2399999999999996E-5</v>
      </c>
      <c r="X314" s="93">
        <f t="shared" si="61"/>
        <v>1.0348799999999998E-2</v>
      </c>
      <c r="Y314" s="117"/>
    </row>
    <row r="315" spans="1:25" s="90" customFormat="1">
      <c r="A315" s="95" t="s">
        <v>1483</v>
      </c>
      <c r="B315" s="95" t="s">
        <v>1668</v>
      </c>
      <c r="C315" s="95" t="s">
        <v>1427</v>
      </c>
      <c r="D315" s="101" t="s">
        <v>1486</v>
      </c>
      <c r="E315" s="101" t="s">
        <v>1485</v>
      </c>
      <c r="F315" s="95" t="s">
        <v>1671</v>
      </c>
      <c r="G315" s="101" t="s">
        <v>1591</v>
      </c>
      <c r="H315" s="97" t="str">
        <f>IFERROR(VLOOKUP(I315,'Raw material list'!$A$3:$C$695,3,0),"")</f>
        <v>WAT-001</v>
      </c>
      <c r="I315" s="97" t="s">
        <v>1406</v>
      </c>
      <c r="J315" s="101" t="s">
        <v>161</v>
      </c>
      <c r="K315" s="101" t="str">
        <f>IFERROR(VLOOKUP(I315,'Raw material list'!$A$3:$E$695,5,0),"")</f>
        <v>Ml</v>
      </c>
      <c r="L315" s="95">
        <v>120</v>
      </c>
      <c r="M315" s="98">
        <f t="shared" si="55"/>
        <v>120</v>
      </c>
      <c r="N315" s="98">
        <v>100</v>
      </c>
      <c r="O315" s="95">
        <v>10</v>
      </c>
      <c r="P315" s="98">
        <f t="shared" si="66"/>
        <v>12</v>
      </c>
      <c r="Q315" s="99">
        <f>IFERROR(VLOOKUP(I315,'Raw material list'!$A$3:$F$695,6,0),"")</f>
        <v>8.0000000000000007E-5</v>
      </c>
      <c r="R315" s="100">
        <f t="shared" si="67"/>
        <v>9.6000000000000013E-4</v>
      </c>
      <c r="S315" s="94">
        <f t="shared" si="56"/>
        <v>9.6000000000000016E-5</v>
      </c>
      <c r="T315" s="94">
        <f t="shared" si="57"/>
        <v>1.0560000000000001E-3</v>
      </c>
      <c r="U315" s="93">
        <f t="shared" si="58"/>
        <v>1.0560000000000002E-4</v>
      </c>
      <c r="V315" s="93">
        <f t="shared" si="59"/>
        <v>1.0560000000000001E-5</v>
      </c>
      <c r="W315" s="93">
        <f t="shared" si="60"/>
        <v>1.0560000000000001E-5</v>
      </c>
      <c r="X315" s="93">
        <f t="shared" si="61"/>
        <v>1.18272E-3</v>
      </c>
      <c r="Y315" s="117"/>
    </row>
    <row r="316" spans="1:25" s="90" customFormat="1">
      <c r="A316" s="95" t="s">
        <v>1483</v>
      </c>
      <c r="B316" s="95" t="s">
        <v>1668</v>
      </c>
      <c r="C316" s="95" t="s">
        <v>1427</v>
      </c>
      <c r="D316" s="101" t="s">
        <v>1486</v>
      </c>
      <c r="E316" s="101" t="s">
        <v>1485</v>
      </c>
      <c r="F316" s="101" t="s">
        <v>1670</v>
      </c>
      <c r="G316" s="101" t="s">
        <v>1461</v>
      </c>
      <c r="H316" s="97" t="str">
        <f>IFERROR(VLOOKUP(I316,'Raw material list'!$A$3:$C$695,3,0),"")</f>
        <v>PRD1-221</v>
      </c>
      <c r="I316" s="97" t="s">
        <v>1022</v>
      </c>
      <c r="J316" s="101" t="s">
        <v>111</v>
      </c>
      <c r="K316" s="101" t="str">
        <f>IFERROR(VLOOKUP(I316,'Raw material list'!$A$3:$E$695,5,0),"")</f>
        <v xml:space="preserve">Gram </v>
      </c>
      <c r="L316" s="95">
        <v>10</v>
      </c>
      <c r="M316" s="98">
        <f t="shared" si="55"/>
        <v>17.201834862385319</v>
      </c>
      <c r="N316" s="98">
        <v>58.13333333333334</v>
      </c>
      <c r="O316" s="95">
        <v>10</v>
      </c>
      <c r="P316" s="98">
        <f t="shared" si="64"/>
        <v>1</v>
      </c>
      <c r="Q316" s="99">
        <f>IFERROR(VLOOKUP(I316,'Raw material list'!$A$3:$F$695,6,0),"")</f>
        <v>6.8846815834767653E-3</v>
      </c>
      <c r="R316" s="100">
        <f t="shared" si="65"/>
        <v>6.8846815834767653E-3</v>
      </c>
      <c r="S316" s="94">
        <f t="shared" si="56"/>
        <v>6.8846815834767657E-4</v>
      </c>
      <c r="T316" s="94">
        <f t="shared" si="57"/>
        <v>7.5731497418244417E-3</v>
      </c>
      <c r="U316" s="93">
        <f t="shared" si="58"/>
        <v>7.5731497418244417E-4</v>
      </c>
      <c r="V316" s="93">
        <f t="shared" si="59"/>
        <v>7.5731497418244422E-5</v>
      </c>
      <c r="W316" s="93">
        <f t="shared" si="60"/>
        <v>7.5731497418244422E-5</v>
      </c>
      <c r="X316" s="93">
        <f t="shared" si="61"/>
        <v>8.481927710843374E-3</v>
      </c>
      <c r="Y316" s="117"/>
    </row>
    <row r="317" spans="1:25" s="90" customFormat="1">
      <c r="A317" s="95" t="s">
        <v>1483</v>
      </c>
      <c r="B317" s="95" t="s">
        <v>1668</v>
      </c>
      <c r="C317" s="95" t="s">
        <v>1427</v>
      </c>
      <c r="D317" s="101" t="s">
        <v>1486</v>
      </c>
      <c r="E317" s="101" t="s">
        <v>1485</v>
      </c>
      <c r="F317" s="101" t="s">
        <v>1670</v>
      </c>
      <c r="G317" s="101" t="s">
        <v>1461</v>
      </c>
      <c r="H317" s="97" t="str">
        <f>IFERROR(VLOOKUP(I317,'Raw material list'!$A$3:$C$695,3,0),"")</f>
        <v>PRD1-194</v>
      </c>
      <c r="I317" s="97" t="s">
        <v>991</v>
      </c>
      <c r="J317" s="101" t="s">
        <v>111</v>
      </c>
      <c r="K317" s="101" t="str">
        <f>IFERROR(VLOOKUP(I317,'Raw material list'!$A$3:$E$695,5,0),"")</f>
        <v xml:space="preserve">Gram </v>
      </c>
      <c r="L317" s="95">
        <v>10</v>
      </c>
      <c r="M317" s="98">
        <f t="shared" si="55"/>
        <v>10.869565217391305</v>
      </c>
      <c r="N317" s="133">
        <v>92</v>
      </c>
      <c r="O317" s="95">
        <v>10</v>
      </c>
      <c r="P317" s="98">
        <f t="shared" si="64"/>
        <v>1</v>
      </c>
      <c r="Q317" s="99">
        <f>IFERROR(VLOOKUP(I317,'Raw material list'!$A$3:$F$695,6,0),"")</f>
        <v>0.11</v>
      </c>
      <c r="R317" s="100">
        <f t="shared" si="65"/>
        <v>0.11</v>
      </c>
      <c r="S317" s="94">
        <f t="shared" si="56"/>
        <v>1.1000000000000001E-2</v>
      </c>
      <c r="T317" s="94">
        <f t="shared" si="57"/>
        <v>0.121</v>
      </c>
      <c r="U317" s="93">
        <f t="shared" si="58"/>
        <v>1.21E-2</v>
      </c>
      <c r="V317" s="93">
        <f t="shared" si="59"/>
        <v>1.2099999999999999E-3</v>
      </c>
      <c r="W317" s="93">
        <f t="shared" si="60"/>
        <v>1.2099999999999999E-3</v>
      </c>
      <c r="X317" s="93">
        <f t="shared" si="61"/>
        <v>0.13551999999999997</v>
      </c>
      <c r="Y317" s="117"/>
    </row>
    <row r="318" spans="1:25" s="90" customFormat="1">
      <c r="A318" s="95" t="s">
        <v>1483</v>
      </c>
      <c r="B318" s="95" t="s">
        <v>1668</v>
      </c>
      <c r="C318" s="95" t="s">
        <v>1427</v>
      </c>
      <c r="D318" s="101" t="s">
        <v>1486</v>
      </c>
      <c r="E318" s="101" t="s">
        <v>1485</v>
      </c>
      <c r="F318" s="101" t="s">
        <v>1670</v>
      </c>
      <c r="G318" s="101" t="s">
        <v>1442</v>
      </c>
      <c r="H318" s="97" t="str">
        <f>IFERROR(VLOOKUP(I318,'Raw material list'!$A$3:$C$695,3,0),"")</f>
        <v>DRY2-1008</v>
      </c>
      <c r="I318" s="97" t="s">
        <v>21</v>
      </c>
      <c r="J318" s="101" t="s">
        <v>111</v>
      </c>
      <c r="K318" s="101" t="str">
        <f>IFERROR(VLOOKUP(I318,'Raw material list'!$A$3:$E$695,5,0),"")</f>
        <v xml:space="preserve">Gram </v>
      </c>
      <c r="L318" s="95">
        <v>58.47</v>
      </c>
      <c r="M318" s="98">
        <f t="shared" si="55"/>
        <v>58.47</v>
      </c>
      <c r="N318" s="98">
        <v>100</v>
      </c>
      <c r="O318" s="95">
        <v>10</v>
      </c>
      <c r="P318" s="98">
        <f t="shared" si="64"/>
        <v>5.8469999999999995</v>
      </c>
      <c r="Q318" s="99">
        <f>IFERROR(VLOOKUP(I318,'Raw material list'!$A$3:$F$695,6,0),"")</f>
        <v>3.7999999999999999E-2</v>
      </c>
      <c r="R318" s="100">
        <f t="shared" si="65"/>
        <v>0.22218599999999997</v>
      </c>
      <c r="S318" s="94">
        <f t="shared" si="56"/>
        <v>2.2218599999999998E-2</v>
      </c>
      <c r="T318" s="94">
        <f t="shared" si="57"/>
        <v>0.24440459999999997</v>
      </c>
      <c r="U318" s="93">
        <f t="shared" si="58"/>
        <v>2.4440459999999997E-2</v>
      </c>
      <c r="V318" s="93">
        <f t="shared" si="59"/>
        <v>2.4440459999999996E-3</v>
      </c>
      <c r="W318" s="93">
        <f t="shared" si="60"/>
        <v>2.4440459999999996E-3</v>
      </c>
      <c r="X318" s="93">
        <f t="shared" si="61"/>
        <v>0.27373315199999992</v>
      </c>
      <c r="Y318" s="117"/>
    </row>
    <row r="319" spans="1:25" s="90" customFormat="1">
      <c r="A319" s="95" t="s">
        <v>1483</v>
      </c>
      <c r="B319" s="95" t="s">
        <v>1668</v>
      </c>
      <c r="C319" s="95" t="s">
        <v>1427</v>
      </c>
      <c r="D319" s="101" t="s">
        <v>1486</v>
      </c>
      <c r="E319" s="101" t="s">
        <v>1485</v>
      </c>
      <c r="F319" s="101" t="s">
        <v>1670</v>
      </c>
      <c r="G319" s="101" t="s">
        <v>1442</v>
      </c>
      <c r="H319" s="97" t="str">
        <f>IFERROR(VLOOKUP(I319,'Raw material list'!$A$3:$C$695,3,0),"")</f>
        <v>PRD1-4327</v>
      </c>
      <c r="I319" s="97" t="s">
        <v>11</v>
      </c>
      <c r="J319" s="101" t="s">
        <v>111</v>
      </c>
      <c r="K319" s="101" t="str">
        <f>IFERROR(VLOOKUP(I319,'Raw material list'!$A$3:$E$695,5,0),"")</f>
        <v xml:space="preserve">Gram </v>
      </c>
      <c r="L319" s="95">
        <v>29.23</v>
      </c>
      <c r="M319" s="98">
        <f t="shared" si="55"/>
        <v>36.537500000000001</v>
      </c>
      <c r="N319" s="133">
        <v>80</v>
      </c>
      <c r="O319" s="95">
        <v>10</v>
      </c>
      <c r="P319" s="98">
        <f t="shared" si="64"/>
        <v>2.923</v>
      </c>
      <c r="Q319" s="99">
        <f>IFERROR(VLOOKUP(I319,'Raw material list'!$A$3:$F$695,6,0),"")</f>
        <v>1.2999999999999999E-2</v>
      </c>
      <c r="R319" s="100">
        <f t="shared" si="65"/>
        <v>3.7998999999999998E-2</v>
      </c>
      <c r="S319" s="94">
        <f t="shared" si="56"/>
        <v>3.7999000000000002E-3</v>
      </c>
      <c r="T319" s="94">
        <f t="shared" si="57"/>
        <v>4.17989E-2</v>
      </c>
      <c r="U319" s="93">
        <f t="shared" si="58"/>
        <v>4.1798900000000003E-3</v>
      </c>
      <c r="V319" s="93">
        <f t="shared" si="59"/>
        <v>4.1798900000000001E-4</v>
      </c>
      <c r="W319" s="93">
        <f t="shared" si="60"/>
        <v>4.1798900000000001E-4</v>
      </c>
      <c r="X319" s="93">
        <f t="shared" si="61"/>
        <v>4.6814768E-2</v>
      </c>
      <c r="Y319" s="117"/>
    </row>
    <row r="320" spans="1:25" s="90" customFormat="1">
      <c r="A320" s="95" t="s">
        <v>1483</v>
      </c>
      <c r="B320" s="95" t="s">
        <v>1668</v>
      </c>
      <c r="C320" s="95" t="s">
        <v>1427</v>
      </c>
      <c r="D320" s="101" t="s">
        <v>1486</v>
      </c>
      <c r="E320" s="101" t="s">
        <v>1485</v>
      </c>
      <c r="F320" s="101" t="s">
        <v>1670</v>
      </c>
      <c r="G320" s="101" t="s">
        <v>1442</v>
      </c>
      <c r="H320" s="97" t="str">
        <f>IFERROR(VLOOKUP(I320,'Raw material list'!$A$3:$C$695,3,0),"")</f>
        <v>PRD1-4265</v>
      </c>
      <c r="I320" s="97" t="s">
        <v>10</v>
      </c>
      <c r="J320" s="101" t="s">
        <v>111</v>
      </c>
      <c r="K320" s="101" t="str">
        <f>IFERROR(VLOOKUP(I320,'Raw material list'!$A$3:$E$695,5,0),"")</f>
        <v xml:space="preserve">Gram </v>
      </c>
      <c r="L320" s="95">
        <v>116.95</v>
      </c>
      <c r="M320" s="98">
        <f t="shared" si="55"/>
        <v>137.58823529411765</v>
      </c>
      <c r="N320" s="98">
        <v>85</v>
      </c>
      <c r="O320" s="95">
        <v>10</v>
      </c>
      <c r="P320" s="98">
        <f t="shared" si="64"/>
        <v>11.695</v>
      </c>
      <c r="Q320" s="99">
        <f>IFERROR(VLOOKUP(I320,'Raw material list'!$A$3:$F$695,6,0),"")</f>
        <v>3.529411764705882E-3</v>
      </c>
      <c r="R320" s="100">
        <f t="shared" si="65"/>
        <v>4.1276470588235289E-2</v>
      </c>
      <c r="S320" s="94">
        <f t="shared" si="56"/>
        <v>4.1276470588235293E-3</v>
      </c>
      <c r="T320" s="94">
        <f t="shared" si="57"/>
        <v>4.5404117647058817E-2</v>
      </c>
      <c r="U320" s="93">
        <f t="shared" si="58"/>
        <v>4.5404117647058822E-3</v>
      </c>
      <c r="V320" s="93">
        <f t="shared" si="59"/>
        <v>4.5404117647058817E-4</v>
      </c>
      <c r="W320" s="93">
        <f t="shared" si="60"/>
        <v>4.5404117647058817E-4</v>
      </c>
      <c r="X320" s="93">
        <f t="shared" si="61"/>
        <v>5.0852611764705881E-2</v>
      </c>
      <c r="Y320" s="117"/>
    </row>
    <row r="321" spans="1:25" s="90" customFormat="1">
      <c r="A321" s="95" t="s">
        <v>1483</v>
      </c>
      <c r="B321" s="95" t="s">
        <v>1668</v>
      </c>
      <c r="C321" s="95" t="s">
        <v>1427</v>
      </c>
      <c r="D321" s="101" t="s">
        <v>1486</v>
      </c>
      <c r="E321" s="101" t="s">
        <v>1485</v>
      </c>
      <c r="F321" s="101" t="s">
        <v>1670</v>
      </c>
      <c r="G321" s="101" t="s">
        <v>1442</v>
      </c>
      <c r="H321" s="97" t="str">
        <f>IFERROR(VLOOKUP(I321,'Raw material list'!$A$3:$C$695,3,0),"")</f>
        <v>DRS6-261</v>
      </c>
      <c r="I321" s="97" t="s">
        <v>1565</v>
      </c>
      <c r="J321" s="101" t="s">
        <v>111</v>
      </c>
      <c r="K321" s="101" t="str">
        <f>IFERROR(VLOOKUP(I321,'Raw material list'!$A$3:$E$695,5,0),"")</f>
        <v xml:space="preserve">Gram </v>
      </c>
      <c r="L321" s="95">
        <v>14.61</v>
      </c>
      <c r="M321" s="98">
        <f t="shared" si="55"/>
        <v>14.610000000000001</v>
      </c>
      <c r="N321" s="98">
        <v>100</v>
      </c>
      <c r="O321" s="95">
        <v>10</v>
      </c>
      <c r="P321" s="98">
        <f t="shared" si="64"/>
        <v>1.4609999999999999</v>
      </c>
      <c r="Q321" s="99">
        <f>IFERROR(VLOOKUP(I321,'Raw material list'!$A$3:$F$695,6,0),"")</f>
        <v>1.4E-2</v>
      </c>
      <c r="R321" s="100">
        <f t="shared" si="65"/>
        <v>2.0454E-2</v>
      </c>
      <c r="S321" s="94">
        <f t="shared" si="56"/>
        <v>2.0454000000000002E-3</v>
      </c>
      <c r="T321" s="94">
        <f t="shared" si="57"/>
        <v>2.2499399999999999E-2</v>
      </c>
      <c r="U321" s="93">
        <f t="shared" si="58"/>
        <v>2.2499400000000002E-3</v>
      </c>
      <c r="V321" s="93">
        <f t="shared" si="59"/>
        <v>2.2499400000000001E-4</v>
      </c>
      <c r="W321" s="93">
        <f t="shared" si="60"/>
        <v>2.2499400000000001E-4</v>
      </c>
      <c r="X321" s="93">
        <f t="shared" si="61"/>
        <v>2.5199327999999997E-2</v>
      </c>
      <c r="Y321" s="117"/>
    </row>
    <row r="322" spans="1:25" s="90" customFormat="1">
      <c r="A322" s="95" t="s">
        <v>1483</v>
      </c>
      <c r="B322" s="95" t="s">
        <v>1668</v>
      </c>
      <c r="C322" s="95" t="s">
        <v>1427</v>
      </c>
      <c r="D322" s="101" t="s">
        <v>1486</v>
      </c>
      <c r="E322" s="101" t="s">
        <v>1485</v>
      </c>
      <c r="F322" s="101" t="s">
        <v>1670</v>
      </c>
      <c r="G322" s="101" t="s">
        <v>1442</v>
      </c>
      <c r="H322" s="97" t="str">
        <f>IFERROR(VLOOKUP(I322,'Raw material list'!$A$3:$C$695,3,0),"")</f>
        <v>DRS5-980</v>
      </c>
      <c r="I322" s="97" t="s">
        <v>410</v>
      </c>
      <c r="J322" s="101" t="s">
        <v>111</v>
      </c>
      <c r="K322" s="101" t="str">
        <f>IFERROR(VLOOKUP(I322,'Raw material list'!$A$3:$E$695,5,0),"")</f>
        <v xml:space="preserve">Gram </v>
      </c>
      <c r="L322" s="95">
        <v>23.39</v>
      </c>
      <c r="M322" s="98">
        <f t="shared" si="55"/>
        <v>23.39</v>
      </c>
      <c r="N322" s="98">
        <v>100</v>
      </c>
      <c r="O322" s="95">
        <v>10</v>
      </c>
      <c r="P322" s="98">
        <f t="shared" si="64"/>
        <v>2.339</v>
      </c>
      <c r="Q322" s="99">
        <f>IFERROR(VLOOKUP(I322,'Raw material list'!$A$3:$F$695,6,0),"")</f>
        <v>1E-3</v>
      </c>
      <c r="R322" s="100">
        <f t="shared" si="65"/>
        <v>2.3389999999999999E-3</v>
      </c>
      <c r="S322" s="94">
        <f t="shared" si="56"/>
        <v>2.3389999999999999E-4</v>
      </c>
      <c r="T322" s="94">
        <f t="shared" si="57"/>
        <v>2.5728999999999999E-3</v>
      </c>
      <c r="U322" s="93">
        <f t="shared" si="58"/>
        <v>2.5729000000000003E-4</v>
      </c>
      <c r="V322" s="93">
        <f t="shared" si="59"/>
        <v>2.5729E-5</v>
      </c>
      <c r="W322" s="93">
        <f t="shared" si="60"/>
        <v>2.5729E-5</v>
      </c>
      <c r="X322" s="93">
        <f t="shared" si="61"/>
        <v>2.8816479999999997E-3</v>
      </c>
      <c r="Y322" s="117"/>
    </row>
    <row r="323" spans="1:25" s="90" customFormat="1">
      <c r="A323" s="95" t="s">
        <v>1483</v>
      </c>
      <c r="B323" s="95" t="s">
        <v>1668</v>
      </c>
      <c r="C323" s="95" t="s">
        <v>1427</v>
      </c>
      <c r="D323" s="101" t="s">
        <v>1486</v>
      </c>
      <c r="E323" s="101" t="s">
        <v>1485</v>
      </c>
      <c r="F323" s="101" t="s">
        <v>1670</v>
      </c>
      <c r="G323" s="101" t="s">
        <v>1442</v>
      </c>
      <c r="H323" s="97" t="str">
        <f>IFERROR(VLOOKUP(I323,'Raw material list'!$A$3:$C$695,3,0),"")</f>
        <v>WAT-001</v>
      </c>
      <c r="I323" s="97" t="s">
        <v>1406</v>
      </c>
      <c r="J323" s="101" t="s">
        <v>161</v>
      </c>
      <c r="K323" s="101" t="str">
        <f>IFERROR(VLOOKUP(I323,'Raw material list'!$A$3:$E$695,5,0),"")</f>
        <v>Ml</v>
      </c>
      <c r="L323" s="95">
        <v>292.39</v>
      </c>
      <c r="M323" s="98">
        <f t="shared" si="55"/>
        <v>292.39</v>
      </c>
      <c r="N323" s="98">
        <v>100</v>
      </c>
      <c r="O323" s="95">
        <v>10</v>
      </c>
      <c r="P323" s="98">
        <f t="shared" si="64"/>
        <v>29.238999999999997</v>
      </c>
      <c r="Q323" s="99">
        <f>IFERROR(VLOOKUP(I323,'Raw material list'!$A$3:$F$695,6,0),"")</f>
        <v>8.0000000000000007E-5</v>
      </c>
      <c r="R323" s="100">
        <f t="shared" si="65"/>
        <v>2.3391200000000001E-3</v>
      </c>
      <c r="S323" s="94">
        <f t="shared" si="56"/>
        <v>2.3391200000000002E-4</v>
      </c>
      <c r="T323" s="94">
        <f t="shared" si="57"/>
        <v>2.5730320000000003E-3</v>
      </c>
      <c r="U323" s="93">
        <f t="shared" si="58"/>
        <v>2.5730320000000003E-4</v>
      </c>
      <c r="V323" s="93">
        <f t="shared" si="59"/>
        <v>2.5730320000000005E-5</v>
      </c>
      <c r="W323" s="93">
        <f t="shared" si="60"/>
        <v>2.5730320000000005E-5</v>
      </c>
      <c r="X323" s="93">
        <f t="shared" si="61"/>
        <v>2.88179584E-3</v>
      </c>
      <c r="Y323" s="117"/>
    </row>
    <row r="324" spans="1:25" s="90" customFormat="1">
      <c r="A324" s="95" t="s">
        <v>1483</v>
      </c>
      <c r="B324" s="95" t="s">
        <v>1668</v>
      </c>
      <c r="C324" s="95" t="s">
        <v>1427</v>
      </c>
      <c r="D324" s="101" t="s">
        <v>1486</v>
      </c>
      <c r="E324" s="101" t="s">
        <v>1485</v>
      </c>
      <c r="F324" s="101" t="s">
        <v>1670</v>
      </c>
      <c r="G324" s="101" t="s">
        <v>1442</v>
      </c>
      <c r="H324" s="97" t="str">
        <f>IFERROR(VLOOKUP(I324,'Raw material list'!$A$3:$C$695,3,0),"")</f>
        <v>DRS1-1780</v>
      </c>
      <c r="I324" s="97" t="s">
        <v>235</v>
      </c>
      <c r="J324" s="101" t="s">
        <v>111</v>
      </c>
      <c r="K324" s="101" t="str">
        <f>IFERROR(VLOOKUP(I324,'Raw material list'!$A$3:$E$695,5,0),"")</f>
        <v xml:space="preserve">Gram </v>
      </c>
      <c r="L324" s="95">
        <v>29.23</v>
      </c>
      <c r="M324" s="98">
        <f t="shared" si="55"/>
        <v>29.23</v>
      </c>
      <c r="N324" s="98">
        <v>100</v>
      </c>
      <c r="O324" s="95">
        <v>10</v>
      </c>
      <c r="P324" s="98">
        <f t="shared" si="64"/>
        <v>2.923</v>
      </c>
      <c r="Q324" s="99">
        <f>IFERROR(VLOOKUP(I324,'Raw material list'!$A$3:$F$695,6,0),"")</f>
        <v>0.04</v>
      </c>
      <c r="R324" s="100">
        <f t="shared" si="65"/>
        <v>0.11692000000000001</v>
      </c>
      <c r="S324" s="94">
        <f t="shared" si="56"/>
        <v>1.1692000000000001E-2</v>
      </c>
      <c r="T324" s="94">
        <f t="shared" si="57"/>
        <v>0.128612</v>
      </c>
      <c r="U324" s="93">
        <f t="shared" si="58"/>
        <v>1.2861200000000001E-2</v>
      </c>
      <c r="V324" s="93">
        <f t="shared" si="59"/>
        <v>1.28612E-3</v>
      </c>
      <c r="W324" s="93">
        <f t="shared" si="60"/>
        <v>1.28612E-3</v>
      </c>
      <c r="X324" s="93">
        <f t="shared" si="61"/>
        <v>0.14404544</v>
      </c>
      <c r="Y324" s="117"/>
    </row>
    <row r="325" spans="1:25" s="90" customFormat="1">
      <c r="A325" s="95" t="s">
        <v>1483</v>
      </c>
      <c r="B325" s="95" t="s">
        <v>1668</v>
      </c>
      <c r="C325" s="95" t="s">
        <v>1427</v>
      </c>
      <c r="D325" s="101" t="s">
        <v>1486</v>
      </c>
      <c r="E325" s="101" t="s">
        <v>1485</v>
      </c>
      <c r="F325" s="101" t="s">
        <v>1670</v>
      </c>
      <c r="G325" s="101" t="s">
        <v>1442</v>
      </c>
      <c r="H325" s="97" t="str">
        <f>IFERROR(VLOOKUP(I325,'Raw material list'!$A$3:$C$695,3,0),"")</f>
        <v>DRS1-1549</v>
      </c>
      <c r="I325" s="97" t="s">
        <v>252</v>
      </c>
      <c r="J325" s="101" t="s">
        <v>111</v>
      </c>
      <c r="K325" s="101" t="str">
        <f>IFERROR(VLOOKUP(I325,'Raw material list'!$A$3:$E$695,5,0),"")</f>
        <v xml:space="preserve">Gram </v>
      </c>
      <c r="L325" s="95">
        <v>58.47</v>
      </c>
      <c r="M325" s="98">
        <f t="shared" si="55"/>
        <v>58.47</v>
      </c>
      <c r="N325" s="98">
        <v>100</v>
      </c>
      <c r="O325" s="95">
        <v>10</v>
      </c>
      <c r="P325" s="98">
        <f t="shared" si="64"/>
        <v>5.8469999999999995</v>
      </c>
      <c r="Q325" s="99">
        <f>IFERROR(VLOOKUP(I325,'Raw material list'!$A$3:$F$695,6,0),"")</f>
        <v>9.58E-3</v>
      </c>
      <c r="R325" s="100">
        <f t="shared" si="65"/>
        <v>5.6014259999999996E-2</v>
      </c>
      <c r="S325" s="94">
        <f t="shared" ref="S325:S370" si="68">R325*10%</f>
        <v>5.6014259999999996E-3</v>
      </c>
      <c r="T325" s="94">
        <f t="shared" ref="T325:T370" si="69">R325+S325</f>
        <v>6.1615685999999996E-2</v>
      </c>
      <c r="U325" s="93">
        <f t="shared" si="58"/>
        <v>6.1615686000000003E-3</v>
      </c>
      <c r="V325" s="93">
        <f t="shared" si="59"/>
        <v>6.1615686000000001E-4</v>
      </c>
      <c r="W325" s="93">
        <f t="shared" si="60"/>
        <v>6.1615686000000001E-4</v>
      </c>
      <c r="X325" s="93">
        <f t="shared" ref="X325:X388" si="70">T325+U325+V325+W325</f>
        <v>6.9009568319999992E-2</v>
      </c>
      <c r="Y325" s="117"/>
    </row>
    <row r="326" spans="1:25" s="90" customFormat="1">
      <c r="A326" s="95" t="s">
        <v>1483</v>
      </c>
      <c r="B326" s="95" t="s">
        <v>1668</v>
      </c>
      <c r="C326" s="95" t="s">
        <v>1427</v>
      </c>
      <c r="D326" s="101" t="s">
        <v>1486</v>
      </c>
      <c r="E326" s="101" t="s">
        <v>1485</v>
      </c>
      <c r="F326" s="101" t="s">
        <v>1670</v>
      </c>
      <c r="G326" s="101" t="s">
        <v>1442</v>
      </c>
      <c r="H326" s="97" t="str">
        <f>IFERROR(VLOOKUP(I326,'Raw material list'!$A$3:$C$695,3,0),"")</f>
        <v>DRY2-1858</v>
      </c>
      <c r="I326" s="97" t="s">
        <v>42</v>
      </c>
      <c r="J326" s="101" t="s">
        <v>161</v>
      </c>
      <c r="K326" s="101" t="str">
        <f>IFERROR(VLOOKUP(I326,'Raw material list'!$A$3:$E$695,5,0),"")</f>
        <v>Ml</v>
      </c>
      <c r="L326" s="95">
        <v>1096.49</v>
      </c>
      <c r="M326" s="98">
        <f t="shared" ref="M326:M389" si="71">L326/N326*100</f>
        <v>1096.49</v>
      </c>
      <c r="N326" s="98">
        <v>100</v>
      </c>
      <c r="O326" s="95">
        <v>10</v>
      </c>
      <c r="P326" s="98">
        <f t="shared" si="64"/>
        <v>109.649</v>
      </c>
      <c r="Q326" s="99">
        <f>IFERROR(VLOOKUP(I326,'Raw material list'!$A$3:$F$695,6,0),"")</f>
        <v>9.8800000000000016E-3</v>
      </c>
      <c r="R326" s="100">
        <f t="shared" si="65"/>
        <v>1.0833321200000001</v>
      </c>
      <c r="S326" s="94">
        <f t="shared" si="68"/>
        <v>0.10833321200000001</v>
      </c>
      <c r="T326" s="94">
        <f t="shared" si="69"/>
        <v>1.1916653320000001</v>
      </c>
      <c r="U326" s="93">
        <f t="shared" ref="U326:U389" si="72">T326*10%</f>
        <v>0.11916653320000002</v>
      </c>
      <c r="V326" s="93">
        <f t="shared" ref="V326:V389" si="73">T326*1%</f>
        <v>1.1916653320000001E-2</v>
      </c>
      <c r="W326" s="93">
        <f t="shared" ref="W326:W389" si="74">T326*1%</f>
        <v>1.1916653320000001E-2</v>
      </c>
      <c r="X326" s="93">
        <f t="shared" si="70"/>
        <v>1.33466517184</v>
      </c>
      <c r="Y326" s="117"/>
    </row>
    <row r="327" spans="1:25" s="90" customFormat="1">
      <c r="A327" s="95" t="s">
        <v>1483</v>
      </c>
      <c r="B327" s="95" t="s">
        <v>1668</v>
      </c>
      <c r="C327" s="95" t="s">
        <v>1427</v>
      </c>
      <c r="D327" s="101" t="s">
        <v>1486</v>
      </c>
      <c r="E327" s="101" t="s">
        <v>1485</v>
      </c>
      <c r="F327" s="101" t="s">
        <v>1670</v>
      </c>
      <c r="G327" s="101" t="s">
        <v>1442</v>
      </c>
      <c r="H327" s="97" t="str">
        <f>IFERROR(VLOOKUP(I327,'Raw material list'!$A$3:$C$695,3,0),"")</f>
        <v>DRS6-5265</v>
      </c>
      <c r="I327" s="97" t="s">
        <v>675</v>
      </c>
      <c r="J327" s="101" t="s">
        <v>111</v>
      </c>
      <c r="K327" s="101" t="str">
        <f>IFERROR(VLOOKUP(I327,'Raw material list'!$A$3:$E$695,5,0),"")</f>
        <v xml:space="preserve">Gram </v>
      </c>
      <c r="L327" s="95">
        <v>2.04</v>
      </c>
      <c r="M327" s="98">
        <f t="shared" si="71"/>
        <v>2.04</v>
      </c>
      <c r="N327" s="98">
        <v>100</v>
      </c>
      <c r="O327" s="95">
        <v>10</v>
      </c>
      <c r="P327" s="98">
        <f t="shared" si="64"/>
        <v>0.20400000000000001</v>
      </c>
      <c r="Q327" s="99">
        <f>IFERROR(VLOOKUP(I327,'Raw material list'!$A$3:$F$695,6,0),"")</f>
        <v>0.19315673289183219</v>
      </c>
      <c r="R327" s="100">
        <f t="shared" si="65"/>
        <v>3.9403973509933771E-2</v>
      </c>
      <c r="S327" s="94">
        <f t="shared" si="68"/>
        <v>3.9403973509933776E-3</v>
      </c>
      <c r="T327" s="94">
        <f t="shared" si="69"/>
        <v>4.3344370860927149E-2</v>
      </c>
      <c r="U327" s="93">
        <f t="shared" si="72"/>
        <v>4.3344370860927154E-3</v>
      </c>
      <c r="V327" s="93">
        <f t="shared" si="73"/>
        <v>4.3344370860927151E-4</v>
      </c>
      <c r="W327" s="93">
        <f t="shared" si="74"/>
        <v>4.3344370860927151E-4</v>
      </c>
      <c r="X327" s="93">
        <f t="shared" si="70"/>
        <v>4.854569536423841E-2</v>
      </c>
      <c r="Y327" s="117"/>
    </row>
    <row r="328" spans="1:25" s="90" customFormat="1">
      <c r="A328" s="95" t="s">
        <v>1483</v>
      </c>
      <c r="B328" s="95" t="s">
        <v>1668</v>
      </c>
      <c r="C328" s="95" t="s">
        <v>1427</v>
      </c>
      <c r="D328" s="101" t="s">
        <v>1486</v>
      </c>
      <c r="E328" s="101" t="s">
        <v>1485</v>
      </c>
      <c r="F328" s="101" t="s">
        <v>1670</v>
      </c>
      <c r="G328" s="101" t="s">
        <v>1442</v>
      </c>
      <c r="H328" s="97" t="str">
        <f>IFERROR(VLOOKUP(I328,'Raw material list'!$A$3:$C$695,3,0),"")</f>
        <v>DRS6-1570</v>
      </c>
      <c r="I328" s="97" t="s">
        <v>16</v>
      </c>
      <c r="J328" s="101" t="s">
        <v>111</v>
      </c>
      <c r="K328" s="101" t="str">
        <f>IFERROR(VLOOKUP(I328,'Raw material list'!$A$3:$E$695,5,0),"")</f>
        <v xml:space="preserve">Gram </v>
      </c>
      <c r="L328" s="95">
        <v>2.33</v>
      </c>
      <c r="M328" s="98">
        <f t="shared" si="71"/>
        <v>2.33</v>
      </c>
      <c r="N328" s="98">
        <v>100</v>
      </c>
      <c r="O328" s="95">
        <v>10</v>
      </c>
      <c r="P328" s="98">
        <f t="shared" si="64"/>
        <v>0.23300000000000001</v>
      </c>
      <c r="Q328" s="99">
        <f>IFERROR(VLOOKUP(I328,'Raw material list'!$A$3:$F$695,6,0),"")</f>
        <v>2.8000000000000001E-2</v>
      </c>
      <c r="R328" s="100">
        <f t="shared" si="65"/>
        <v>6.5240000000000003E-3</v>
      </c>
      <c r="S328" s="94">
        <f t="shared" si="68"/>
        <v>6.5240000000000003E-4</v>
      </c>
      <c r="T328" s="94">
        <f t="shared" si="69"/>
        <v>7.1764000000000003E-3</v>
      </c>
      <c r="U328" s="93">
        <f t="shared" si="72"/>
        <v>7.1764000000000007E-4</v>
      </c>
      <c r="V328" s="93">
        <f t="shared" si="73"/>
        <v>7.1763999999999999E-5</v>
      </c>
      <c r="W328" s="93">
        <f t="shared" si="74"/>
        <v>7.1763999999999999E-5</v>
      </c>
      <c r="X328" s="93">
        <f t="shared" si="70"/>
        <v>8.0375680000000001E-3</v>
      </c>
      <c r="Y328" s="117"/>
    </row>
    <row r="329" spans="1:25" s="90" customFormat="1">
      <c r="A329" s="95" t="s">
        <v>1483</v>
      </c>
      <c r="B329" s="95" t="s">
        <v>1668</v>
      </c>
      <c r="C329" s="95" t="s">
        <v>1427</v>
      </c>
      <c r="D329" s="101" t="s">
        <v>1486</v>
      </c>
      <c r="E329" s="101" t="s">
        <v>1485</v>
      </c>
      <c r="F329" s="101" t="s">
        <v>1670</v>
      </c>
      <c r="G329" s="101" t="s">
        <v>1442</v>
      </c>
      <c r="H329" s="97" t="str">
        <f>IFERROR(VLOOKUP(I329,'Raw material list'!$A$3:$C$695,3,0),"")</f>
        <v>DRS1-3811</v>
      </c>
      <c r="I329" s="97" t="s">
        <v>36</v>
      </c>
      <c r="J329" s="101" t="s">
        <v>111</v>
      </c>
      <c r="K329" s="101" t="str">
        <f>IFERROR(VLOOKUP(I329,'Raw material list'!$A$3:$E$695,5,0),"")</f>
        <v xml:space="preserve">Gram </v>
      </c>
      <c r="L329" s="95">
        <v>13.15</v>
      </c>
      <c r="M329" s="98">
        <f t="shared" si="71"/>
        <v>13.15</v>
      </c>
      <c r="N329" s="98">
        <v>100</v>
      </c>
      <c r="O329" s="95">
        <v>10</v>
      </c>
      <c r="P329" s="98">
        <f t="shared" si="64"/>
        <v>1.3149999999999999</v>
      </c>
      <c r="Q329" s="99">
        <f>IFERROR(VLOOKUP(I329,'Raw material list'!$A$3:$F$695,6,0),"")</f>
        <v>2.8475E-2</v>
      </c>
      <c r="R329" s="100">
        <f t="shared" si="65"/>
        <v>3.7444625000000002E-2</v>
      </c>
      <c r="S329" s="94">
        <f t="shared" si="68"/>
        <v>3.7444625000000002E-3</v>
      </c>
      <c r="T329" s="94">
        <f t="shared" si="69"/>
        <v>4.1189087499999999E-2</v>
      </c>
      <c r="U329" s="93">
        <f t="shared" si="72"/>
        <v>4.1189087499999997E-3</v>
      </c>
      <c r="V329" s="93">
        <f t="shared" si="73"/>
        <v>4.1189087500000002E-4</v>
      </c>
      <c r="W329" s="93">
        <f t="shared" si="74"/>
        <v>4.1189087500000002E-4</v>
      </c>
      <c r="X329" s="93">
        <f t="shared" si="70"/>
        <v>4.6131777999999998E-2</v>
      </c>
      <c r="Y329" s="117"/>
    </row>
    <row r="330" spans="1:25" s="90" customFormat="1">
      <c r="A330" s="95" t="s">
        <v>1483</v>
      </c>
      <c r="B330" s="95" t="s">
        <v>1668</v>
      </c>
      <c r="C330" s="95" t="s">
        <v>1427</v>
      </c>
      <c r="D330" s="101" t="s">
        <v>1486</v>
      </c>
      <c r="E330" s="101" t="s">
        <v>1485</v>
      </c>
      <c r="F330" s="101" t="s">
        <v>1670</v>
      </c>
      <c r="G330" s="101" t="s">
        <v>1442</v>
      </c>
      <c r="H330" s="97" t="str">
        <f>IFERROR(VLOOKUP(I330,'Raw material list'!$A$3:$C$695,3,0),"")</f>
        <v>PRD1-221</v>
      </c>
      <c r="I330" s="97" t="s">
        <v>1022</v>
      </c>
      <c r="J330" s="101" t="s">
        <v>111</v>
      </c>
      <c r="K330" s="101" t="str">
        <f>IFERROR(VLOOKUP(I330,'Raw material list'!$A$3:$E$695,5,0),"")</f>
        <v xml:space="preserve">Gram </v>
      </c>
      <c r="L330" s="95">
        <v>29.23</v>
      </c>
      <c r="M330" s="98">
        <f t="shared" si="71"/>
        <v>50.280963302752291</v>
      </c>
      <c r="N330" s="98">
        <v>58.13333333333334</v>
      </c>
      <c r="O330" s="95">
        <v>10</v>
      </c>
      <c r="P330" s="98">
        <f t="shared" si="64"/>
        <v>2.923</v>
      </c>
      <c r="Q330" s="99">
        <f>IFERROR(VLOOKUP(I330,'Raw material list'!$A$3:$F$695,6,0),"")</f>
        <v>6.8846815834767653E-3</v>
      </c>
      <c r="R330" s="100">
        <f t="shared" si="65"/>
        <v>2.0123924268502586E-2</v>
      </c>
      <c r="S330" s="94">
        <f t="shared" si="68"/>
        <v>2.0123924268502587E-3</v>
      </c>
      <c r="T330" s="94">
        <f t="shared" si="69"/>
        <v>2.2136316695352844E-2</v>
      </c>
      <c r="U330" s="93">
        <f t="shared" si="72"/>
        <v>2.2136316695352846E-3</v>
      </c>
      <c r="V330" s="93">
        <f t="shared" si="73"/>
        <v>2.2136316695352845E-4</v>
      </c>
      <c r="W330" s="93">
        <f t="shared" si="74"/>
        <v>2.2136316695352845E-4</v>
      </c>
      <c r="X330" s="93">
        <f t="shared" si="70"/>
        <v>2.4792674698795189E-2</v>
      </c>
      <c r="Y330" s="117"/>
    </row>
    <row r="331" spans="1:25" s="90" customFormat="1">
      <c r="A331" s="95" t="s">
        <v>1483</v>
      </c>
      <c r="B331" s="95" t="s">
        <v>1668</v>
      </c>
      <c r="C331" s="95" t="s">
        <v>1427</v>
      </c>
      <c r="D331" s="101" t="s">
        <v>1486</v>
      </c>
      <c r="E331" s="101" t="s">
        <v>1485</v>
      </c>
      <c r="F331" s="101" t="s">
        <v>1670</v>
      </c>
      <c r="G331" s="101" t="s">
        <v>1433</v>
      </c>
      <c r="H331" s="97" t="str">
        <f>IFERROR(VLOOKUP(I331,'Raw material list'!$A$3:$C$695,3,0),"")</f>
        <v>DRS4-498</v>
      </c>
      <c r="I331" s="97" t="s">
        <v>62</v>
      </c>
      <c r="J331" s="101" t="s">
        <v>111</v>
      </c>
      <c r="K331" s="101" t="str">
        <f>IFERROR(VLOOKUP(I331,'Raw material list'!$A$3:$E$695,5,0),"")</f>
        <v xml:space="preserve">Gram </v>
      </c>
      <c r="L331" s="95">
        <v>600</v>
      </c>
      <c r="M331" s="98">
        <f t="shared" si="71"/>
        <v>600</v>
      </c>
      <c r="N331" s="98">
        <v>100</v>
      </c>
      <c r="O331" s="95">
        <v>10</v>
      </c>
      <c r="P331" s="98">
        <f t="shared" si="64"/>
        <v>60</v>
      </c>
      <c r="Q331" s="99">
        <f>IFERROR(VLOOKUP(I331,'Raw material list'!$A$3:$F$695,6,0),"")</f>
        <v>5.7499999999999999E-3</v>
      </c>
      <c r="R331" s="100">
        <f t="shared" si="65"/>
        <v>0.34499999999999997</v>
      </c>
      <c r="S331" s="94">
        <f t="shared" si="68"/>
        <v>3.4499999999999996E-2</v>
      </c>
      <c r="T331" s="94">
        <f t="shared" si="69"/>
        <v>0.37949999999999995</v>
      </c>
      <c r="U331" s="93">
        <f t="shared" si="72"/>
        <v>3.7949999999999998E-2</v>
      </c>
      <c r="V331" s="93">
        <f t="shared" si="73"/>
        <v>3.7949999999999998E-3</v>
      </c>
      <c r="W331" s="93">
        <f t="shared" si="74"/>
        <v>3.7949999999999998E-3</v>
      </c>
      <c r="X331" s="93">
        <f t="shared" si="70"/>
        <v>0.42503999999999992</v>
      </c>
      <c r="Y331" s="117"/>
    </row>
    <row r="332" spans="1:25" s="90" customFormat="1">
      <c r="A332" s="95" t="s">
        <v>1483</v>
      </c>
      <c r="B332" s="95" t="s">
        <v>1668</v>
      </c>
      <c r="C332" s="95" t="s">
        <v>1427</v>
      </c>
      <c r="D332" s="101" t="s">
        <v>1486</v>
      </c>
      <c r="E332" s="101" t="s">
        <v>1485</v>
      </c>
      <c r="F332" s="101" t="s">
        <v>1670</v>
      </c>
      <c r="G332" s="101" t="s">
        <v>1433</v>
      </c>
      <c r="H332" s="97" t="str">
        <f>IFERROR(VLOOKUP(I332,'Raw material list'!$A$3:$C$695,3,0),"")</f>
        <v>WAT-001</v>
      </c>
      <c r="I332" s="97" t="s">
        <v>1406</v>
      </c>
      <c r="J332" s="101" t="s">
        <v>161</v>
      </c>
      <c r="K332" s="101" t="str">
        <f>IFERROR(VLOOKUP(I332,'Raw material list'!$A$3:$E$695,5,0),"")</f>
        <v>Ml</v>
      </c>
      <c r="L332" s="95">
        <v>1100</v>
      </c>
      <c r="M332" s="98">
        <f t="shared" si="71"/>
        <v>1100</v>
      </c>
      <c r="N332" s="98">
        <v>100</v>
      </c>
      <c r="O332" s="95">
        <v>10</v>
      </c>
      <c r="P332" s="98">
        <f t="shared" si="64"/>
        <v>110</v>
      </c>
      <c r="Q332" s="99">
        <f>IFERROR(VLOOKUP(I332,'Raw material list'!$A$3:$F$695,6,0),"")</f>
        <v>8.0000000000000007E-5</v>
      </c>
      <c r="R332" s="100">
        <f t="shared" si="65"/>
        <v>8.8000000000000005E-3</v>
      </c>
      <c r="S332" s="94">
        <f t="shared" si="68"/>
        <v>8.8000000000000014E-4</v>
      </c>
      <c r="T332" s="94">
        <f t="shared" si="69"/>
        <v>9.6800000000000011E-3</v>
      </c>
      <c r="U332" s="93">
        <f t="shared" si="72"/>
        <v>9.6800000000000011E-4</v>
      </c>
      <c r="V332" s="93">
        <f t="shared" si="73"/>
        <v>9.6800000000000008E-5</v>
      </c>
      <c r="W332" s="93">
        <f t="shared" si="74"/>
        <v>9.6800000000000008E-5</v>
      </c>
      <c r="X332" s="93">
        <f t="shared" si="70"/>
        <v>1.08416E-2</v>
      </c>
      <c r="Y332" s="117"/>
    </row>
    <row r="333" spans="1:25" s="90" customFormat="1">
      <c r="A333" s="95" t="s">
        <v>1483</v>
      </c>
      <c r="B333" s="95" t="s">
        <v>1668</v>
      </c>
      <c r="C333" s="95" t="s">
        <v>1427</v>
      </c>
      <c r="D333" s="101" t="s">
        <v>1486</v>
      </c>
      <c r="E333" s="101" t="s">
        <v>1485</v>
      </c>
      <c r="F333" s="101" t="s">
        <v>1670</v>
      </c>
      <c r="G333" s="101" t="s">
        <v>1433</v>
      </c>
      <c r="H333" s="97" t="str">
        <f>IFERROR(VLOOKUP(I333,'Raw material list'!$A$3:$C$695,3,0),"")</f>
        <v>DRS1-3880</v>
      </c>
      <c r="I333" s="97" t="s">
        <v>1398</v>
      </c>
      <c r="J333" s="101" t="s">
        <v>111</v>
      </c>
      <c r="K333" s="101" t="str">
        <f>IFERROR(VLOOKUP(I333,'Raw material list'!$A$3:$E$695,5,0),"")</f>
        <v xml:space="preserve">Gram </v>
      </c>
      <c r="L333" s="95">
        <v>16</v>
      </c>
      <c r="M333" s="98">
        <f t="shared" si="71"/>
        <v>16</v>
      </c>
      <c r="N333" s="98">
        <v>100</v>
      </c>
      <c r="O333" s="95">
        <v>10</v>
      </c>
      <c r="P333" s="98">
        <f t="shared" si="64"/>
        <v>1.6</v>
      </c>
      <c r="Q333" s="99">
        <f>IFERROR(VLOOKUP(I333,'Raw material list'!$A$3:$F$695,6,0),"")</f>
        <v>5.0000000000000001E-4</v>
      </c>
      <c r="R333" s="100">
        <f t="shared" si="65"/>
        <v>8.0000000000000004E-4</v>
      </c>
      <c r="S333" s="94">
        <f t="shared" si="68"/>
        <v>8.0000000000000007E-5</v>
      </c>
      <c r="T333" s="94">
        <f t="shared" si="69"/>
        <v>8.8000000000000003E-4</v>
      </c>
      <c r="U333" s="93">
        <f t="shared" si="72"/>
        <v>8.8000000000000011E-5</v>
      </c>
      <c r="V333" s="93">
        <f t="shared" si="73"/>
        <v>8.8000000000000004E-6</v>
      </c>
      <c r="W333" s="93">
        <f t="shared" si="74"/>
        <v>8.8000000000000004E-6</v>
      </c>
      <c r="X333" s="93">
        <f t="shared" si="70"/>
        <v>9.856000000000001E-4</v>
      </c>
      <c r="Y333" s="117"/>
    </row>
    <row r="334" spans="1:25" s="90" customFormat="1">
      <c r="A334" s="95" t="s">
        <v>1483</v>
      </c>
      <c r="B334" s="95" t="s">
        <v>1668</v>
      </c>
      <c r="C334" s="95" t="s">
        <v>1427</v>
      </c>
      <c r="D334" s="101" t="s">
        <v>1486</v>
      </c>
      <c r="E334" s="101" t="s">
        <v>1485</v>
      </c>
      <c r="F334" s="101" t="s">
        <v>1670</v>
      </c>
      <c r="G334" s="101" t="s">
        <v>1433</v>
      </c>
      <c r="H334" s="97" t="str">
        <f>IFERROR(VLOOKUP(I334,'Raw material list'!$A$3:$C$695,3,0),"")</f>
        <v>DRS6-309</v>
      </c>
      <c r="I334" s="97" t="s">
        <v>35</v>
      </c>
      <c r="J334" s="101" t="s">
        <v>111</v>
      </c>
      <c r="K334" s="101" t="str">
        <f>IFERROR(VLOOKUP(I334,'Raw material list'!$A$3:$E$695,5,0),"")</f>
        <v xml:space="preserve">Gram </v>
      </c>
      <c r="L334" s="95">
        <v>1.5</v>
      </c>
      <c r="M334" s="98">
        <f t="shared" si="71"/>
        <v>1.5</v>
      </c>
      <c r="N334" s="98">
        <v>100</v>
      </c>
      <c r="O334" s="95">
        <v>10</v>
      </c>
      <c r="P334" s="98">
        <f t="shared" si="64"/>
        <v>0.15</v>
      </c>
      <c r="Q334" s="99">
        <f>IFERROR(VLOOKUP(I334,'Raw material list'!$A$3:$F$695,6,0),"")</f>
        <v>2.8000000000000001E-2</v>
      </c>
      <c r="R334" s="100">
        <f t="shared" si="65"/>
        <v>4.1999999999999997E-3</v>
      </c>
      <c r="S334" s="94">
        <f t="shared" si="68"/>
        <v>4.2000000000000002E-4</v>
      </c>
      <c r="T334" s="94">
        <f t="shared" si="69"/>
        <v>4.62E-3</v>
      </c>
      <c r="U334" s="93">
        <f t="shared" si="72"/>
        <v>4.6200000000000001E-4</v>
      </c>
      <c r="V334" s="93">
        <f t="shared" si="73"/>
        <v>4.6199999999999998E-5</v>
      </c>
      <c r="W334" s="93">
        <f t="shared" si="74"/>
        <v>4.6199999999999998E-5</v>
      </c>
      <c r="X334" s="93">
        <f t="shared" si="70"/>
        <v>5.1743999999999991E-3</v>
      </c>
      <c r="Y334" s="117"/>
    </row>
    <row r="335" spans="1:25" s="90" customFormat="1">
      <c r="A335" s="95" t="s">
        <v>1483</v>
      </c>
      <c r="B335" s="95" t="s">
        <v>1668</v>
      </c>
      <c r="C335" s="95" t="s">
        <v>1427</v>
      </c>
      <c r="D335" s="101" t="s">
        <v>1486</v>
      </c>
      <c r="E335" s="101" t="s">
        <v>1485</v>
      </c>
      <c r="F335" s="101" t="s">
        <v>1670</v>
      </c>
      <c r="G335" s="101" t="s">
        <v>1433</v>
      </c>
      <c r="H335" s="97" t="str">
        <f>IFERROR(VLOOKUP(I335,'Raw material list'!$A$3:$C$695,3,0),"")</f>
        <v>DRS6-3593</v>
      </c>
      <c r="I335" s="97" t="s">
        <v>1417</v>
      </c>
      <c r="J335" s="101" t="s">
        <v>111</v>
      </c>
      <c r="K335" s="101" t="str">
        <f>IFERROR(VLOOKUP(I335,'Raw material list'!$A$3:$E$695,5,0),"")</f>
        <v xml:space="preserve">Gram </v>
      </c>
      <c r="L335" s="95">
        <v>1</v>
      </c>
      <c r="M335" s="98">
        <f t="shared" si="71"/>
        <v>1</v>
      </c>
      <c r="N335" s="98">
        <v>100</v>
      </c>
      <c r="O335" s="95">
        <v>10</v>
      </c>
      <c r="P335" s="98">
        <f t="shared" si="64"/>
        <v>0.1</v>
      </c>
      <c r="Q335" s="99">
        <f>IFERROR(VLOOKUP(I335,'Raw material list'!$A$3:$F$695,6,0),"")</f>
        <v>1.0500000000000001E-2</v>
      </c>
      <c r="R335" s="100">
        <f t="shared" si="65"/>
        <v>1.0500000000000002E-3</v>
      </c>
      <c r="S335" s="94">
        <f t="shared" si="68"/>
        <v>1.0500000000000002E-4</v>
      </c>
      <c r="T335" s="94">
        <f t="shared" si="69"/>
        <v>1.1550000000000002E-3</v>
      </c>
      <c r="U335" s="93">
        <f t="shared" si="72"/>
        <v>1.1550000000000003E-4</v>
      </c>
      <c r="V335" s="93">
        <f t="shared" si="73"/>
        <v>1.1550000000000003E-5</v>
      </c>
      <c r="W335" s="93">
        <f t="shared" si="74"/>
        <v>1.1550000000000003E-5</v>
      </c>
      <c r="X335" s="93">
        <f t="shared" si="70"/>
        <v>1.2936E-3</v>
      </c>
      <c r="Y335" s="117"/>
    </row>
    <row r="336" spans="1:25" s="90" customFormat="1">
      <c r="A336" s="95" t="s">
        <v>1483</v>
      </c>
      <c r="B336" s="95" t="s">
        <v>1668</v>
      </c>
      <c r="C336" s="95" t="s">
        <v>1427</v>
      </c>
      <c r="D336" s="101" t="s">
        <v>1486</v>
      </c>
      <c r="E336" s="101" t="s">
        <v>1485</v>
      </c>
      <c r="F336" s="101" t="s">
        <v>1670</v>
      </c>
      <c r="G336" s="101" t="s">
        <v>1433</v>
      </c>
      <c r="H336" s="97" t="str">
        <f>IFERROR(VLOOKUP(I336,'Raw material list'!$A$3:$C$695,3,0),"")</f>
        <v>DRS3-1813</v>
      </c>
      <c r="I336" s="97" t="s">
        <v>39</v>
      </c>
      <c r="J336" s="101" t="s">
        <v>161</v>
      </c>
      <c r="K336" s="101" t="str">
        <f>IFERROR(VLOOKUP(I336,'Raw material list'!$A$3:$E$695,5,0),"")</f>
        <v>Ml</v>
      </c>
      <c r="L336" s="95">
        <v>30</v>
      </c>
      <c r="M336" s="98">
        <f t="shared" si="71"/>
        <v>30</v>
      </c>
      <c r="N336" s="98">
        <v>100</v>
      </c>
      <c r="O336" s="95">
        <v>10</v>
      </c>
      <c r="P336" s="98">
        <f t="shared" si="64"/>
        <v>3</v>
      </c>
      <c r="Q336" s="99">
        <f>IFERROR(VLOOKUP(I336,'Raw material list'!$A$3:$F$695,6,0),"")</f>
        <v>8.0555555555555554E-3</v>
      </c>
      <c r="R336" s="100">
        <f t="shared" si="65"/>
        <v>2.4166666666666666E-2</v>
      </c>
      <c r="S336" s="94">
        <f t="shared" si="68"/>
        <v>2.4166666666666668E-3</v>
      </c>
      <c r="T336" s="94">
        <f t="shared" si="69"/>
        <v>2.6583333333333334E-2</v>
      </c>
      <c r="U336" s="93">
        <f t="shared" si="72"/>
        <v>2.6583333333333337E-3</v>
      </c>
      <c r="V336" s="93">
        <f t="shared" si="73"/>
        <v>2.6583333333333336E-4</v>
      </c>
      <c r="W336" s="93">
        <f t="shared" si="74"/>
        <v>2.6583333333333336E-4</v>
      </c>
      <c r="X336" s="93">
        <f t="shared" si="70"/>
        <v>2.9773333333333332E-2</v>
      </c>
      <c r="Y336" s="117"/>
    </row>
    <row r="337" spans="1:25" s="90" customFormat="1">
      <c r="A337" s="95" t="s">
        <v>1483</v>
      </c>
      <c r="B337" s="95" t="s">
        <v>1668</v>
      </c>
      <c r="C337" s="95" t="s">
        <v>1427</v>
      </c>
      <c r="D337" s="101" t="s">
        <v>1486</v>
      </c>
      <c r="E337" s="101" t="s">
        <v>1485</v>
      </c>
      <c r="F337" s="101" t="s">
        <v>1670</v>
      </c>
      <c r="G337" s="101" t="s">
        <v>1433</v>
      </c>
      <c r="H337" s="97" t="str">
        <f>IFERROR(VLOOKUP(I337,'Raw material list'!$A$3:$C$695,3,0),"")</f>
        <v>DRS6-539</v>
      </c>
      <c r="I337" s="97" t="s">
        <v>717</v>
      </c>
      <c r="J337" s="101" t="s">
        <v>111</v>
      </c>
      <c r="K337" s="101" t="str">
        <f>IFERROR(VLOOKUP(I337,'Raw material list'!$A$3:$E$695,5,0),"")</f>
        <v xml:space="preserve">Gram </v>
      </c>
      <c r="L337" s="95">
        <v>2</v>
      </c>
      <c r="M337" s="98">
        <f t="shared" si="71"/>
        <v>2</v>
      </c>
      <c r="N337" s="98">
        <v>100</v>
      </c>
      <c r="O337" s="95">
        <v>10</v>
      </c>
      <c r="P337" s="98">
        <f t="shared" si="64"/>
        <v>0.2</v>
      </c>
      <c r="Q337" s="99">
        <f>IFERROR(VLOOKUP(I337,'Raw material list'!$A$3:$F$695,6,0),"")</f>
        <v>0.16</v>
      </c>
      <c r="R337" s="100">
        <f t="shared" si="65"/>
        <v>3.2000000000000001E-2</v>
      </c>
      <c r="S337" s="94">
        <f t="shared" si="68"/>
        <v>3.2000000000000002E-3</v>
      </c>
      <c r="T337" s="94">
        <f t="shared" si="69"/>
        <v>3.5200000000000002E-2</v>
      </c>
      <c r="U337" s="93">
        <f t="shared" si="72"/>
        <v>3.5200000000000006E-3</v>
      </c>
      <c r="V337" s="93">
        <f t="shared" si="73"/>
        <v>3.5200000000000005E-4</v>
      </c>
      <c r="W337" s="93">
        <f t="shared" si="74"/>
        <v>3.5200000000000005E-4</v>
      </c>
      <c r="X337" s="93">
        <f t="shared" si="70"/>
        <v>3.9424000000000001E-2</v>
      </c>
      <c r="Y337" s="117"/>
    </row>
    <row r="338" spans="1:25" s="90" customFormat="1">
      <c r="A338" s="95" t="s">
        <v>1483</v>
      </c>
      <c r="B338" s="95" t="s">
        <v>1668</v>
      </c>
      <c r="C338" s="95" t="s">
        <v>1427</v>
      </c>
      <c r="D338" s="101" t="s">
        <v>1486</v>
      </c>
      <c r="E338" s="101" t="s">
        <v>1485</v>
      </c>
      <c r="F338" s="101" t="s">
        <v>1670</v>
      </c>
      <c r="G338" s="101" t="s">
        <v>1433</v>
      </c>
      <c r="H338" s="97" t="str">
        <f>IFERROR(VLOOKUP(I338,'Raw material list'!$A$3:$C$695,3,0),"")</f>
        <v>DRS6-261</v>
      </c>
      <c r="I338" s="97" t="s">
        <v>1565</v>
      </c>
      <c r="J338" s="101" t="s">
        <v>111</v>
      </c>
      <c r="K338" s="101" t="str">
        <f>IFERROR(VLOOKUP(I338,'Raw material list'!$A$3:$E$695,5,0),"")</f>
        <v xml:space="preserve">Gram </v>
      </c>
      <c r="L338" s="95">
        <v>0.3</v>
      </c>
      <c r="M338" s="98">
        <f t="shared" si="71"/>
        <v>0.3</v>
      </c>
      <c r="N338" s="98">
        <v>100</v>
      </c>
      <c r="O338" s="95">
        <v>10</v>
      </c>
      <c r="P338" s="98">
        <f t="shared" si="64"/>
        <v>0.03</v>
      </c>
      <c r="Q338" s="99">
        <f>IFERROR(VLOOKUP(I338,'Raw material list'!$A$3:$F$695,6,0),"")</f>
        <v>1.4E-2</v>
      </c>
      <c r="R338" s="100">
        <f t="shared" si="65"/>
        <v>4.2000000000000002E-4</v>
      </c>
      <c r="S338" s="94">
        <f t="shared" si="68"/>
        <v>4.2000000000000004E-5</v>
      </c>
      <c r="T338" s="94">
        <f t="shared" si="69"/>
        <v>4.6200000000000001E-4</v>
      </c>
      <c r="U338" s="93">
        <f t="shared" si="72"/>
        <v>4.6200000000000005E-5</v>
      </c>
      <c r="V338" s="93">
        <f t="shared" si="73"/>
        <v>4.6199999999999998E-6</v>
      </c>
      <c r="W338" s="93">
        <f t="shared" si="74"/>
        <v>4.6199999999999998E-6</v>
      </c>
      <c r="X338" s="93">
        <f t="shared" si="70"/>
        <v>5.1743999999999998E-4</v>
      </c>
      <c r="Y338" s="117"/>
    </row>
    <row r="339" spans="1:25" s="90" customFormat="1">
      <c r="A339" s="95" t="s">
        <v>1484</v>
      </c>
      <c r="B339" s="95" t="s">
        <v>1668</v>
      </c>
      <c r="C339" s="95" t="s">
        <v>1427</v>
      </c>
      <c r="D339" s="101" t="s">
        <v>1487</v>
      </c>
      <c r="E339" s="101" t="s">
        <v>1485</v>
      </c>
      <c r="F339" s="101" t="s">
        <v>1671</v>
      </c>
      <c r="G339" s="101"/>
      <c r="H339" s="97" t="str">
        <f>IFERROR(VLOOKUP(I339,'Raw material list'!$A$3:$C$695,3,0),"")</f>
        <v>MET2-1051</v>
      </c>
      <c r="I339" s="97" t="s">
        <v>882</v>
      </c>
      <c r="J339" s="101" t="s">
        <v>111</v>
      </c>
      <c r="K339" s="101" t="str">
        <f>IFERROR(VLOOKUP(I339,'Raw material list'!$A$3:$E$695,5,0),"")</f>
        <v xml:space="preserve">Gram </v>
      </c>
      <c r="L339" s="95">
        <v>350</v>
      </c>
      <c r="M339" s="98">
        <f t="shared" si="71"/>
        <v>680.93385214007776</v>
      </c>
      <c r="N339" s="98">
        <v>51.4</v>
      </c>
      <c r="O339" s="95">
        <v>10</v>
      </c>
      <c r="P339" s="98">
        <f t="shared" si="64"/>
        <v>35</v>
      </c>
      <c r="Q339" s="99">
        <f>IFERROR(VLOOKUP(I339,'Raw material list'!$A$3:$F$695,6,0),"")</f>
        <v>8.4705882352941173E-2</v>
      </c>
      <c r="R339" s="100">
        <f t="shared" si="65"/>
        <v>2.9647058823529409</v>
      </c>
      <c r="S339" s="94">
        <f t="shared" si="68"/>
        <v>0.2964705882352941</v>
      </c>
      <c r="T339" s="94">
        <f t="shared" si="69"/>
        <v>3.2611764705882349</v>
      </c>
      <c r="U339" s="93">
        <f t="shared" si="72"/>
        <v>0.32611764705882351</v>
      </c>
      <c r="V339" s="93">
        <f t="shared" si="73"/>
        <v>3.2611764705882347E-2</v>
      </c>
      <c r="W339" s="93">
        <f t="shared" si="74"/>
        <v>3.2611764705882347E-2</v>
      </c>
      <c r="X339" s="93">
        <f t="shared" si="70"/>
        <v>3.652517647058823</v>
      </c>
      <c r="Y339" s="127" t="s">
        <v>1681</v>
      </c>
    </row>
    <row r="340" spans="1:25" s="90" customFormat="1">
      <c r="A340" s="95" t="s">
        <v>1484</v>
      </c>
      <c r="B340" s="95" t="s">
        <v>1668</v>
      </c>
      <c r="C340" s="95" t="s">
        <v>1427</v>
      </c>
      <c r="D340" s="101" t="s">
        <v>1487</v>
      </c>
      <c r="E340" s="101" t="s">
        <v>1485</v>
      </c>
      <c r="F340" s="101" t="s">
        <v>1670</v>
      </c>
      <c r="G340" s="101"/>
      <c r="H340" s="97" t="str">
        <f>IFERROR(VLOOKUP(I340,'Raw material list'!$A$3:$C$695,3,0),"")</f>
        <v>DRS2-4321</v>
      </c>
      <c r="I340" s="97" t="s">
        <v>526</v>
      </c>
      <c r="J340" s="101" t="s">
        <v>111</v>
      </c>
      <c r="K340" s="101" t="str">
        <f>IFERROR(VLOOKUP(I340,'Raw material list'!$A$3:$E$695,5,0),"")</f>
        <v xml:space="preserve">Gram </v>
      </c>
      <c r="L340" s="95">
        <v>700</v>
      </c>
      <c r="M340" s="98">
        <f t="shared" si="71"/>
        <v>700</v>
      </c>
      <c r="N340" s="98">
        <v>100</v>
      </c>
      <c r="O340" s="95">
        <v>10</v>
      </c>
      <c r="P340" s="98">
        <f t="shared" si="64"/>
        <v>70</v>
      </c>
      <c r="Q340" s="99">
        <f>IFERROR(VLOOKUP(I340,'Raw material list'!$A$3:$F$695,6,0),"")</f>
        <v>8.0299999999999989E-3</v>
      </c>
      <c r="R340" s="100">
        <f t="shared" si="65"/>
        <v>0.56209999999999993</v>
      </c>
      <c r="S340" s="94">
        <f t="shared" si="68"/>
        <v>5.6209999999999996E-2</v>
      </c>
      <c r="T340" s="94">
        <f t="shared" si="69"/>
        <v>0.61830999999999992</v>
      </c>
      <c r="U340" s="93">
        <f t="shared" si="72"/>
        <v>6.1830999999999997E-2</v>
      </c>
      <c r="V340" s="93">
        <f t="shared" si="73"/>
        <v>6.1830999999999995E-3</v>
      </c>
      <c r="W340" s="93">
        <f t="shared" si="74"/>
        <v>6.1830999999999995E-3</v>
      </c>
      <c r="X340" s="93">
        <f t="shared" si="70"/>
        <v>0.69250719999999988</v>
      </c>
      <c r="Y340" s="117"/>
    </row>
    <row r="341" spans="1:25" s="90" customFormat="1">
      <c r="A341" s="95" t="s">
        <v>1484</v>
      </c>
      <c r="B341" s="95" t="s">
        <v>1668</v>
      </c>
      <c r="C341" s="95" t="s">
        <v>1427</v>
      </c>
      <c r="D341" s="101" t="s">
        <v>1487</v>
      </c>
      <c r="E341" s="101" t="s">
        <v>1485</v>
      </c>
      <c r="F341" s="101" t="s">
        <v>1670</v>
      </c>
      <c r="G341" s="101" t="s">
        <v>1488</v>
      </c>
      <c r="H341" s="97" t="str">
        <f>IFERROR(VLOOKUP(I341,'Raw material list'!$A$3:$C$695,3,0),"")</f>
        <v>DRY2-1008</v>
      </c>
      <c r="I341" s="97" t="s">
        <v>21</v>
      </c>
      <c r="J341" s="101" t="s">
        <v>111</v>
      </c>
      <c r="K341" s="101" t="str">
        <f>IFERROR(VLOOKUP(I341,'Raw material list'!$A$3:$E$695,5,0),"")</f>
        <v xml:space="preserve">Gram </v>
      </c>
      <c r="L341" s="95">
        <v>17.399999999999999</v>
      </c>
      <c r="M341" s="98">
        <f t="shared" si="71"/>
        <v>17.399999999999999</v>
      </c>
      <c r="N341" s="98">
        <v>100</v>
      </c>
      <c r="O341" s="95">
        <v>10</v>
      </c>
      <c r="P341" s="98">
        <f t="shared" si="64"/>
        <v>1.7399999999999998</v>
      </c>
      <c r="Q341" s="99">
        <f>IFERROR(VLOOKUP(I341,'Raw material list'!$A$3:$F$695,6,0),"")</f>
        <v>3.7999999999999999E-2</v>
      </c>
      <c r="R341" s="100">
        <f t="shared" si="65"/>
        <v>6.6119999999999984E-2</v>
      </c>
      <c r="S341" s="94">
        <f t="shared" si="68"/>
        <v>6.611999999999999E-3</v>
      </c>
      <c r="T341" s="94">
        <f t="shared" si="69"/>
        <v>7.2731999999999977E-2</v>
      </c>
      <c r="U341" s="93">
        <f t="shared" si="72"/>
        <v>7.2731999999999979E-3</v>
      </c>
      <c r="V341" s="93">
        <f t="shared" si="73"/>
        <v>7.2731999999999983E-4</v>
      </c>
      <c r="W341" s="93">
        <f t="shared" si="74"/>
        <v>7.2731999999999983E-4</v>
      </c>
      <c r="X341" s="93">
        <f t="shared" si="70"/>
        <v>8.1459839999999978E-2</v>
      </c>
      <c r="Y341" s="117"/>
    </row>
    <row r="342" spans="1:25" s="90" customFormat="1">
      <c r="A342" s="95" t="s">
        <v>1484</v>
      </c>
      <c r="B342" s="95" t="s">
        <v>1668</v>
      </c>
      <c r="C342" s="95" t="s">
        <v>1427</v>
      </c>
      <c r="D342" s="101" t="s">
        <v>1487</v>
      </c>
      <c r="E342" s="101" t="s">
        <v>1485</v>
      </c>
      <c r="F342" s="101" t="s">
        <v>1670</v>
      </c>
      <c r="G342" s="101" t="s">
        <v>1488</v>
      </c>
      <c r="H342" s="97" t="str">
        <f>IFERROR(VLOOKUP(I342,'Raw material list'!$A$3:$C$695,3,0),"")</f>
        <v>DRS3-1615</v>
      </c>
      <c r="I342" s="97" t="s">
        <v>24</v>
      </c>
      <c r="J342" s="101" t="s">
        <v>161</v>
      </c>
      <c r="K342" s="101" t="str">
        <f>IFERROR(VLOOKUP(I342,'Raw material list'!$A$3:$E$695,5,0),"")</f>
        <v>Ml</v>
      </c>
      <c r="L342" s="95">
        <v>10</v>
      </c>
      <c r="M342" s="98">
        <f t="shared" si="71"/>
        <v>10</v>
      </c>
      <c r="N342" s="98">
        <v>100</v>
      </c>
      <c r="O342" s="95">
        <v>10</v>
      </c>
      <c r="P342" s="98">
        <f t="shared" si="64"/>
        <v>1</v>
      </c>
      <c r="Q342" s="99">
        <f>IFERROR(VLOOKUP(I342,'Raw material list'!$A$3:$F$695,6,0),"")</f>
        <v>1.2E-2</v>
      </c>
      <c r="R342" s="100">
        <f t="shared" si="65"/>
        <v>1.2E-2</v>
      </c>
      <c r="S342" s="94">
        <f t="shared" si="68"/>
        <v>1.2000000000000001E-3</v>
      </c>
      <c r="T342" s="94">
        <f t="shared" si="69"/>
        <v>1.32E-2</v>
      </c>
      <c r="U342" s="93">
        <f t="shared" si="72"/>
        <v>1.32E-3</v>
      </c>
      <c r="V342" s="93">
        <f t="shared" si="73"/>
        <v>1.3200000000000001E-4</v>
      </c>
      <c r="W342" s="93">
        <f t="shared" si="74"/>
        <v>1.3200000000000001E-4</v>
      </c>
      <c r="X342" s="93">
        <f t="shared" si="70"/>
        <v>1.4784E-2</v>
      </c>
      <c r="Y342" s="117"/>
    </row>
    <row r="343" spans="1:25" s="90" customFormat="1">
      <c r="A343" s="95" t="s">
        <v>1484</v>
      </c>
      <c r="B343" s="95" t="s">
        <v>1668</v>
      </c>
      <c r="C343" s="95" t="s">
        <v>1427</v>
      </c>
      <c r="D343" s="101" t="s">
        <v>1487</v>
      </c>
      <c r="E343" s="101" t="s">
        <v>1485</v>
      </c>
      <c r="F343" s="101" t="s">
        <v>1670</v>
      </c>
      <c r="G343" s="101" t="s">
        <v>1488</v>
      </c>
      <c r="H343" s="97" t="str">
        <f>IFERROR(VLOOKUP(I343,'Raw material list'!$A$3:$C$695,3,0),"")</f>
        <v>PRD1-4265</v>
      </c>
      <c r="I343" s="97" t="s">
        <v>10</v>
      </c>
      <c r="J343" s="101" t="s">
        <v>111</v>
      </c>
      <c r="K343" s="101" t="str">
        <f>IFERROR(VLOOKUP(I343,'Raw material list'!$A$3:$E$695,5,0),"")</f>
        <v xml:space="preserve">Gram </v>
      </c>
      <c r="L343" s="95">
        <v>127.93</v>
      </c>
      <c r="M343" s="98">
        <f t="shared" si="71"/>
        <v>150.50588235294117</v>
      </c>
      <c r="N343" s="98">
        <v>85</v>
      </c>
      <c r="O343" s="95">
        <v>10</v>
      </c>
      <c r="P343" s="98">
        <f t="shared" si="64"/>
        <v>12.793000000000001</v>
      </c>
      <c r="Q343" s="99">
        <f>IFERROR(VLOOKUP(I343,'Raw material list'!$A$3:$F$695,6,0),"")</f>
        <v>3.529411764705882E-3</v>
      </c>
      <c r="R343" s="100">
        <f t="shared" si="65"/>
        <v>4.515176470588235E-2</v>
      </c>
      <c r="S343" s="94">
        <f t="shared" si="68"/>
        <v>4.5151764705882351E-3</v>
      </c>
      <c r="T343" s="94">
        <f t="shared" si="69"/>
        <v>4.9666941176470587E-2</v>
      </c>
      <c r="U343" s="93">
        <f t="shared" si="72"/>
        <v>4.9666941176470594E-3</v>
      </c>
      <c r="V343" s="93">
        <f t="shared" si="73"/>
        <v>4.9666941176470592E-4</v>
      </c>
      <c r="W343" s="93">
        <f t="shared" si="74"/>
        <v>4.9666941176470592E-4</v>
      </c>
      <c r="X343" s="93">
        <f t="shared" si="70"/>
        <v>5.5626974117647054E-2</v>
      </c>
      <c r="Y343" s="117"/>
    </row>
    <row r="344" spans="1:25" s="90" customFormat="1">
      <c r="A344" s="95" t="s">
        <v>1484</v>
      </c>
      <c r="B344" s="95" t="s">
        <v>1668</v>
      </c>
      <c r="C344" s="95" t="s">
        <v>1427</v>
      </c>
      <c r="D344" s="101" t="s">
        <v>1487</v>
      </c>
      <c r="E344" s="101" t="s">
        <v>1485</v>
      </c>
      <c r="F344" s="101" t="s">
        <v>1670</v>
      </c>
      <c r="G344" s="101" t="s">
        <v>1488</v>
      </c>
      <c r="H344" s="97" t="str">
        <f>IFERROR(VLOOKUP(I344,'Raw material list'!$A$3:$C$695,3,0),"")</f>
        <v>PRD1-4327</v>
      </c>
      <c r="I344" s="97" t="s">
        <v>11</v>
      </c>
      <c r="J344" s="101" t="s">
        <v>111</v>
      </c>
      <c r="K344" s="101" t="str">
        <f>IFERROR(VLOOKUP(I344,'Raw material list'!$A$3:$E$695,5,0),"")</f>
        <v xml:space="preserve">Gram </v>
      </c>
      <c r="L344" s="95">
        <v>24.31</v>
      </c>
      <c r="M344" s="98">
        <f t="shared" si="71"/>
        <v>30.387499999999999</v>
      </c>
      <c r="N344" s="133">
        <v>80</v>
      </c>
      <c r="O344" s="95">
        <v>10</v>
      </c>
      <c r="P344" s="98">
        <f t="shared" si="64"/>
        <v>2.431</v>
      </c>
      <c r="Q344" s="99">
        <f>IFERROR(VLOOKUP(I344,'Raw material list'!$A$3:$F$695,6,0),"")</f>
        <v>1.2999999999999999E-2</v>
      </c>
      <c r="R344" s="100">
        <f t="shared" si="65"/>
        <v>3.1602999999999999E-2</v>
      </c>
      <c r="S344" s="94">
        <f t="shared" si="68"/>
        <v>3.1603E-3</v>
      </c>
      <c r="T344" s="94">
        <f t="shared" si="69"/>
        <v>3.4763299999999997E-2</v>
      </c>
      <c r="U344" s="93">
        <f t="shared" si="72"/>
        <v>3.4763299999999997E-3</v>
      </c>
      <c r="V344" s="93">
        <f t="shared" si="73"/>
        <v>3.4763299999999997E-4</v>
      </c>
      <c r="W344" s="93">
        <f t="shared" si="74"/>
        <v>3.4763299999999997E-4</v>
      </c>
      <c r="X344" s="93">
        <f t="shared" si="70"/>
        <v>3.8934895999999997E-2</v>
      </c>
      <c r="Y344" s="117"/>
    </row>
    <row r="345" spans="1:25" s="90" customFormat="1">
      <c r="A345" s="95" t="s">
        <v>1484</v>
      </c>
      <c r="B345" s="95" t="s">
        <v>1668</v>
      </c>
      <c r="C345" s="95" t="s">
        <v>1427</v>
      </c>
      <c r="D345" s="101" t="s">
        <v>1487</v>
      </c>
      <c r="E345" s="101" t="s">
        <v>1485</v>
      </c>
      <c r="F345" s="101" t="s">
        <v>1670</v>
      </c>
      <c r="G345" s="101" t="s">
        <v>1488</v>
      </c>
      <c r="H345" s="97" t="str">
        <f>IFERROR(VLOOKUP(I345,'Raw material list'!$A$3:$C$695,3,0),"")</f>
        <v/>
      </c>
      <c r="I345" s="97" t="s">
        <v>1489</v>
      </c>
      <c r="J345" s="101" t="s">
        <v>1615</v>
      </c>
      <c r="K345" s="101" t="str">
        <f>IFERROR(VLOOKUP(I345,'Raw material list'!$A$3:$E$695,5,0),"")</f>
        <v/>
      </c>
      <c r="L345" s="95">
        <v>17.239999999999998</v>
      </c>
      <c r="M345" s="98">
        <f t="shared" si="71"/>
        <v>17.239999999999998</v>
      </c>
      <c r="N345" s="98">
        <v>100</v>
      </c>
      <c r="O345" s="95">
        <v>10</v>
      </c>
      <c r="P345" s="98">
        <f t="shared" si="64"/>
        <v>1.7239999999999998</v>
      </c>
      <c r="Q345" s="99" t="str">
        <f>IFERROR(VLOOKUP(I345,'Raw material list'!$A$3:$F$695,6,0),"")</f>
        <v/>
      </c>
      <c r="R345" s="100">
        <f t="shared" si="65"/>
        <v>0</v>
      </c>
      <c r="S345" s="94">
        <f t="shared" si="68"/>
        <v>0</v>
      </c>
      <c r="T345" s="94">
        <f t="shared" si="69"/>
        <v>0</v>
      </c>
      <c r="U345" s="93">
        <f t="shared" si="72"/>
        <v>0</v>
      </c>
      <c r="V345" s="93">
        <f t="shared" si="73"/>
        <v>0</v>
      </c>
      <c r="W345" s="93">
        <f t="shared" si="74"/>
        <v>0</v>
      </c>
      <c r="X345" s="93">
        <f t="shared" si="70"/>
        <v>0</v>
      </c>
      <c r="Y345" s="117"/>
    </row>
    <row r="346" spans="1:25" s="90" customFormat="1">
      <c r="A346" s="95" t="s">
        <v>1484</v>
      </c>
      <c r="B346" s="95" t="s">
        <v>1668</v>
      </c>
      <c r="C346" s="95" t="s">
        <v>1427</v>
      </c>
      <c r="D346" s="101" t="s">
        <v>1487</v>
      </c>
      <c r="E346" s="101" t="s">
        <v>1485</v>
      </c>
      <c r="F346" s="101" t="s">
        <v>1670</v>
      </c>
      <c r="G346" s="101" t="s">
        <v>1488</v>
      </c>
      <c r="H346" s="97" t="str">
        <f>IFERROR(VLOOKUP(I346,'Raw material list'!$A$3:$C$695,3,0),"")</f>
        <v>PRD1-179</v>
      </c>
      <c r="I346" s="97" t="s">
        <v>971</v>
      </c>
      <c r="J346" s="101" t="s">
        <v>111</v>
      </c>
      <c r="K346" s="101" t="str">
        <f>IFERROR(VLOOKUP(I346,'Raw material list'!$A$3:$E$695,5,0),"")</f>
        <v xml:space="preserve">Gram </v>
      </c>
      <c r="L346" s="95">
        <v>1.74</v>
      </c>
      <c r="M346" s="98">
        <f t="shared" si="71"/>
        <v>1.7399999999999998</v>
      </c>
      <c r="N346" s="98">
        <v>100</v>
      </c>
      <c r="O346" s="95">
        <v>10</v>
      </c>
      <c r="P346" s="98">
        <f t="shared" ref="P346:P409" si="75">IFERROR(L346/O346,0)</f>
        <v>0.17399999999999999</v>
      </c>
      <c r="Q346" s="99">
        <f>IFERROR(VLOOKUP(I346,'Raw material list'!$A$3:$F$695,6,0),"")</f>
        <v>8.9999999999999993E-3</v>
      </c>
      <c r="R346" s="100">
        <f t="shared" si="65"/>
        <v>1.5659999999999997E-3</v>
      </c>
      <c r="S346" s="94">
        <f t="shared" si="68"/>
        <v>1.5659999999999998E-4</v>
      </c>
      <c r="T346" s="94">
        <f t="shared" si="69"/>
        <v>1.7225999999999997E-3</v>
      </c>
      <c r="U346" s="93">
        <f t="shared" si="72"/>
        <v>1.7225999999999998E-4</v>
      </c>
      <c r="V346" s="93">
        <f t="shared" si="73"/>
        <v>1.7225999999999997E-5</v>
      </c>
      <c r="W346" s="93">
        <f t="shared" si="74"/>
        <v>1.7225999999999997E-5</v>
      </c>
      <c r="X346" s="93">
        <f t="shared" si="70"/>
        <v>1.9293119999999997E-3</v>
      </c>
      <c r="Y346" s="117"/>
    </row>
    <row r="347" spans="1:25" s="90" customFormat="1">
      <c r="A347" s="95" t="s">
        <v>1484</v>
      </c>
      <c r="B347" s="95" t="s">
        <v>1668</v>
      </c>
      <c r="C347" s="95" t="s">
        <v>1427</v>
      </c>
      <c r="D347" s="101" t="s">
        <v>1487</v>
      </c>
      <c r="E347" s="101" t="s">
        <v>1485</v>
      </c>
      <c r="F347" s="101" t="s">
        <v>1670</v>
      </c>
      <c r="G347" s="101" t="s">
        <v>1488</v>
      </c>
      <c r="H347" s="97" t="str">
        <f>IFERROR(VLOOKUP(I347,'Raw material list'!$A$3:$C$695,3,0),"")</f>
        <v>DRS6-5088</v>
      </c>
      <c r="I347" s="97" t="s">
        <v>668</v>
      </c>
      <c r="J347" s="101" t="s">
        <v>111</v>
      </c>
      <c r="K347" s="101" t="str">
        <f>IFERROR(VLOOKUP(I347,'Raw material list'!$A$3:$E$695,5,0),"")</f>
        <v xml:space="preserve">Gram </v>
      </c>
      <c r="L347" s="95">
        <v>2.58</v>
      </c>
      <c r="M347" s="98">
        <f t="shared" si="71"/>
        <v>2.58</v>
      </c>
      <c r="N347" s="98">
        <v>100</v>
      </c>
      <c r="O347" s="95">
        <v>10</v>
      </c>
      <c r="P347" s="98">
        <f t="shared" si="75"/>
        <v>0.25800000000000001</v>
      </c>
      <c r="Q347" s="99">
        <f>IFERROR(VLOOKUP(I347,'Raw material list'!$A$3:$F$695,6,0),"")</f>
        <v>0.08</v>
      </c>
      <c r="R347" s="100">
        <f t="shared" si="65"/>
        <v>2.0640000000000002E-2</v>
      </c>
      <c r="S347" s="94">
        <f t="shared" si="68"/>
        <v>2.0640000000000003E-3</v>
      </c>
      <c r="T347" s="94">
        <f t="shared" si="69"/>
        <v>2.2704000000000002E-2</v>
      </c>
      <c r="U347" s="93">
        <f t="shared" si="72"/>
        <v>2.2704000000000001E-3</v>
      </c>
      <c r="V347" s="93">
        <f t="shared" si="73"/>
        <v>2.2704000000000002E-4</v>
      </c>
      <c r="W347" s="93">
        <f t="shared" si="74"/>
        <v>2.2704000000000002E-4</v>
      </c>
      <c r="X347" s="93">
        <f t="shared" si="70"/>
        <v>2.5428480000000003E-2</v>
      </c>
      <c r="Y347" s="117"/>
    </row>
    <row r="348" spans="1:25" s="90" customFormat="1">
      <c r="A348" s="95" t="s">
        <v>1484</v>
      </c>
      <c r="B348" s="95" t="s">
        <v>1668</v>
      </c>
      <c r="C348" s="95" t="s">
        <v>1427</v>
      </c>
      <c r="D348" s="101" t="s">
        <v>1487</v>
      </c>
      <c r="E348" s="101" t="s">
        <v>1485</v>
      </c>
      <c r="F348" s="101" t="s">
        <v>1670</v>
      </c>
      <c r="G348" s="101" t="s">
        <v>1488</v>
      </c>
      <c r="H348" s="97" t="str">
        <f>IFERROR(VLOOKUP(I348,'Raw material list'!$A$3:$C$695,3,0),"")</f>
        <v>DRS6-733</v>
      </c>
      <c r="I348" s="97" t="s">
        <v>60</v>
      </c>
      <c r="J348" s="101" t="s">
        <v>111</v>
      </c>
      <c r="K348" s="101" t="str">
        <f>IFERROR(VLOOKUP(I348,'Raw material list'!$A$3:$E$695,5,0),"")</f>
        <v xml:space="preserve">Gram </v>
      </c>
      <c r="L348" s="95">
        <v>1.48</v>
      </c>
      <c r="M348" s="98">
        <f t="shared" si="71"/>
        <v>1.48</v>
      </c>
      <c r="N348" s="98">
        <v>100</v>
      </c>
      <c r="O348" s="95">
        <v>10</v>
      </c>
      <c r="P348" s="98">
        <f t="shared" si="75"/>
        <v>0.14799999999999999</v>
      </c>
      <c r="Q348" s="99">
        <f>IFERROR(VLOOKUP(I348,'Raw material list'!$A$3:$F$695,6,0),"")</f>
        <v>2.8000000000000001E-2</v>
      </c>
      <c r="R348" s="100">
        <f t="shared" si="65"/>
        <v>4.1440000000000001E-3</v>
      </c>
      <c r="S348" s="94">
        <f t="shared" si="68"/>
        <v>4.1440000000000004E-4</v>
      </c>
      <c r="T348" s="94">
        <f t="shared" si="69"/>
        <v>4.5583999999999998E-3</v>
      </c>
      <c r="U348" s="93">
        <f t="shared" si="72"/>
        <v>4.5584E-4</v>
      </c>
      <c r="V348" s="93">
        <f t="shared" si="73"/>
        <v>4.5583999999999996E-5</v>
      </c>
      <c r="W348" s="93">
        <f t="shared" si="74"/>
        <v>4.5583999999999996E-5</v>
      </c>
      <c r="X348" s="93">
        <f t="shared" si="70"/>
        <v>5.1054080000000005E-3</v>
      </c>
      <c r="Y348" s="117"/>
    </row>
    <row r="349" spans="1:25" s="90" customFormat="1">
      <c r="A349" s="95" t="s">
        <v>1484</v>
      </c>
      <c r="B349" s="95" t="s">
        <v>1668</v>
      </c>
      <c r="C349" s="95" t="s">
        <v>1427</v>
      </c>
      <c r="D349" s="101" t="s">
        <v>1487</v>
      </c>
      <c r="E349" s="101" t="s">
        <v>1485</v>
      </c>
      <c r="F349" s="101" t="s">
        <v>1670</v>
      </c>
      <c r="G349" s="101" t="s">
        <v>1488</v>
      </c>
      <c r="H349" s="97" t="str">
        <f>IFERROR(VLOOKUP(I349,'Raw material list'!$A$3:$C$695,3,0),"")</f>
        <v>DRS6-1674</v>
      </c>
      <c r="I349" s="97" t="s">
        <v>47</v>
      </c>
      <c r="J349" s="101" t="s">
        <v>111</v>
      </c>
      <c r="K349" s="101" t="str">
        <f>IFERROR(VLOOKUP(I349,'Raw material list'!$A$3:$E$695,5,0),"")</f>
        <v xml:space="preserve">Gram </v>
      </c>
      <c r="L349" s="95">
        <v>0.51</v>
      </c>
      <c r="M349" s="98">
        <f t="shared" si="71"/>
        <v>0.51</v>
      </c>
      <c r="N349" s="98">
        <v>100</v>
      </c>
      <c r="O349" s="95">
        <v>10</v>
      </c>
      <c r="P349" s="98">
        <f t="shared" si="75"/>
        <v>5.1000000000000004E-2</v>
      </c>
      <c r="Q349" s="99">
        <f>IFERROR(VLOOKUP(I349,'Raw material list'!$A$3:$F$695,6,0),"")</f>
        <v>1.6E-2</v>
      </c>
      <c r="R349" s="100">
        <f t="shared" si="65"/>
        <v>8.160000000000001E-4</v>
      </c>
      <c r="S349" s="94">
        <f t="shared" si="68"/>
        <v>8.1600000000000018E-5</v>
      </c>
      <c r="T349" s="94">
        <f t="shared" si="69"/>
        <v>8.9760000000000013E-4</v>
      </c>
      <c r="U349" s="93">
        <f t="shared" si="72"/>
        <v>8.9760000000000022E-5</v>
      </c>
      <c r="V349" s="93">
        <f t="shared" si="73"/>
        <v>8.9760000000000018E-6</v>
      </c>
      <c r="W349" s="93">
        <f t="shared" si="74"/>
        <v>8.9760000000000018E-6</v>
      </c>
      <c r="X349" s="93">
        <f t="shared" si="70"/>
        <v>1.005312E-3</v>
      </c>
      <c r="Y349" s="117"/>
    </row>
    <row r="350" spans="1:25" s="90" customFormat="1">
      <c r="A350" s="95" t="s">
        <v>1484</v>
      </c>
      <c r="B350" s="95" t="s">
        <v>1668</v>
      </c>
      <c r="C350" s="95" t="s">
        <v>1427</v>
      </c>
      <c r="D350" s="101" t="s">
        <v>1487</v>
      </c>
      <c r="E350" s="101" t="s">
        <v>1485</v>
      </c>
      <c r="F350" s="101" t="s">
        <v>1670</v>
      </c>
      <c r="G350" s="101" t="s">
        <v>1488</v>
      </c>
      <c r="H350" s="97" t="str">
        <f>IFERROR(VLOOKUP(I350,'Raw material list'!$A$3:$C$695,3,0),"")</f>
        <v>DRS1-607</v>
      </c>
      <c r="I350" s="97" t="s">
        <v>207</v>
      </c>
      <c r="J350" s="101" t="s">
        <v>111</v>
      </c>
      <c r="K350" s="101" t="str">
        <f>IFERROR(VLOOKUP(I350,'Raw material list'!$A$3:$E$695,5,0),"")</f>
        <v xml:space="preserve">Gram </v>
      </c>
      <c r="L350" s="95">
        <v>431.03</v>
      </c>
      <c r="M350" s="98">
        <f t="shared" si="71"/>
        <v>431.03</v>
      </c>
      <c r="N350" s="98">
        <v>100</v>
      </c>
      <c r="O350" s="95">
        <v>10</v>
      </c>
      <c r="P350" s="98">
        <f t="shared" si="75"/>
        <v>43.102999999999994</v>
      </c>
      <c r="Q350" s="99">
        <f>IFERROR(VLOOKUP(I350,'Raw material list'!$A$3:$F$695,6,0),"")</f>
        <v>5.8823529411764714E-3</v>
      </c>
      <c r="R350" s="100">
        <f t="shared" si="65"/>
        <v>0.2535470588235294</v>
      </c>
      <c r="S350" s="94">
        <f t="shared" si="68"/>
        <v>2.5354705882352942E-2</v>
      </c>
      <c r="T350" s="94">
        <f t="shared" si="69"/>
        <v>0.27890176470588235</v>
      </c>
      <c r="U350" s="93">
        <f t="shared" si="72"/>
        <v>2.7890176470588238E-2</v>
      </c>
      <c r="V350" s="93">
        <f t="shared" si="73"/>
        <v>2.7890176470588236E-3</v>
      </c>
      <c r="W350" s="93">
        <f t="shared" si="74"/>
        <v>2.7890176470588236E-3</v>
      </c>
      <c r="X350" s="93">
        <f t="shared" si="70"/>
        <v>0.31236997647058817</v>
      </c>
      <c r="Y350" s="117"/>
    </row>
    <row r="351" spans="1:25" s="90" customFormat="1">
      <c r="A351" s="95" t="s">
        <v>1484</v>
      </c>
      <c r="B351" s="95" t="s">
        <v>1668</v>
      </c>
      <c r="C351" s="95" t="s">
        <v>1427</v>
      </c>
      <c r="D351" s="101" t="s">
        <v>1487</v>
      </c>
      <c r="E351" s="101" t="s">
        <v>1485</v>
      </c>
      <c r="F351" s="101" t="s">
        <v>1670</v>
      </c>
      <c r="G351" s="101" t="s">
        <v>1488</v>
      </c>
      <c r="H351" s="97" t="str">
        <f>IFERROR(VLOOKUP(I351,'Raw material list'!$A$3:$C$695,3,0),"")</f>
        <v>DRS6-537</v>
      </c>
      <c r="I351" s="97" t="s">
        <v>25</v>
      </c>
      <c r="J351" s="101" t="s">
        <v>111</v>
      </c>
      <c r="K351" s="101" t="str">
        <f>IFERROR(VLOOKUP(I351,'Raw material list'!$A$3:$E$695,5,0),"")</f>
        <v xml:space="preserve">Gram </v>
      </c>
      <c r="L351" s="95">
        <v>2.17</v>
      </c>
      <c r="M351" s="98">
        <f t="shared" si="71"/>
        <v>2.17</v>
      </c>
      <c r="N351" s="98">
        <v>100</v>
      </c>
      <c r="O351" s="95">
        <v>10</v>
      </c>
      <c r="P351" s="98">
        <f t="shared" si="75"/>
        <v>0.217</v>
      </c>
      <c r="Q351" s="99">
        <f>IFERROR(VLOOKUP(I351,'Raw material list'!$A$3:$F$695,6,0),"")</f>
        <v>3.5000000000000003E-2</v>
      </c>
      <c r="R351" s="100">
        <f t="shared" si="65"/>
        <v>7.5950000000000011E-3</v>
      </c>
      <c r="S351" s="94">
        <f t="shared" si="68"/>
        <v>7.5950000000000019E-4</v>
      </c>
      <c r="T351" s="94">
        <f t="shared" si="69"/>
        <v>8.3545000000000008E-3</v>
      </c>
      <c r="U351" s="93">
        <f t="shared" si="72"/>
        <v>8.3545000000000017E-4</v>
      </c>
      <c r="V351" s="93">
        <f t="shared" si="73"/>
        <v>8.3545000000000014E-5</v>
      </c>
      <c r="W351" s="93">
        <f t="shared" si="74"/>
        <v>8.3545000000000014E-5</v>
      </c>
      <c r="X351" s="93">
        <f t="shared" si="70"/>
        <v>9.3570400000000022E-3</v>
      </c>
      <c r="Y351" s="117"/>
    </row>
    <row r="352" spans="1:25" s="90" customFormat="1">
      <c r="A352" s="95" t="s">
        <v>1484</v>
      </c>
      <c r="B352" s="95" t="s">
        <v>1668</v>
      </c>
      <c r="C352" s="95" t="s">
        <v>1427</v>
      </c>
      <c r="D352" s="101" t="s">
        <v>1487</v>
      </c>
      <c r="E352" s="101" t="s">
        <v>1485</v>
      </c>
      <c r="F352" s="101" t="s">
        <v>1670</v>
      </c>
      <c r="G352" s="101" t="s">
        <v>1488</v>
      </c>
      <c r="H352" s="97" t="str">
        <f>IFERROR(VLOOKUP(I352,'Raw material list'!$A$3:$C$695,3,0),"")</f>
        <v>DRS1-114</v>
      </c>
      <c r="I352" s="97" t="s">
        <v>279</v>
      </c>
      <c r="J352" s="101" t="s">
        <v>111</v>
      </c>
      <c r="K352" s="101" t="str">
        <f>IFERROR(VLOOKUP(I352,'Raw material list'!$A$3:$E$695,5,0),"")</f>
        <v xml:space="preserve">Gram </v>
      </c>
      <c r="L352" s="95">
        <v>4.75</v>
      </c>
      <c r="M352" s="98">
        <f t="shared" si="71"/>
        <v>4.75</v>
      </c>
      <c r="N352" s="98">
        <v>100</v>
      </c>
      <c r="O352" s="95">
        <v>10</v>
      </c>
      <c r="P352" s="98">
        <f t="shared" si="75"/>
        <v>0.47499999999999998</v>
      </c>
      <c r="Q352" s="99">
        <f>IFERROR(VLOOKUP(I352,'Raw material list'!$A$3:$F$695,6,0),"")</f>
        <v>4.7489823609226586E-3</v>
      </c>
      <c r="R352" s="100">
        <f t="shared" si="65"/>
        <v>2.2557666214382626E-3</v>
      </c>
      <c r="S352" s="94">
        <f t="shared" si="68"/>
        <v>2.2557666214382627E-4</v>
      </c>
      <c r="T352" s="94">
        <f t="shared" si="69"/>
        <v>2.4813432835820888E-3</v>
      </c>
      <c r="U352" s="93">
        <f t="shared" si="72"/>
        <v>2.481343283582089E-4</v>
      </c>
      <c r="V352" s="93">
        <f t="shared" si="73"/>
        <v>2.481343283582089E-5</v>
      </c>
      <c r="W352" s="93">
        <f t="shared" si="74"/>
        <v>2.481343283582089E-5</v>
      </c>
      <c r="X352" s="93">
        <f t="shared" si="70"/>
        <v>2.7791044776119393E-3</v>
      </c>
      <c r="Y352" s="117"/>
    </row>
    <row r="353" spans="1:25" s="90" customFormat="1">
      <c r="A353" s="95" t="s">
        <v>1484</v>
      </c>
      <c r="B353" s="95" t="s">
        <v>1668</v>
      </c>
      <c r="C353" s="95" t="s">
        <v>1427</v>
      </c>
      <c r="D353" s="101" t="s">
        <v>1487</v>
      </c>
      <c r="E353" s="101" t="s">
        <v>1485</v>
      </c>
      <c r="F353" s="101" t="s">
        <v>1670</v>
      </c>
      <c r="G353" s="101" t="s">
        <v>1488</v>
      </c>
      <c r="H353" s="97" t="str">
        <f>IFERROR(VLOOKUP(I353,'Raw material list'!$A$3:$C$695,3,0),"")</f>
        <v>DRS6-3844</v>
      </c>
      <c r="I353" s="97" t="s">
        <v>672</v>
      </c>
      <c r="J353" s="101" t="s">
        <v>111</v>
      </c>
      <c r="K353" s="101" t="str">
        <f>IFERROR(VLOOKUP(I353,'Raw material list'!$A$3:$E$695,5,0),"")</f>
        <v xml:space="preserve">Gram </v>
      </c>
      <c r="L353" s="95">
        <v>0.17</v>
      </c>
      <c r="M353" s="98">
        <f t="shared" si="71"/>
        <v>0.17</v>
      </c>
      <c r="N353" s="98">
        <v>100</v>
      </c>
      <c r="O353" s="95">
        <v>10</v>
      </c>
      <c r="P353" s="98">
        <f t="shared" si="75"/>
        <v>1.7000000000000001E-2</v>
      </c>
      <c r="Q353" s="99">
        <f>IFERROR(VLOOKUP(I353,'Raw material list'!$A$3:$F$695,6,0),"")</f>
        <v>3.5424999999999998E-2</v>
      </c>
      <c r="R353" s="100">
        <f t="shared" si="65"/>
        <v>6.0222499999999996E-4</v>
      </c>
      <c r="S353" s="94">
        <f t="shared" si="68"/>
        <v>6.0222500000000002E-5</v>
      </c>
      <c r="T353" s="94">
        <f t="shared" si="69"/>
        <v>6.6244749999999999E-4</v>
      </c>
      <c r="U353" s="93">
        <f t="shared" si="72"/>
        <v>6.6244749999999996E-5</v>
      </c>
      <c r="V353" s="93">
        <f t="shared" si="73"/>
        <v>6.6244749999999998E-6</v>
      </c>
      <c r="W353" s="93">
        <f t="shared" si="74"/>
        <v>6.6244749999999998E-6</v>
      </c>
      <c r="X353" s="93">
        <f t="shared" si="70"/>
        <v>7.4194120000000004E-4</v>
      </c>
      <c r="Y353" s="117"/>
    </row>
    <row r="354" spans="1:25" s="90" customFormat="1">
      <c r="A354" s="95" t="s">
        <v>1484</v>
      </c>
      <c r="B354" s="95" t="s">
        <v>1668</v>
      </c>
      <c r="C354" s="95" t="s">
        <v>1427</v>
      </c>
      <c r="D354" s="101" t="s">
        <v>1487</v>
      </c>
      <c r="E354" s="101" t="s">
        <v>1485</v>
      </c>
      <c r="F354" s="101" t="s">
        <v>1670</v>
      </c>
      <c r="G354" s="101" t="s">
        <v>1488</v>
      </c>
      <c r="H354" s="97" t="str">
        <f>IFERROR(VLOOKUP(I354,'Raw material list'!$A$3:$C$695,3,0),"")</f>
        <v>DRS6-5020</v>
      </c>
      <c r="I354" s="97" t="s">
        <v>1490</v>
      </c>
      <c r="J354" s="101" t="s">
        <v>111</v>
      </c>
      <c r="K354" s="101" t="str">
        <f>IFERROR(VLOOKUP(I354,'Raw material list'!$A$3:$E$695,5,0),"")</f>
        <v xml:space="preserve">Gram </v>
      </c>
      <c r="L354" s="95">
        <v>1.5</v>
      </c>
      <c r="M354" s="98">
        <f t="shared" si="71"/>
        <v>1.5</v>
      </c>
      <c r="N354" s="98">
        <v>100</v>
      </c>
      <c r="O354" s="95">
        <v>10</v>
      </c>
      <c r="P354" s="98">
        <f t="shared" si="75"/>
        <v>0.15</v>
      </c>
      <c r="Q354" s="99">
        <f>IFERROR(VLOOKUP(I354,'Raw material list'!$A$3:$F$695,6,0),"")</f>
        <v>0.15</v>
      </c>
      <c r="R354" s="100">
        <f t="shared" si="65"/>
        <v>2.2499999999999999E-2</v>
      </c>
      <c r="S354" s="94">
        <f t="shared" si="68"/>
        <v>2.2499999999999998E-3</v>
      </c>
      <c r="T354" s="94">
        <f t="shared" si="69"/>
        <v>2.4749999999999998E-2</v>
      </c>
      <c r="U354" s="93">
        <f t="shared" si="72"/>
        <v>2.4749999999999998E-3</v>
      </c>
      <c r="V354" s="93">
        <f t="shared" si="73"/>
        <v>2.475E-4</v>
      </c>
      <c r="W354" s="93">
        <f t="shared" si="74"/>
        <v>2.475E-4</v>
      </c>
      <c r="X354" s="93">
        <f t="shared" si="70"/>
        <v>2.7720000000000002E-2</v>
      </c>
      <c r="Y354" s="117"/>
    </row>
    <row r="355" spans="1:25" s="90" customFormat="1">
      <c r="A355" s="95" t="s">
        <v>1484</v>
      </c>
      <c r="B355" s="95" t="s">
        <v>1668</v>
      </c>
      <c r="C355" s="95" t="s">
        <v>1427</v>
      </c>
      <c r="D355" s="101" t="s">
        <v>1487</v>
      </c>
      <c r="E355" s="101" t="s">
        <v>1485</v>
      </c>
      <c r="F355" s="101" t="s">
        <v>1670</v>
      </c>
      <c r="G355" s="101" t="s">
        <v>1488</v>
      </c>
      <c r="H355" s="97" t="str">
        <f>IFERROR(VLOOKUP(I355,'Raw material list'!$A$3:$C$695,3,0),"")</f>
        <v>DRS1-3811</v>
      </c>
      <c r="I355" s="97" t="s">
        <v>36</v>
      </c>
      <c r="J355" s="101" t="s">
        <v>111</v>
      </c>
      <c r="K355" s="101" t="str">
        <f>IFERROR(VLOOKUP(I355,'Raw material list'!$A$3:$E$695,5,0),"")</f>
        <v xml:space="preserve">Gram </v>
      </c>
      <c r="L355" s="95">
        <v>9</v>
      </c>
      <c r="M355" s="98">
        <f t="shared" si="71"/>
        <v>9</v>
      </c>
      <c r="N355" s="98">
        <v>100</v>
      </c>
      <c r="O355" s="95">
        <v>10</v>
      </c>
      <c r="P355" s="98">
        <f t="shared" si="75"/>
        <v>0.9</v>
      </c>
      <c r="Q355" s="99">
        <f>IFERROR(VLOOKUP(I355,'Raw material list'!$A$3:$F$695,6,0),"")</f>
        <v>2.8475E-2</v>
      </c>
      <c r="R355" s="100">
        <f t="shared" si="65"/>
        <v>2.5627500000000001E-2</v>
      </c>
      <c r="S355" s="94">
        <f t="shared" si="68"/>
        <v>2.5627500000000004E-3</v>
      </c>
      <c r="T355" s="94">
        <f t="shared" si="69"/>
        <v>2.819025E-2</v>
      </c>
      <c r="U355" s="93">
        <f t="shared" si="72"/>
        <v>2.8190250000000002E-3</v>
      </c>
      <c r="V355" s="93">
        <f t="shared" si="73"/>
        <v>2.8190250000000001E-4</v>
      </c>
      <c r="W355" s="93">
        <f t="shared" si="74"/>
        <v>2.8190250000000001E-4</v>
      </c>
      <c r="X355" s="93">
        <f t="shared" si="70"/>
        <v>3.1573079999999996E-2</v>
      </c>
      <c r="Y355" s="117"/>
    </row>
    <row r="356" spans="1:25" s="90" customFormat="1">
      <c r="A356" s="95" t="s">
        <v>1484</v>
      </c>
      <c r="B356" s="95" t="s">
        <v>1668</v>
      </c>
      <c r="C356" s="95" t="s">
        <v>1427</v>
      </c>
      <c r="D356" s="101" t="s">
        <v>1487</v>
      </c>
      <c r="E356" s="101" t="s">
        <v>1485</v>
      </c>
      <c r="F356" s="101" t="s">
        <v>1670</v>
      </c>
      <c r="G356" s="101" t="s">
        <v>1426</v>
      </c>
      <c r="H356" s="97" t="str">
        <f>IFERROR(VLOOKUP(I356,'Raw material list'!$A$3:$C$695,3,0),"")</f>
        <v>DRY1-602</v>
      </c>
      <c r="I356" s="97" t="s">
        <v>65</v>
      </c>
      <c r="J356" s="101" t="s">
        <v>111</v>
      </c>
      <c r="K356" s="101" t="str">
        <f>IFERROR(VLOOKUP(I356,'Raw material list'!$A$3:$E$695,5,0),"")</f>
        <v xml:space="preserve">Gram </v>
      </c>
      <c r="L356" s="95">
        <v>30</v>
      </c>
      <c r="M356" s="98">
        <f t="shared" si="71"/>
        <v>30</v>
      </c>
      <c r="N356" s="98">
        <v>100</v>
      </c>
      <c r="O356" s="95">
        <v>10</v>
      </c>
      <c r="P356" s="98">
        <f t="shared" si="75"/>
        <v>3</v>
      </c>
      <c r="Q356" s="99">
        <f>IFERROR(VLOOKUP(I356,'Raw material list'!$A$3:$F$695,6,0),"")</f>
        <v>5.5E-2</v>
      </c>
      <c r="R356" s="100">
        <f t="shared" si="65"/>
        <v>0.16500000000000001</v>
      </c>
      <c r="S356" s="94">
        <f t="shared" si="68"/>
        <v>1.6500000000000001E-2</v>
      </c>
      <c r="T356" s="94">
        <f t="shared" si="69"/>
        <v>0.18149999999999999</v>
      </c>
      <c r="U356" s="93">
        <f t="shared" si="72"/>
        <v>1.8149999999999999E-2</v>
      </c>
      <c r="V356" s="93">
        <f t="shared" si="73"/>
        <v>1.815E-3</v>
      </c>
      <c r="W356" s="93">
        <f t="shared" si="74"/>
        <v>1.815E-3</v>
      </c>
      <c r="X356" s="93">
        <f t="shared" si="70"/>
        <v>0.20328000000000002</v>
      </c>
      <c r="Y356" s="117"/>
    </row>
    <row r="357" spans="1:25" s="90" customFormat="1">
      <c r="A357" s="95" t="s">
        <v>1484</v>
      </c>
      <c r="B357" s="95" t="s">
        <v>1668</v>
      </c>
      <c r="C357" s="95" t="s">
        <v>1427</v>
      </c>
      <c r="D357" s="101" t="s">
        <v>1487</v>
      </c>
      <c r="E357" s="101" t="s">
        <v>1485</v>
      </c>
      <c r="F357" s="101" t="s">
        <v>1670</v>
      </c>
      <c r="G357" s="101" t="s">
        <v>1426</v>
      </c>
      <c r="H357" s="97" t="str">
        <f>IFERROR(VLOOKUP(I357,'Raw material list'!$A$3:$C$695,3,0),"")</f>
        <v>PRD1-194</v>
      </c>
      <c r="I357" s="97" t="s">
        <v>991</v>
      </c>
      <c r="J357" s="101" t="s">
        <v>111</v>
      </c>
      <c r="K357" s="101" t="str">
        <f>IFERROR(VLOOKUP(I357,'Raw material list'!$A$3:$E$695,5,0),"")</f>
        <v xml:space="preserve">Gram </v>
      </c>
      <c r="L357" s="95">
        <v>10</v>
      </c>
      <c r="M357" s="98">
        <f t="shared" si="71"/>
        <v>10.869565217391305</v>
      </c>
      <c r="N357" s="133">
        <v>92</v>
      </c>
      <c r="O357" s="95">
        <v>10</v>
      </c>
      <c r="P357" s="98">
        <f t="shared" si="75"/>
        <v>1</v>
      </c>
      <c r="Q357" s="99">
        <f>IFERROR(VLOOKUP(I357,'Raw material list'!$A$3:$F$695,6,0),"")</f>
        <v>0.11</v>
      </c>
      <c r="R357" s="100">
        <f t="shared" si="65"/>
        <v>0.11</v>
      </c>
      <c r="S357" s="94">
        <f t="shared" si="68"/>
        <v>1.1000000000000001E-2</v>
      </c>
      <c r="T357" s="94">
        <f t="shared" si="69"/>
        <v>0.121</v>
      </c>
      <c r="U357" s="93">
        <f t="shared" si="72"/>
        <v>1.21E-2</v>
      </c>
      <c r="V357" s="93">
        <f t="shared" si="73"/>
        <v>1.2099999999999999E-3</v>
      </c>
      <c r="W357" s="93">
        <f t="shared" si="74"/>
        <v>1.2099999999999999E-3</v>
      </c>
      <c r="X357" s="93">
        <f t="shared" si="70"/>
        <v>0.13551999999999997</v>
      </c>
      <c r="Y357" s="117"/>
    </row>
    <row r="358" spans="1:25" s="90" customFormat="1">
      <c r="A358" s="95" t="s">
        <v>1484</v>
      </c>
      <c r="B358" s="95" t="s">
        <v>1668</v>
      </c>
      <c r="C358" s="95" t="s">
        <v>1427</v>
      </c>
      <c r="D358" s="101" t="s">
        <v>1487</v>
      </c>
      <c r="E358" s="101" t="s">
        <v>1485</v>
      </c>
      <c r="F358" s="101" t="s">
        <v>1670</v>
      </c>
      <c r="G358" s="101" t="s">
        <v>1426</v>
      </c>
      <c r="H358" s="97" t="str">
        <f>IFERROR(VLOOKUP(I358,'Raw material list'!$A$3:$C$695,3,0),"")</f>
        <v>PRD1-221</v>
      </c>
      <c r="I358" s="97" t="s">
        <v>1022</v>
      </c>
      <c r="J358" s="101" t="s">
        <v>111</v>
      </c>
      <c r="K358" s="101" t="str">
        <f>IFERROR(VLOOKUP(I358,'Raw material list'!$A$3:$E$695,5,0),"")</f>
        <v xml:space="preserve">Gram </v>
      </c>
      <c r="L358" s="95">
        <v>10</v>
      </c>
      <c r="M358" s="98">
        <f t="shared" si="71"/>
        <v>17.201834862385319</v>
      </c>
      <c r="N358" s="98">
        <v>58.13333333333334</v>
      </c>
      <c r="O358" s="95">
        <v>10</v>
      </c>
      <c r="P358" s="98">
        <f t="shared" si="75"/>
        <v>1</v>
      </c>
      <c r="Q358" s="99">
        <f>IFERROR(VLOOKUP(I358,'Raw material list'!$A$3:$F$695,6,0),"")</f>
        <v>6.8846815834767653E-3</v>
      </c>
      <c r="R358" s="100">
        <f t="shared" si="65"/>
        <v>6.8846815834767653E-3</v>
      </c>
      <c r="S358" s="94">
        <f t="shared" si="68"/>
        <v>6.8846815834767657E-4</v>
      </c>
      <c r="T358" s="94">
        <f t="shared" si="69"/>
        <v>7.5731497418244417E-3</v>
      </c>
      <c r="U358" s="93">
        <f t="shared" si="72"/>
        <v>7.5731497418244417E-4</v>
      </c>
      <c r="V358" s="93">
        <f t="shared" si="73"/>
        <v>7.5731497418244422E-5</v>
      </c>
      <c r="W358" s="93">
        <f t="shared" si="74"/>
        <v>7.5731497418244422E-5</v>
      </c>
      <c r="X358" s="93">
        <f t="shared" si="70"/>
        <v>8.481927710843374E-3</v>
      </c>
      <c r="Y358" s="117"/>
    </row>
    <row r="359" spans="1:25" s="90" customFormat="1">
      <c r="A359" s="95" t="s">
        <v>1610</v>
      </c>
      <c r="B359" s="95" t="s">
        <v>1668</v>
      </c>
      <c r="C359" s="95" t="s">
        <v>1427</v>
      </c>
      <c r="D359" s="101" t="s">
        <v>1494</v>
      </c>
      <c r="E359" s="101" t="s">
        <v>1663</v>
      </c>
      <c r="F359" s="101" t="s">
        <v>1670</v>
      </c>
      <c r="G359" s="101"/>
      <c r="H359" s="97" t="str">
        <f>IFERROR(VLOOKUP(I359,'Raw material list'!$A$3:$C$695,3,0),"")</f>
        <v>PLT1-37</v>
      </c>
      <c r="I359" s="97" t="s">
        <v>843</v>
      </c>
      <c r="J359" s="101" t="s">
        <v>14</v>
      </c>
      <c r="K359" s="101" t="str">
        <f>IFERROR(VLOOKUP(I359,'Raw material list'!$A$3:$E$695,5,0),"")</f>
        <v>Each</v>
      </c>
      <c r="L359" s="95">
        <v>30</v>
      </c>
      <c r="M359" s="98">
        <f t="shared" si="71"/>
        <v>30</v>
      </c>
      <c r="N359" s="98">
        <v>100</v>
      </c>
      <c r="O359" s="95">
        <v>10</v>
      </c>
      <c r="P359" s="98">
        <f t="shared" si="75"/>
        <v>3</v>
      </c>
      <c r="Q359" s="99">
        <f>IFERROR(VLOOKUP(I359,'Raw material list'!$A$3:$F$695,6,0),"")</f>
        <v>0.48299999999999998</v>
      </c>
      <c r="R359" s="100">
        <f t="shared" si="65"/>
        <v>1.4489999999999998</v>
      </c>
      <c r="S359" s="94">
        <f t="shared" si="68"/>
        <v>0.1449</v>
      </c>
      <c r="T359" s="94">
        <f t="shared" si="69"/>
        <v>1.5938999999999999</v>
      </c>
      <c r="U359" s="93">
        <f t="shared" si="72"/>
        <v>0.15939</v>
      </c>
      <c r="V359" s="93">
        <f t="shared" si="73"/>
        <v>1.5938999999999998E-2</v>
      </c>
      <c r="W359" s="93">
        <f t="shared" si="74"/>
        <v>1.5938999999999998E-2</v>
      </c>
      <c r="X359" s="93">
        <f t="shared" si="70"/>
        <v>1.7851679999999996</v>
      </c>
      <c r="Y359" s="117"/>
    </row>
    <row r="360" spans="1:25" s="90" customFormat="1">
      <c r="A360" s="95" t="s">
        <v>1610</v>
      </c>
      <c r="B360" s="95" t="s">
        <v>1668</v>
      </c>
      <c r="C360" s="95" t="s">
        <v>1427</v>
      </c>
      <c r="D360" s="101" t="s">
        <v>1494</v>
      </c>
      <c r="E360" s="101" t="s">
        <v>1663</v>
      </c>
      <c r="F360" s="101" t="s">
        <v>1670</v>
      </c>
      <c r="G360" s="101" t="s">
        <v>1461</v>
      </c>
      <c r="H360" s="97" t="str">
        <f>IFERROR(VLOOKUP(I360,'Raw material list'!$A$3:$C$695,3,0),"")</f>
        <v>PRD1-235</v>
      </c>
      <c r="I360" s="97" t="s">
        <v>1048</v>
      </c>
      <c r="J360" s="101" t="s">
        <v>111</v>
      </c>
      <c r="K360" s="101" t="str">
        <f>IFERROR(VLOOKUP(I360,'Raw material list'!$A$3:$E$695,5,0),"")</f>
        <v xml:space="preserve">Gram </v>
      </c>
      <c r="L360" s="95">
        <v>100</v>
      </c>
      <c r="M360" s="98">
        <f t="shared" si="71"/>
        <v>309.27835051546396</v>
      </c>
      <c r="N360" s="98">
        <v>32.333333333333329</v>
      </c>
      <c r="O360" s="95">
        <v>10</v>
      </c>
      <c r="P360" s="98">
        <f t="shared" si="75"/>
        <v>10</v>
      </c>
      <c r="Q360" s="99">
        <f>IFERROR(VLOOKUP(I360,'Raw material list'!$A$3:$F$695,6,0),"")</f>
        <v>1.238390092879257E-2</v>
      </c>
      <c r="R360" s="100">
        <f t="shared" ref="R360:R425" si="76">IFERROR(Q360*P360,0)</f>
        <v>0.12383900928792571</v>
      </c>
      <c r="S360" s="94">
        <f t="shared" si="68"/>
        <v>1.2383900928792572E-2</v>
      </c>
      <c r="T360" s="94">
        <f t="shared" si="69"/>
        <v>0.13622291021671828</v>
      </c>
      <c r="U360" s="93">
        <f t="shared" si="72"/>
        <v>1.3622291021671829E-2</v>
      </c>
      <c r="V360" s="93">
        <f t="shared" si="73"/>
        <v>1.3622291021671829E-3</v>
      </c>
      <c r="W360" s="93">
        <f t="shared" si="74"/>
        <v>1.3622291021671829E-3</v>
      </c>
      <c r="X360" s="93">
        <f t="shared" si="70"/>
        <v>0.15256965944272449</v>
      </c>
      <c r="Y360" s="117"/>
    </row>
    <row r="361" spans="1:25" s="90" customFormat="1">
      <c r="A361" s="95" t="s">
        <v>1610</v>
      </c>
      <c r="B361" s="95" t="s">
        <v>1668</v>
      </c>
      <c r="C361" s="95" t="s">
        <v>1427</v>
      </c>
      <c r="D361" s="101" t="s">
        <v>1494</v>
      </c>
      <c r="E361" s="101" t="s">
        <v>1663</v>
      </c>
      <c r="F361" s="101" t="s">
        <v>1670</v>
      </c>
      <c r="G361" s="101" t="s">
        <v>1461</v>
      </c>
      <c r="H361" s="97" t="str">
        <f>IFERROR(VLOOKUP(I361,'Raw material list'!$A$3:$C$695,3,0),"")</f>
        <v>PRD1-245</v>
      </c>
      <c r="I361" s="97" t="s">
        <v>989</v>
      </c>
      <c r="J361" s="101" t="s">
        <v>111</v>
      </c>
      <c r="K361" s="101" t="str">
        <f>IFERROR(VLOOKUP(I361,'Raw material list'!$A$3:$E$695,5,0),"")</f>
        <v xml:space="preserve">Gram </v>
      </c>
      <c r="L361" s="95">
        <v>250</v>
      </c>
      <c r="M361" s="98">
        <f t="shared" si="71"/>
        <v>250</v>
      </c>
      <c r="N361" s="98">
        <v>100</v>
      </c>
      <c r="O361" s="95">
        <v>10</v>
      </c>
      <c r="P361" s="98">
        <f t="shared" si="75"/>
        <v>25</v>
      </c>
      <c r="Q361" s="99">
        <f>IFERROR(VLOOKUP(I361,'Raw material list'!$A$3:$F$695,6,0),"")</f>
        <v>1.4E-2</v>
      </c>
      <c r="R361" s="100">
        <f t="shared" si="76"/>
        <v>0.35000000000000003</v>
      </c>
      <c r="S361" s="94">
        <f t="shared" si="68"/>
        <v>3.5000000000000003E-2</v>
      </c>
      <c r="T361" s="94">
        <f t="shared" si="69"/>
        <v>0.38500000000000001</v>
      </c>
      <c r="U361" s="93">
        <f t="shared" si="72"/>
        <v>3.8500000000000006E-2</v>
      </c>
      <c r="V361" s="93">
        <f t="shared" si="73"/>
        <v>3.8500000000000001E-3</v>
      </c>
      <c r="W361" s="93">
        <f t="shared" si="74"/>
        <v>3.8500000000000001E-3</v>
      </c>
      <c r="X361" s="93">
        <f t="shared" si="70"/>
        <v>0.43120000000000003</v>
      </c>
      <c r="Y361" s="117"/>
    </row>
    <row r="362" spans="1:25" s="90" customFormat="1">
      <c r="A362" s="95" t="s">
        <v>1610</v>
      </c>
      <c r="B362" s="95" t="s">
        <v>1668</v>
      </c>
      <c r="C362" s="95" t="s">
        <v>1427</v>
      </c>
      <c r="D362" s="101" t="s">
        <v>1494</v>
      </c>
      <c r="E362" s="101" t="s">
        <v>1663</v>
      </c>
      <c r="F362" s="101" t="s">
        <v>1670</v>
      </c>
      <c r="G362" s="101" t="s">
        <v>1461</v>
      </c>
      <c r="H362" s="97" t="str">
        <f>IFERROR(VLOOKUP(I362,'Raw material list'!$A$3:$C$695,3,0),"")</f>
        <v>PRD1-194</v>
      </c>
      <c r="I362" s="97" t="s">
        <v>991</v>
      </c>
      <c r="J362" s="101" t="s">
        <v>111</v>
      </c>
      <c r="K362" s="101" t="str">
        <f>IFERROR(VLOOKUP(I362,'Raw material list'!$A$3:$E$695,5,0),"")</f>
        <v xml:space="preserve">Gram </v>
      </c>
      <c r="L362" s="95">
        <v>10</v>
      </c>
      <c r="M362" s="98">
        <f t="shared" si="71"/>
        <v>10.869565217391305</v>
      </c>
      <c r="N362" s="133">
        <v>92</v>
      </c>
      <c r="O362" s="95">
        <v>10</v>
      </c>
      <c r="P362" s="98">
        <f t="shared" si="75"/>
        <v>1</v>
      </c>
      <c r="Q362" s="99">
        <f>IFERROR(VLOOKUP(I362,'Raw material list'!$A$3:$F$695,6,0),"")</f>
        <v>0.11</v>
      </c>
      <c r="R362" s="100">
        <f t="shared" si="76"/>
        <v>0.11</v>
      </c>
      <c r="S362" s="94">
        <f t="shared" si="68"/>
        <v>1.1000000000000001E-2</v>
      </c>
      <c r="T362" s="94">
        <f t="shared" si="69"/>
        <v>0.121</v>
      </c>
      <c r="U362" s="93">
        <f t="shared" si="72"/>
        <v>1.21E-2</v>
      </c>
      <c r="V362" s="93">
        <f t="shared" si="73"/>
        <v>1.2099999999999999E-3</v>
      </c>
      <c r="W362" s="93">
        <f t="shared" si="74"/>
        <v>1.2099999999999999E-3</v>
      </c>
      <c r="X362" s="93">
        <f t="shared" si="70"/>
        <v>0.13551999999999997</v>
      </c>
      <c r="Y362" s="117"/>
    </row>
    <row r="363" spans="1:25" s="90" customFormat="1">
      <c r="A363" s="95" t="s">
        <v>1610</v>
      </c>
      <c r="B363" s="95" t="s">
        <v>1668</v>
      </c>
      <c r="C363" s="95" t="s">
        <v>1427</v>
      </c>
      <c r="D363" s="101" t="s">
        <v>1494</v>
      </c>
      <c r="E363" s="101" t="s">
        <v>1663</v>
      </c>
      <c r="F363" s="101" t="s">
        <v>1670</v>
      </c>
      <c r="G363" s="101" t="s">
        <v>1495</v>
      </c>
      <c r="H363" s="97" t="str">
        <f>IFERROR(VLOOKUP(I363,'Raw material list'!$A$3:$C$695,3,0),"")</f>
        <v>PRD1-230</v>
      </c>
      <c r="I363" s="97" t="s">
        <v>40</v>
      </c>
      <c r="J363" s="101" t="s">
        <v>111</v>
      </c>
      <c r="K363" s="101" t="str">
        <f>IFERROR(VLOOKUP(I363,'Raw material list'!$A$3:$E$695,5,0),"")</f>
        <v xml:space="preserve">Gram </v>
      </c>
      <c r="L363" s="95">
        <v>1200</v>
      </c>
      <c r="M363" s="98">
        <f t="shared" si="71"/>
        <v>1619.4331983805669</v>
      </c>
      <c r="N363" s="98">
        <v>74.099999999999994</v>
      </c>
      <c r="O363" s="95">
        <v>10</v>
      </c>
      <c r="P363" s="98">
        <f t="shared" si="75"/>
        <v>120</v>
      </c>
      <c r="Q363" s="99">
        <f>IFERROR(VLOOKUP(I363,'Raw material list'!$A$3:$F$695,6,0),"")</f>
        <v>3.3738191632928468E-3</v>
      </c>
      <c r="R363" s="100">
        <f t="shared" si="76"/>
        <v>0.40485829959514164</v>
      </c>
      <c r="S363" s="94">
        <f t="shared" si="68"/>
        <v>4.0485829959514164E-2</v>
      </c>
      <c r="T363" s="94">
        <f t="shared" si="69"/>
        <v>0.4453441295546558</v>
      </c>
      <c r="U363" s="93">
        <f t="shared" si="72"/>
        <v>4.4534412955465584E-2</v>
      </c>
      <c r="V363" s="93">
        <f t="shared" si="73"/>
        <v>4.4534412955465584E-3</v>
      </c>
      <c r="W363" s="93">
        <f t="shared" si="74"/>
        <v>4.4534412955465584E-3</v>
      </c>
      <c r="X363" s="93">
        <f t="shared" si="70"/>
        <v>0.49878542510121443</v>
      </c>
      <c r="Y363" s="117"/>
    </row>
    <row r="364" spans="1:25" s="90" customFormat="1">
      <c r="A364" s="95" t="s">
        <v>1610</v>
      </c>
      <c r="B364" s="95" t="s">
        <v>1668</v>
      </c>
      <c r="C364" s="95" t="s">
        <v>1427</v>
      </c>
      <c r="D364" s="101" t="s">
        <v>1494</v>
      </c>
      <c r="E364" s="101" t="s">
        <v>1663</v>
      </c>
      <c r="F364" s="101" t="s">
        <v>1670</v>
      </c>
      <c r="G364" s="101" t="s">
        <v>1495</v>
      </c>
      <c r="H364" s="97" t="str">
        <f>IFERROR(VLOOKUP(I364,'Raw material list'!$A$3:$C$695,3,0),"")</f>
        <v>DRS1-114</v>
      </c>
      <c r="I364" s="97" t="s">
        <v>279</v>
      </c>
      <c r="J364" s="101" t="s">
        <v>111</v>
      </c>
      <c r="K364" s="101" t="str">
        <f>IFERROR(VLOOKUP(I364,'Raw material list'!$A$3:$E$695,5,0),"")</f>
        <v xml:space="preserve">Gram </v>
      </c>
      <c r="L364" s="95">
        <v>8</v>
      </c>
      <c r="M364" s="98">
        <f t="shared" si="71"/>
        <v>8</v>
      </c>
      <c r="N364" s="98">
        <v>100</v>
      </c>
      <c r="O364" s="95">
        <v>10</v>
      </c>
      <c r="P364" s="98">
        <f t="shared" si="75"/>
        <v>0.8</v>
      </c>
      <c r="Q364" s="99">
        <f>IFERROR(VLOOKUP(I364,'Raw material list'!$A$3:$F$695,6,0),"")</f>
        <v>4.7489823609226586E-3</v>
      </c>
      <c r="R364" s="100">
        <f t="shared" si="76"/>
        <v>3.799185888738127E-3</v>
      </c>
      <c r="S364" s="94">
        <f t="shared" si="68"/>
        <v>3.799185888738127E-4</v>
      </c>
      <c r="T364" s="94">
        <f t="shared" si="69"/>
        <v>4.1791044776119399E-3</v>
      </c>
      <c r="U364" s="93">
        <f t="shared" si="72"/>
        <v>4.1791044776119402E-4</v>
      </c>
      <c r="V364" s="93">
        <f t="shared" si="73"/>
        <v>4.1791044776119397E-5</v>
      </c>
      <c r="W364" s="93">
        <f t="shared" si="74"/>
        <v>4.1791044776119397E-5</v>
      </c>
      <c r="X364" s="93">
        <f t="shared" si="70"/>
        <v>4.6805970149253733E-3</v>
      </c>
      <c r="Y364" s="117"/>
    </row>
    <row r="365" spans="1:25" s="90" customFormat="1">
      <c r="A365" s="95" t="s">
        <v>1610</v>
      </c>
      <c r="B365" s="95" t="s">
        <v>1668</v>
      </c>
      <c r="C365" s="95" t="s">
        <v>1427</v>
      </c>
      <c r="D365" s="101" t="s">
        <v>1494</v>
      </c>
      <c r="E365" s="101" t="s">
        <v>1663</v>
      </c>
      <c r="F365" s="101" t="s">
        <v>1670</v>
      </c>
      <c r="G365" s="101" t="s">
        <v>1495</v>
      </c>
      <c r="H365" s="97" t="str">
        <f>IFERROR(VLOOKUP(I365,'Raw material list'!$A$3:$C$695,3,0),"")</f>
        <v>DRS6-537</v>
      </c>
      <c r="I365" s="97" t="s">
        <v>25</v>
      </c>
      <c r="J365" s="101" t="s">
        <v>111</v>
      </c>
      <c r="K365" s="101" t="str">
        <f>IFERROR(VLOOKUP(I365,'Raw material list'!$A$3:$E$695,5,0),"")</f>
        <v xml:space="preserve">Gram </v>
      </c>
      <c r="L365" s="95">
        <v>2</v>
      </c>
      <c r="M365" s="98">
        <f t="shared" si="71"/>
        <v>2</v>
      </c>
      <c r="N365" s="98">
        <v>100</v>
      </c>
      <c r="O365" s="95">
        <v>10</v>
      </c>
      <c r="P365" s="98">
        <f t="shared" si="75"/>
        <v>0.2</v>
      </c>
      <c r="Q365" s="99">
        <f>IFERROR(VLOOKUP(I365,'Raw material list'!$A$3:$F$695,6,0),"")</f>
        <v>3.5000000000000003E-2</v>
      </c>
      <c r="R365" s="100">
        <f t="shared" si="76"/>
        <v>7.000000000000001E-3</v>
      </c>
      <c r="S365" s="94">
        <f t="shared" si="68"/>
        <v>7.000000000000001E-4</v>
      </c>
      <c r="T365" s="94">
        <f t="shared" si="69"/>
        <v>7.7000000000000011E-3</v>
      </c>
      <c r="U365" s="93">
        <f t="shared" si="72"/>
        <v>7.7000000000000018E-4</v>
      </c>
      <c r="V365" s="93">
        <f t="shared" si="73"/>
        <v>7.7000000000000015E-5</v>
      </c>
      <c r="W365" s="93">
        <f t="shared" si="74"/>
        <v>7.7000000000000015E-5</v>
      </c>
      <c r="X365" s="93">
        <f t="shared" si="70"/>
        <v>8.6240000000000032E-3</v>
      </c>
      <c r="Y365" s="117"/>
    </row>
    <row r="366" spans="1:25" s="90" customFormat="1">
      <c r="A366" s="95" t="s">
        <v>1610</v>
      </c>
      <c r="B366" s="95" t="s">
        <v>1668</v>
      </c>
      <c r="C366" s="95" t="s">
        <v>1427</v>
      </c>
      <c r="D366" s="101" t="s">
        <v>1494</v>
      </c>
      <c r="E366" s="101" t="s">
        <v>1663</v>
      </c>
      <c r="F366" s="101" t="s">
        <v>1670</v>
      </c>
      <c r="G366" s="101" t="s">
        <v>1495</v>
      </c>
      <c r="H366" s="97" t="str">
        <f>IFERROR(VLOOKUP(I366,'Raw material list'!$A$3:$C$695,3,0),"")</f>
        <v>DRY2-1858</v>
      </c>
      <c r="I366" s="97" t="s">
        <v>42</v>
      </c>
      <c r="J366" s="101" t="s">
        <v>161</v>
      </c>
      <c r="K366" s="101" t="str">
        <f>IFERROR(VLOOKUP(I366,'Raw material list'!$A$3:$E$695,5,0),"")</f>
        <v>Ml</v>
      </c>
      <c r="L366" s="95">
        <v>200</v>
      </c>
      <c r="M366" s="98">
        <f t="shared" si="71"/>
        <v>200</v>
      </c>
      <c r="N366" s="98">
        <v>100</v>
      </c>
      <c r="O366" s="95">
        <v>10</v>
      </c>
      <c r="P366" s="98">
        <f t="shared" si="75"/>
        <v>20</v>
      </c>
      <c r="Q366" s="99">
        <f>IFERROR(VLOOKUP(I366,'Raw material list'!$A$3:$F$695,6,0),"")</f>
        <v>9.8800000000000016E-3</v>
      </c>
      <c r="R366" s="100">
        <f t="shared" si="76"/>
        <v>0.19760000000000003</v>
      </c>
      <c r="S366" s="94">
        <f t="shared" si="68"/>
        <v>1.9760000000000003E-2</v>
      </c>
      <c r="T366" s="94">
        <f t="shared" si="69"/>
        <v>0.21736000000000003</v>
      </c>
      <c r="U366" s="93">
        <f t="shared" si="72"/>
        <v>2.1736000000000005E-2</v>
      </c>
      <c r="V366" s="93">
        <f t="shared" si="73"/>
        <v>2.1736000000000004E-3</v>
      </c>
      <c r="W366" s="93">
        <f t="shared" si="74"/>
        <v>2.1736000000000004E-3</v>
      </c>
      <c r="X366" s="93">
        <f t="shared" si="70"/>
        <v>0.24344320000000003</v>
      </c>
      <c r="Y366" s="117"/>
    </row>
    <row r="367" spans="1:25" s="90" customFormat="1">
      <c r="A367" s="95" t="s">
        <v>1610</v>
      </c>
      <c r="B367" s="95" t="s">
        <v>1668</v>
      </c>
      <c r="C367" s="95" t="s">
        <v>1427</v>
      </c>
      <c r="D367" s="101" t="s">
        <v>1494</v>
      </c>
      <c r="E367" s="101" t="s">
        <v>1663</v>
      </c>
      <c r="F367" s="101" t="s">
        <v>1670</v>
      </c>
      <c r="G367" s="101" t="s">
        <v>1495</v>
      </c>
      <c r="H367" s="97" t="str">
        <f>IFERROR(VLOOKUP(I367,'Raw material list'!$A$3:$C$695,3,0),"")</f>
        <v>DRY2-1008</v>
      </c>
      <c r="I367" s="97" t="s">
        <v>21</v>
      </c>
      <c r="J367" s="101" t="s">
        <v>111</v>
      </c>
      <c r="K367" s="101" t="str">
        <f>IFERROR(VLOOKUP(I367,'Raw material list'!$A$3:$E$695,5,0),"")</f>
        <v xml:space="preserve">Gram </v>
      </c>
      <c r="L367" s="95">
        <v>40</v>
      </c>
      <c r="M367" s="98">
        <f t="shared" si="71"/>
        <v>40</v>
      </c>
      <c r="N367" s="98">
        <v>100</v>
      </c>
      <c r="O367" s="95">
        <v>10</v>
      </c>
      <c r="P367" s="98">
        <f t="shared" si="75"/>
        <v>4</v>
      </c>
      <c r="Q367" s="99">
        <f>IFERROR(VLOOKUP(I367,'Raw material list'!$A$3:$F$695,6,0),"")</f>
        <v>3.7999999999999999E-2</v>
      </c>
      <c r="R367" s="100">
        <f t="shared" si="76"/>
        <v>0.152</v>
      </c>
      <c r="S367" s="94">
        <f t="shared" si="68"/>
        <v>1.52E-2</v>
      </c>
      <c r="T367" s="94">
        <f t="shared" si="69"/>
        <v>0.16719999999999999</v>
      </c>
      <c r="U367" s="93">
        <f t="shared" si="72"/>
        <v>1.6719999999999999E-2</v>
      </c>
      <c r="V367" s="93">
        <f t="shared" si="73"/>
        <v>1.6719999999999999E-3</v>
      </c>
      <c r="W367" s="93">
        <f t="shared" si="74"/>
        <v>1.6719999999999999E-3</v>
      </c>
      <c r="X367" s="93">
        <f t="shared" si="70"/>
        <v>0.18726399999999999</v>
      </c>
      <c r="Y367" s="117"/>
    </row>
    <row r="368" spans="1:25" s="90" customFormat="1">
      <c r="A368" s="95" t="s">
        <v>1610</v>
      </c>
      <c r="B368" s="95" t="s">
        <v>1668</v>
      </c>
      <c r="C368" s="95" t="s">
        <v>1427</v>
      </c>
      <c r="D368" s="101" t="s">
        <v>1494</v>
      </c>
      <c r="E368" s="101" t="s">
        <v>1663</v>
      </c>
      <c r="F368" s="101" t="s">
        <v>1670</v>
      </c>
      <c r="G368" s="101" t="s">
        <v>1496</v>
      </c>
      <c r="H368" s="97" t="str">
        <f>IFERROR(VLOOKUP(I368,'Raw material list'!$A$3:$C$695,3,0),"")</f>
        <v>PRD1-179</v>
      </c>
      <c r="I368" s="97" t="s">
        <v>971</v>
      </c>
      <c r="J368" s="101" t="s">
        <v>111</v>
      </c>
      <c r="K368" s="101" t="str">
        <f>IFERROR(VLOOKUP(I368,'Raw material list'!$A$3:$E$695,5,0),"")</f>
        <v xml:space="preserve">Gram </v>
      </c>
      <c r="L368" s="95">
        <v>10.25</v>
      </c>
      <c r="M368" s="98">
        <f t="shared" si="71"/>
        <v>10.25</v>
      </c>
      <c r="N368" s="98">
        <v>100</v>
      </c>
      <c r="O368" s="95">
        <v>10</v>
      </c>
      <c r="P368" s="98">
        <f t="shared" si="75"/>
        <v>1.0249999999999999</v>
      </c>
      <c r="Q368" s="99">
        <f>IFERROR(VLOOKUP(I368,'Raw material list'!$A$3:$F$695,6,0),"")</f>
        <v>8.9999999999999993E-3</v>
      </c>
      <c r="R368" s="100">
        <f t="shared" si="76"/>
        <v>9.2249999999999988E-3</v>
      </c>
      <c r="S368" s="94">
        <f t="shared" si="68"/>
        <v>9.2249999999999993E-4</v>
      </c>
      <c r="T368" s="94">
        <f t="shared" si="69"/>
        <v>1.0147499999999999E-2</v>
      </c>
      <c r="U368" s="93">
        <f t="shared" si="72"/>
        <v>1.0147499999999998E-3</v>
      </c>
      <c r="V368" s="93">
        <f t="shared" si="73"/>
        <v>1.0147499999999999E-4</v>
      </c>
      <c r="W368" s="93">
        <f t="shared" si="74"/>
        <v>1.0147499999999999E-4</v>
      </c>
      <c r="X368" s="93">
        <f t="shared" si="70"/>
        <v>1.1365199999999999E-2</v>
      </c>
      <c r="Y368" s="117"/>
    </row>
    <row r="369" spans="1:25" s="90" customFormat="1">
      <c r="A369" s="95" t="s">
        <v>1610</v>
      </c>
      <c r="B369" s="95" t="s">
        <v>1668</v>
      </c>
      <c r="C369" s="95" t="s">
        <v>1427</v>
      </c>
      <c r="D369" s="101" t="s">
        <v>1494</v>
      </c>
      <c r="E369" s="101" t="s">
        <v>1663</v>
      </c>
      <c r="F369" s="101" t="s">
        <v>1670</v>
      </c>
      <c r="G369" s="101" t="s">
        <v>1496</v>
      </c>
      <c r="H369" s="97" t="str">
        <f>IFERROR(VLOOKUP(I369,'Raw material list'!$A$3:$C$695,3,0),"")</f>
        <v>DRS3-1615</v>
      </c>
      <c r="I369" s="97" t="s">
        <v>24</v>
      </c>
      <c r="J369" s="101" t="s">
        <v>161</v>
      </c>
      <c r="K369" s="101" t="str">
        <f>IFERROR(VLOOKUP(I369,'Raw material list'!$A$3:$E$695,5,0),"")</f>
        <v>Ml</v>
      </c>
      <c r="L369" s="95">
        <v>7.69</v>
      </c>
      <c r="M369" s="98">
        <f t="shared" si="71"/>
        <v>7.6900000000000013</v>
      </c>
      <c r="N369" s="98">
        <v>100</v>
      </c>
      <c r="O369" s="95">
        <v>10</v>
      </c>
      <c r="P369" s="98">
        <f t="shared" si="75"/>
        <v>0.76900000000000002</v>
      </c>
      <c r="Q369" s="99">
        <f>IFERROR(VLOOKUP(I369,'Raw material list'!$A$3:$F$695,6,0),"")</f>
        <v>1.2E-2</v>
      </c>
      <c r="R369" s="100">
        <f t="shared" si="76"/>
        <v>9.2280000000000001E-3</v>
      </c>
      <c r="S369" s="94">
        <f t="shared" si="68"/>
        <v>9.228000000000001E-4</v>
      </c>
      <c r="T369" s="94">
        <f t="shared" si="69"/>
        <v>1.01508E-2</v>
      </c>
      <c r="U369" s="93">
        <f t="shared" si="72"/>
        <v>1.01508E-3</v>
      </c>
      <c r="V369" s="93">
        <f t="shared" si="73"/>
        <v>1.01508E-4</v>
      </c>
      <c r="W369" s="93">
        <f t="shared" si="74"/>
        <v>1.01508E-4</v>
      </c>
      <c r="X369" s="93">
        <f t="shared" si="70"/>
        <v>1.1368896E-2</v>
      </c>
      <c r="Y369" s="117"/>
    </row>
    <row r="370" spans="1:25" s="90" customFormat="1">
      <c r="A370" s="95" t="s">
        <v>1610</v>
      </c>
      <c r="B370" s="95" t="s">
        <v>1668</v>
      </c>
      <c r="C370" s="95" t="s">
        <v>1427</v>
      </c>
      <c r="D370" s="101" t="s">
        <v>1494</v>
      </c>
      <c r="E370" s="101" t="s">
        <v>1663</v>
      </c>
      <c r="F370" s="101" t="s">
        <v>1670</v>
      </c>
      <c r="G370" s="101" t="s">
        <v>1496</v>
      </c>
      <c r="H370" s="97" t="str">
        <f>IFERROR(VLOOKUP(I370,'Raw material list'!$A$3:$C$695,3,0),"")</f>
        <v>DRS1-114</v>
      </c>
      <c r="I370" s="97" t="s">
        <v>279</v>
      </c>
      <c r="J370" s="101" t="s">
        <v>111</v>
      </c>
      <c r="K370" s="101" t="str">
        <f>IFERROR(VLOOKUP(I370,'Raw material list'!$A$3:$E$695,5,0),"")</f>
        <v xml:space="preserve">Gram </v>
      </c>
      <c r="L370" s="95">
        <v>0.1</v>
      </c>
      <c r="M370" s="98">
        <f t="shared" si="71"/>
        <v>0.1</v>
      </c>
      <c r="N370" s="98">
        <v>100</v>
      </c>
      <c r="O370" s="95">
        <v>10</v>
      </c>
      <c r="P370" s="98">
        <f t="shared" si="75"/>
        <v>0.01</v>
      </c>
      <c r="Q370" s="99">
        <f>IFERROR(VLOOKUP(I370,'Raw material list'!$A$3:$F$695,6,0),"")</f>
        <v>4.7489823609226586E-3</v>
      </c>
      <c r="R370" s="100">
        <f t="shared" si="76"/>
        <v>4.7489823609226587E-5</v>
      </c>
      <c r="S370" s="94">
        <f t="shared" si="68"/>
        <v>4.7489823609226587E-6</v>
      </c>
      <c r="T370" s="94">
        <f t="shared" si="69"/>
        <v>5.2238805970149246E-5</v>
      </c>
      <c r="U370" s="93">
        <f t="shared" si="72"/>
        <v>5.2238805970149246E-6</v>
      </c>
      <c r="V370" s="93">
        <f t="shared" si="73"/>
        <v>5.2238805970149252E-7</v>
      </c>
      <c r="W370" s="93">
        <f t="shared" si="74"/>
        <v>5.2238805970149252E-7</v>
      </c>
      <c r="X370" s="93">
        <f t="shared" si="70"/>
        <v>5.8507462686567154E-5</v>
      </c>
      <c r="Y370" s="117"/>
    </row>
    <row r="371" spans="1:25" s="90" customFormat="1">
      <c r="A371" s="95" t="s">
        <v>1610</v>
      </c>
      <c r="B371" s="95" t="s">
        <v>1668</v>
      </c>
      <c r="C371" s="95" t="s">
        <v>1427</v>
      </c>
      <c r="D371" s="101" t="s">
        <v>1494</v>
      </c>
      <c r="E371" s="101" t="s">
        <v>1663</v>
      </c>
      <c r="F371" s="101" t="s">
        <v>1670</v>
      </c>
      <c r="G371" s="101" t="s">
        <v>1496</v>
      </c>
      <c r="H371" s="97" t="str">
        <f>IFERROR(VLOOKUP(I371,'Raw material list'!$A$3:$C$695,3,0),"")</f>
        <v>DRS6-537</v>
      </c>
      <c r="I371" s="97" t="s">
        <v>25</v>
      </c>
      <c r="J371" s="101" t="s">
        <v>111</v>
      </c>
      <c r="K371" s="101" t="str">
        <f>IFERROR(VLOOKUP(I371,'Raw material list'!$A$3:$E$695,5,0),"")</f>
        <v xml:space="preserve">Gram </v>
      </c>
      <c r="L371" s="95">
        <v>0.1</v>
      </c>
      <c r="M371" s="98">
        <f t="shared" si="71"/>
        <v>0.1</v>
      </c>
      <c r="N371" s="98">
        <v>100</v>
      </c>
      <c r="O371" s="95">
        <v>10</v>
      </c>
      <c r="P371" s="98">
        <f t="shared" si="75"/>
        <v>0.01</v>
      </c>
      <c r="Q371" s="99">
        <f>IFERROR(VLOOKUP(I371,'Raw material list'!$A$3:$F$695,6,0),"")</f>
        <v>3.5000000000000003E-2</v>
      </c>
      <c r="R371" s="100">
        <f t="shared" si="76"/>
        <v>3.5000000000000005E-4</v>
      </c>
      <c r="S371" s="94">
        <f t="shared" ref="S371:S434" si="77">R371*10%</f>
        <v>3.5000000000000004E-5</v>
      </c>
      <c r="T371" s="94">
        <f t="shared" ref="T371:T434" si="78">R371+S371</f>
        <v>3.8500000000000003E-4</v>
      </c>
      <c r="U371" s="93">
        <f t="shared" si="72"/>
        <v>3.8500000000000007E-5</v>
      </c>
      <c r="V371" s="93">
        <f t="shared" si="73"/>
        <v>3.8500000000000004E-6</v>
      </c>
      <c r="W371" s="93">
        <f t="shared" si="74"/>
        <v>3.8500000000000004E-6</v>
      </c>
      <c r="X371" s="93">
        <f t="shared" si="70"/>
        <v>4.3120000000000007E-4</v>
      </c>
      <c r="Y371" s="117"/>
    </row>
    <row r="372" spans="1:25" s="90" customFormat="1">
      <c r="A372" s="95" t="s">
        <v>1610</v>
      </c>
      <c r="B372" s="95" t="s">
        <v>1668</v>
      </c>
      <c r="C372" s="95" t="s">
        <v>1427</v>
      </c>
      <c r="D372" s="101" t="s">
        <v>1494</v>
      </c>
      <c r="E372" s="101" t="s">
        <v>1663</v>
      </c>
      <c r="F372" s="101" t="s">
        <v>1670</v>
      </c>
      <c r="G372" s="101" t="s">
        <v>1496</v>
      </c>
      <c r="H372" s="97" t="str">
        <f>IFERROR(VLOOKUP(I372,'Raw material list'!$A$3:$C$695,3,0),"")</f>
        <v>DRS1-1549</v>
      </c>
      <c r="I372" s="97" t="s">
        <v>252</v>
      </c>
      <c r="J372" s="101" t="s">
        <v>111</v>
      </c>
      <c r="K372" s="101" t="str">
        <f>IFERROR(VLOOKUP(I372,'Raw material list'!$A$3:$E$695,5,0),"")</f>
        <v xml:space="preserve">Gram </v>
      </c>
      <c r="L372" s="95">
        <v>0.25</v>
      </c>
      <c r="M372" s="98">
        <f t="shared" si="71"/>
        <v>0.25</v>
      </c>
      <c r="N372" s="98">
        <v>100</v>
      </c>
      <c r="O372" s="95">
        <v>10</v>
      </c>
      <c r="P372" s="98">
        <f t="shared" si="75"/>
        <v>2.5000000000000001E-2</v>
      </c>
      <c r="Q372" s="99">
        <f>IFERROR(VLOOKUP(I372,'Raw material list'!$A$3:$F$695,6,0),"")</f>
        <v>9.58E-3</v>
      </c>
      <c r="R372" s="100">
        <f t="shared" si="76"/>
        <v>2.3950000000000002E-4</v>
      </c>
      <c r="S372" s="94">
        <f t="shared" si="77"/>
        <v>2.3950000000000003E-5</v>
      </c>
      <c r="T372" s="94">
        <f t="shared" si="78"/>
        <v>2.6345000000000003E-4</v>
      </c>
      <c r="U372" s="93">
        <f t="shared" si="72"/>
        <v>2.6345000000000006E-5</v>
      </c>
      <c r="V372" s="93">
        <f t="shared" si="73"/>
        <v>2.6345000000000004E-6</v>
      </c>
      <c r="W372" s="93">
        <f t="shared" si="74"/>
        <v>2.6345000000000004E-6</v>
      </c>
      <c r="X372" s="93">
        <f t="shared" si="70"/>
        <v>2.9506400000000005E-4</v>
      </c>
      <c r="Y372" s="117"/>
    </row>
    <row r="373" spans="1:25" s="90" customFormat="1">
      <c r="A373" s="95" t="s">
        <v>1610</v>
      </c>
      <c r="B373" s="95" t="s">
        <v>1668</v>
      </c>
      <c r="C373" s="95" t="s">
        <v>1427</v>
      </c>
      <c r="D373" s="101" t="s">
        <v>1494</v>
      </c>
      <c r="E373" s="101" t="s">
        <v>1663</v>
      </c>
      <c r="F373" s="101" t="s">
        <v>1670</v>
      </c>
      <c r="G373" s="101" t="s">
        <v>1496</v>
      </c>
      <c r="H373" s="97" t="str">
        <f>IFERROR(VLOOKUP(I373,'Raw material list'!$A$3:$C$695,3,0),"")</f>
        <v>WAT-001</v>
      </c>
      <c r="I373" s="97" t="s">
        <v>1406</v>
      </c>
      <c r="J373" s="101" t="s">
        <v>161</v>
      </c>
      <c r="K373" s="101" t="str">
        <f>IFERROR(VLOOKUP(I373,'Raw material list'!$A$3:$E$695,5,0),"")</f>
        <v>Ml</v>
      </c>
      <c r="L373" s="95">
        <v>5.12</v>
      </c>
      <c r="M373" s="98">
        <f t="shared" si="71"/>
        <v>5.12</v>
      </c>
      <c r="N373" s="98">
        <v>100</v>
      </c>
      <c r="O373" s="95">
        <v>10</v>
      </c>
      <c r="P373" s="98">
        <f t="shared" si="75"/>
        <v>0.51200000000000001</v>
      </c>
      <c r="Q373" s="99">
        <f>IFERROR(VLOOKUP(I373,'Raw material list'!$A$3:$F$695,6,0),"")</f>
        <v>8.0000000000000007E-5</v>
      </c>
      <c r="R373" s="100">
        <f t="shared" si="76"/>
        <v>4.0960000000000001E-5</v>
      </c>
      <c r="S373" s="94">
        <f t="shared" si="77"/>
        <v>4.0960000000000003E-6</v>
      </c>
      <c r="T373" s="94">
        <f t="shared" si="78"/>
        <v>4.5056000000000004E-5</v>
      </c>
      <c r="U373" s="93">
        <f t="shared" si="72"/>
        <v>4.5056000000000005E-6</v>
      </c>
      <c r="V373" s="93">
        <f t="shared" si="73"/>
        <v>4.5056000000000003E-7</v>
      </c>
      <c r="W373" s="93">
        <f t="shared" si="74"/>
        <v>4.5056000000000003E-7</v>
      </c>
      <c r="X373" s="93">
        <f t="shared" si="70"/>
        <v>5.0462720000000009E-5</v>
      </c>
      <c r="Y373" s="117"/>
    </row>
    <row r="374" spans="1:25" s="90" customFormat="1">
      <c r="A374" s="95" t="s">
        <v>1610</v>
      </c>
      <c r="B374" s="95" t="s">
        <v>1668</v>
      </c>
      <c r="C374" s="95" t="s">
        <v>1427</v>
      </c>
      <c r="D374" s="101" t="s">
        <v>1494</v>
      </c>
      <c r="E374" s="101" t="s">
        <v>1663</v>
      </c>
      <c r="F374" s="101" t="s">
        <v>1670</v>
      </c>
      <c r="G374" s="101" t="s">
        <v>1497</v>
      </c>
      <c r="H374" s="97" t="str">
        <f>IFERROR(VLOOKUP(I374,'Raw material list'!$A$3:$C$695,3,0),"")</f>
        <v>DRS1-1652</v>
      </c>
      <c r="I374" s="97" t="s">
        <v>1425</v>
      </c>
      <c r="J374" s="101" t="s">
        <v>111</v>
      </c>
      <c r="K374" s="101" t="str">
        <f>IFERROR(VLOOKUP(I374,'Raw material list'!$A$3:$E$695,5,0),"")</f>
        <v xml:space="preserve">Gram </v>
      </c>
      <c r="L374" s="95">
        <v>76.92</v>
      </c>
      <c r="M374" s="98">
        <f t="shared" si="71"/>
        <v>76.92</v>
      </c>
      <c r="N374" s="98">
        <v>100</v>
      </c>
      <c r="O374" s="95">
        <v>10</v>
      </c>
      <c r="P374" s="98">
        <f t="shared" si="75"/>
        <v>7.6920000000000002</v>
      </c>
      <c r="Q374" s="99">
        <f>IFERROR(VLOOKUP(I374,'Raw material list'!$A$3:$F$695,6,0),"")</f>
        <v>1.2800000000000001E-2</v>
      </c>
      <c r="R374" s="100">
        <f t="shared" si="76"/>
        <v>9.8457600000000006E-2</v>
      </c>
      <c r="S374" s="94">
        <f t="shared" si="77"/>
        <v>9.845760000000002E-3</v>
      </c>
      <c r="T374" s="94">
        <f t="shared" si="78"/>
        <v>0.10830336000000002</v>
      </c>
      <c r="U374" s="93">
        <f t="shared" si="72"/>
        <v>1.0830336000000003E-2</v>
      </c>
      <c r="V374" s="93">
        <f t="shared" si="73"/>
        <v>1.0830336000000002E-3</v>
      </c>
      <c r="W374" s="93">
        <f t="shared" si="74"/>
        <v>1.0830336000000002E-3</v>
      </c>
      <c r="X374" s="93">
        <f t="shared" si="70"/>
        <v>0.12129976320000002</v>
      </c>
      <c r="Y374" s="117"/>
    </row>
    <row r="375" spans="1:25" s="90" customFormat="1">
      <c r="A375" s="95" t="s">
        <v>1491</v>
      </c>
      <c r="B375" s="95" t="s">
        <v>1631</v>
      </c>
      <c r="C375" s="95" t="s">
        <v>1427</v>
      </c>
      <c r="D375" s="101" t="s">
        <v>1498</v>
      </c>
      <c r="E375" s="101" t="s">
        <v>1663</v>
      </c>
      <c r="F375" s="101" t="s">
        <v>1669</v>
      </c>
      <c r="G375" s="101"/>
      <c r="H375" s="97" t="str">
        <f>IFERROR(VLOOKUP(I375,'Raw material list'!$A$3:$C$695,3,0),"")</f>
        <v>BKR1-1327</v>
      </c>
      <c r="I375" s="97" t="s">
        <v>118</v>
      </c>
      <c r="J375" s="101" t="s">
        <v>120</v>
      </c>
      <c r="K375" s="101" t="str">
        <f>IFERROR(VLOOKUP(I375,'Raw material list'!$A$3:$E$695,5,0),"")</f>
        <v>Slice</v>
      </c>
      <c r="L375" s="95">
        <v>10</v>
      </c>
      <c r="M375" s="98">
        <f t="shared" si="71"/>
        <v>10</v>
      </c>
      <c r="N375" s="98">
        <v>100</v>
      </c>
      <c r="O375" s="95">
        <v>10</v>
      </c>
      <c r="P375" s="98">
        <f t="shared" si="75"/>
        <v>1</v>
      </c>
      <c r="Q375" s="99">
        <f>IFERROR(VLOOKUP(I375,'Raw material list'!$A$3:$F$695,6,0),"")</f>
        <v>0.22222222222222221</v>
      </c>
      <c r="R375" s="100">
        <f t="shared" si="76"/>
        <v>0.22222222222222221</v>
      </c>
      <c r="S375" s="94">
        <f t="shared" si="77"/>
        <v>2.2222222222222223E-2</v>
      </c>
      <c r="T375" s="94">
        <f t="shared" si="78"/>
        <v>0.24444444444444444</v>
      </c>
      <c r="U375" s="93">
        <f t="shared" si="72"/>
        <v>2.4444444444444446E-2</v>
      </c>
      <c r="V375" s="93">
        <f t="shared" si="73"/>
        <v>2.4444444444444444E-3</v>
      </c>
      <c r="W375" s="93">
        <f t="shared" si="74"/>
        <v>2.4444444444444444E-3</v>
      </c>
      <c r="X375" s="93">
        <f t="shared" si="70"/>
        <v>0.27377777777777784</v>
      </c>
      <c r="Y375" s="122"/>
    </row>
    <row r="376" spans="1:25" s="90" customFormat="1">
      <c r="A376" s="95" t="s">
        <v>1491</v>
      </c>
      <c r="B376" s="95" t="s">
        <v>1631</v>
      </c>
      <c r="C376" s="95" t="s">
        <v>1427</v>
      </c>
      <c r="D376" s="101" t="s">
        <v>1498</v>
      </c>
      <c r="E376" s="101" t="s">
        <v>1663</v>
      </c>
      <c r="F376" s="101" t="s">
        <v>1669</v>
      </c>
      <c r="G376" s="101" t="s">
        <v>1499</v>
      </c>
      <c r="H376" s="97" t="str">
        <f>IFERROR(VLOOKUP(I376,'Raw material list'!$A$3:$C$695,3,0),"")</f>
        <v>DRS1-4103</v>
      </c>
      <c r="I376" s="97" t="s">
        <v>165</v>
      </c>
      <c r="J376" s="101" t="s">
        <v>111</v>
      </c>
      <c r="K376" s="101" t="str">
        <f>IFERROR(VLOOKUP(I376,'Raw material list'!$A$3:$E$695,5,0),"")</f>
        <v xml:space="preserve">Gram </v>
      </c>
      <c r="L376" s="95">
        <v>300</v>
      </c>
      <c r="M376" s="98">
        <f t="shared" si="71"/>
        <v>300</v>
      </c>
      <c r="N376" s="98">
        <v>100</v>
      </c>
      <c r="O376" s="95">
        <v>10</v>
      </c>
      <c r="P376" s="98">
        <f t="shared" si="75"/>
        <v>30</v>
      </c>
      <c r="Q376" s="99">
        <f>IFERROR(VLOOKUP(I376,'Raw material list'!$A$3:$F$695,6,0),"")</f>
        <v>2.67632241813602E-2</v>
      </c>
      <c r="R376" s="100">
        <f t="shared" si="76"/>
        <v>0.80289672544080604</v>
      </c>
      <c r="S376" s="94">
        <f t="shared" si="77"/>
        <v>8.0289672544080606E-2</v>
      </c>
      <c r="T376" s="94">
        <f t="shared" si="78"/>
        <v>0.88318639798488663</v>
      </c>
      <c r="U376" s="93">
        <f t="shared" si="72"/>
        <v>8.8318639798488668E-2</v>
      </c>
      <c r="V376" s="93">
        <f t="shared" si="73"/>
        <v>8.8318639798488658E-3</v>
      </c>
      <c r="W376" s="93">
        <f t="shared" si="74"/>
        <v>8.8318639798488658E-3</v>
      </c>
      <c r="X376" s="93">
        <f t="shared" si="70"/>
        <v>0.98916876574307311</v>
      </c>
      <c r="Y376" s="122"/>
    </row>
    <row r="377" spans="1:25" s="90" customFormat="1">
      <c r="A377" s="95" t="s">
        <v>1491</v>
      </c>
      <c r="B377" s="95" t="s">
        <v>1631</v>
      </c>
      <c r="C377" s="95" t="s">
        <v>1427</v>
      </c>
      <c r="D377" s="101" t="s">
        <v>1498</v>
      </c>
      <c r="E377" s="101" t="s">
        <v>1663</v>
      </c>
      <c r="F377" s="101" t="s">
        <v>1669</v>
      </c>
      <c r="G377" s="101" t="s">
        <v>1499</v>
      </c>
      <c r="H377" s="97" t="str">
        <f>IFERROR(VLOOKUP(I377,'Raw material list'!$A$3:$C$695,3,0),"")</f>
        <v>DRS1-1780</v>
      </c>
      <c r="I377" s="97" t="s">
        <v>235</v>
      </c>
      <c r="J377" s="101" t="s">
        <v>111</v>
      </c>
      <c r="K377" s="101" t="str">
        <f>IFERROR(VLOOKUP(I377,'Raw material list'!$A$3:$E$695,5,0),"")</f>
        <v xml:space="preserve">Gram </v>
      </c>
      <c r="L377" s="95">
        <v>150</v>
      </c>
      <c r="M377" s="98">
        <f t="shared" si="71"/>
        <v>150</v>
      </c>
      <c r="N377" s="98">
        <v>100</v>
      </c>
      <c r="O377" s="95">
        <v>10</v>
      </c>
      <c r="P377" s="98">
        <f t="shared" si="75"/>
        <v>15</v>
      </c>
      <c r="Q377" s="99">
        <f>IFERROR(VLOOKUP(I377,'Raw material list'!$A$3:$F$695,6,0),"")</f>
        <v>0.04</v>
      </c>
      <c r="R377" s="100">
        <f t="shared" si="76"/>
        <v>0.6</v>
      </c>
      <c r="S377" s="94">
        <f t="shared" si="77"/>
        <v>0.06</v>
      </c>
      <c r="T377" s="94">
        <f t="shared" si="78"/>
        <v>0.65999999999999992</v>
      </c>
      <c r="U377" s="93">
        <f t="shared" si="72"/>
        <v>6.5999999999999989E-2</v>
      </c>
      <c r="V377" s="93">
        <f t="shared" si="73"/>
        <v>6.5999999999999991E-3</v>
      </c>
      <c r="W377" s="93">
        <f t="shared" si="74"/>
        <v>6.5999999999999991E-3</v>
      </c>
      <c r="X377" s="93">
        <f t="shared" si="70"/>
        <v>0.73919999999999997</v>
      </c>
      <c r="Y377" s="122"/>
    </row>
    <row r="378" spans="1:25" s="90" customFormat="1">
      <c r="A378" s="95" t="s">
        <v>1491</v>
      </c>
      <c r="B378" s="95" t="s">
        <v>1631</v>
      </c>
      <c r="C378" s="95" t="s">
        <v>1427</v>
      </c>
      <c r="D378" s="101" t="s">
        <v>1498</v>
      </c>
      <c r="E378" s="101" t="s">
        <v>1663</v>
      </c>
      <c r="F378" s="95" t="s">
        <v>1669</v>
      </c>
      <c r="G378" s="101" t="s">
        <v>1500</v>
      </c>
      <c r="H378" s="97" t="str">
        <f>IFERROR(VLOOKUP(I378,'Raw material list'!$A$3:$C$695,3,0),"")</f>
        <v/>
      </c>
      <c r="I378" s="97" t="s">
        <v>1501</v>
      </c>
      <c r="J378" s="101" t="s">
        <v>1615</v>
      </c>
      <c r="K378" s="101" t="str">
        <f>IFERROR(VLOOKUP(I378,'Raw material list'!$A$3:$E$695,5,0),"")</f>
        <v/>
      </c>
      <c r="L378" s="95">
        <v>50</v>
      </c>
      <c r="M378" s="98">
        <f t="shared" si="71"/>
        <v>50</v>
      </c>
      <c r="N378" s="98">
        <v>100</v>
      </c>
      <c r="O378" s="95">
        <v>10</v>
      </c>
      <c r="P378" s="98">
        <f t="shared" si="75"/>
        <v>5</v>
      </c>
      <c r="Q378" s="99" t="str">
        <f>IFERROR(VLOOKUP(I378,'Raw material list'!$A$3:$F$695,6,0),"")</f>
        <v/>
      </c>
      <c r="R378" s="100">
        <f t="shared" si="76"/>
        <v>0</v>
      </c>
      <c r="S378" s="94">
        <f t="shared" si="77"/>
        <v>0</v>
      </c>
      <c r="T378" s="94">
        <f t="shared" si="78"/>
        <v>0</v>
      </c>
      <c r="U378" s="93">
        <f t="shared" si="72"/>
        <v>0</v>
      </c>
      <c r="V378" s="93">
        <f t="shared" si="73"/>
        <v>0</v>
      </c>
      <c r="W378" s="93">
        <f t="shared" si="74"/>
        <v>0</v>
      </c>
      <c r="X378" s="93">
        <f t="shared" si="70"/>
        <v>0</v>
      </c>
      <c r="Y378" s="122"/>
    </row>
    <row r="379" spans="1:25" s="90" customFormat="1">
      <c r="A379" s="95" t="s">
        <v>1492</v>
      </c>
      <c r="B379" s="95" t="s">
        <v>1631</v>
      </c>
      <c r="C379" s="95" t="s">
        <v>1427</v>
      </c>
      <c r="D379" s="101" t="s">
        <v>1502</v>
      </c>
      <c r="E379" s="101" t="s">
        <v>1485</v>
      </c>
      <c r="F379" s="101" t="s">
        <v>1671</v>
      </c>
      <c r="G379" s="101"/>
      <c r="H379" s="97" t="str">
        <f>IFERROR(VLOOKUP(I379,'Raw material list'!$A$3:$C$695,3,0),"")</f>
        <v>MET2-1051</v>
      </c>
      <c r="I379" s="97" t="s">
        <v>882</v>
      </c>
      <c r="J379" s="101" t="s">
        <v>111</v>
      </c>
      <c r="K379" s="101" t="str">
        <f>IFERROR(VLOOKUP(I379,'Raw material list'!$A$3:$E$695,5,0),"")</f>
        <v xml:space="preserve">Gram </v>
      </c>
      <c r="L379" s="95">
        <v>650</v>
      </c>
      <c r="M379" s="98">
        <f t="shared" si="71"/>
        <v>1264.5914396887158</v>
      </c>
      <c r="N379" s="98">
        <v>51.4</v>
      </c>
      <c r="O379" s="95">
        <v>10</v>
      </c>
      <c r="P379" s="98">
        <f t="shared" si="75"/>
        <v>65</v>
      </c>
      <c r="Q379" s="99">
        <f>IFERROR(VLOOKUP(I379,'Raw material list'!$A$3:$F$695,6,0),"")</f>
        <v>8.4705882352941173E-2</v>
      </c>
      <c r="R379" s="100">
        <f t="shared" si="76"/>
        <v>5.5058823529411764</v>
      </c>
      <c r="S379" s="94">
        <f t="shared" si="77"/>
        <v>0.55058823529411771</v>
      </c>
      <c r="T379" s="94">
        <f t="shared" si="78"/>
        <v>6.0564705882352943</v>
      </c>
      <c r="U379" s="93">
        <f t="shared" si="72"/>
        <v>0.60564705882352943</v>
      </c>
      <c r="V379" s="93">
        <f t="shared" si="73"/>
        <v>6.0564705882352944E-2</v>
      </c>
      <c r="W379" s="93">
        <f t="shared" si="74"/>
        <v>6.0564705882352944E-2</v>
      </c>
      <c r="X379" s="93">
        <f t="shared" si="70"/>
        <v>6.7832470588235294</v>
      </c>
      <c r="Y379" s="128" t="s">
        <v>1678</v>
      </c>
    </row>
    <row r="380" spans="1:25" s="90" customFormat="1">
      <c r="A380" s="95" t="s">
        <v>1492</v>
      </c>
      <c r="B380" s="95" t="s">
        <v>1631</v>
      </c>
      <c r="C380" s="95" t="s">
        <v>1427</v>
      </c>
      <c r="D380" s="101" t="s">
        <v>1502</v>
      </c>
      <c r="E380" s="101" t="s">
        <v>1485</v>
      </c>
      <c r="F380" s="101" t="s">
        <v>1669</v>
      </c>
      <c r="G380" s="101"/>
      <c r="H380" s="97" t="str">
        <f>IFERROR(VLOOKUP(I380,'Raw material list'!$A$3:$C$695,3,0),"")</f>
        <v>BKR1-1327</v>
      </c>
      <c r="I380" s="97" t="s">
        <v>118</v>
      </c>
      <c r="J380" s="101" t="s">
        <v>120</v>
      </c>
      <c r="K380" s="101" t="str">
        <f>IFERROR(VLOOKUP(I380,'Raw material list'!$A$3:$E$695,5,0),"")</f>
        <v>Slice</v>
      </c>
      <c r="L380" s="95">
        <v>10</v>
      </c>
      <c r="M380" s="98">
        <f t="shared" si="71"/>
        <v>10</v>
      </c>
      <c r="N380" s="98">
        <v>100</v>
      </c>
      <c r="O380" s="95">
        <v>10</v>
      </c>
      <c r="P380" s="98">
        <f t="shared" si="75"/>
        <v>1</v>
      </c>
      <c r="Q380" s="99">
        <f>IFERROR(VLOOKUP(I380,'Raw material list'!$A$3:$F$695,6,0),"")</f>
        <v>0.22222222222222221</v>
      </c>
      <c r="R380" s="100">
        <f t="shared" si="76"/>
        <v>0.22222222222222221</v>
      </c>
      <c r="S380" s="94">
        <f t="shared" si="77"/>
        <v>2.2222222222222223E-2</v>
      </c>
      <c r="T380" s="94">
        <f t="shared" si="78"/>
        <v>0.24444444444444444</v>
      </c>
      <c r="U380" s="93">
        <f t="shared" si="72"/>
        <v>2.4444444444444446E-2</v>
      </c>
      <c r="V380" s="93">
        <f t="shared" si="73"/>
        <v>2.4444444444444444E-3</v>
      </c>
      <c r="W380" s="93">
        <f t="shared" si="74"/>
        <v>2.4444444444444444E-3</v>
      </c>
      <c r="X380" s="93">
        <f t="shared" si="70"/>
        <v>0.27377777777777784</v>
      </c>
      <c r="Y380" s="122"/>
    </row>
    <row r="381" spans="1:25" s="90" customFormat="1">
      <c r="A381" s="95" t="s">
        <v>1492</v>
      </c>
      <c r="B381" s="95" t="s">
        <v>1631</v>
      </c>
      <c r="C381" s="95" t="s">
        <v>1427</v>
      </c>
      <c r="D381" s="101" t="s">
        <v>1502</v>
      </c>
      <c r="E381" s="101" t="s">
        <v>1485</v>
      </c>
      <c r="F381" s="101" t="s">
        <v>1670</v>
      </c>
      <c r="G381" s="101" t="s">
        <v>1448</v>
      </c>
      <c r="H381" s="97" t="str">
        <f>IFERROR(VLOOKUP(I381,'Raw material list'!$A$3:$C$695,3,0),"")</f>
        <v>PRD1-4265</v>
      </c>
      <c r="I381" s="97" t="s">
        <v>10</v>
      </c>
      <c r="J381" s="101" t="s">
        <v>111</v>
      </c>
      <c r="K381" s="101" t="str">
        <f>IFERROR(VLOOKUP(I381,'Raw material list'!$A$3:$E$695,5,0),"")</f>
        <v xml:space="preserve">Gram </v>
      </c>
      <c r="L381" s="95">
        <v>500</v>
      </c>
      <c r="M381" s="98">
        <f t="shared" si="71"/>
        <v>588.23529411764707</v>
      </c>
      <c r="N381" s="98">
        <v>85</v>
      </c>
      <c r="O381" s="95">
        <v>10</v>
      </c>
      <c r="P381" s="98">
        <f t="shared" si="75"/>
        <v>50</v>
      </c>
      <c r="Q381" s="99">
        <f>IFERROR(VLOOKUP(I381,'Raw material list'!$A$3:$F$695,6,0),"")</f>
        <v>3.529411764705882E-3</v>
      </c>
      <c r="R381" s="100">
        <f t="shared" si="76"/>
        <v>0.1764705882352941</v>
      </c>
      <c r="S381" s="94">
        <f t="shared" si="77"/>
        <v>1.7647058823529412E-2</v>
      </c>
      <c r="T381" s="94">
        <f t="shared" si="78"/>
        <v>0.19411764705882351</v>
      </c>
      <c r="U381" s="93">
        <f t="shared" si="72"/>
        <v>1.9411764705882351E-2</v>
      </c>
      <c r="V381" s="93">
        <f t="shared" si="73"/>
        <v>1.941176470588235E-3</v>
      </c>
      <c r="W381" s="93">
        <f t="shared" si="74"/>
        <v>1.941176470588235E-3</v>
      </c>
      <c r="X381" s="93">
        <f t="shared" si="70"/>
        <v>0.2174117647058823</v>
      </c>
      <c r="Y381" s="122"/>
    </row>
    <row r="382" spans="1:25" s="90" customFormat="1">
      <c r="A382" s="95" t="s">
        <v>1492</v>
      </c>
      <c r="B382" s="95" t="s">
        <v>1631</v>
      </c>
      <c r="C382" s="95" t="s">
        <v>1427</v>
      </c>
      <c r="D382" s="101" t="s">
        <v>1502</v>
      </c>
      <c r="E382" s="101" t="s">
        <v>1485</v>
      </c>
      <c r="F382" s="101" t="s">
        <v>1670</v>
      </c>
      <c r="G382" s="101" t="s">
        <v>1448</v>
      </c>
      <c r="H382" s="97" t="str">
        <f>IFERROR(VLOOKUP(I382,'Raw material list'!$A$3:$C$695,3,0),"")</f>
        <v>DRY2-1008</v>
      </c>
      <c r="I382" s="97" t="s">
        <v>21</v>
      </c>
      <c r="J382" s="101" t="s">
        <v>111</v>
      </c>
      <c r="K382" s="101" t="str">
        <f>IFERROR(VLOOKUP(I382,'Raw material list'!$A$3:$E$695,5,0),"")</f>
        <v xml:space="preserve">Gram </v>
      </c>
      <c r="L382" s="95">
        <v>50</v>
      </c>
      <c r="M382" s="98">
        <f t="shared" si="71"/>
        <v>50</v>
      </c>
      <c r="N382" s="98">
        <v>100</v>
      </c>
      <c r="O382" s="95">
        <v>10</v>
      </c>
      <c r="P382" s="98">
        <f t="shared" si="75"/>
        <v>5</v>
      </c>
      <c r="Q382" s="99">
        <f>IFERROR(VLOOKUP(I382,'Raw material list'!$A$3:$F$695,6,0),"")</f>
        <v>3.7999999999999999E-2</v>
      </c>
      <c r="R382" s="100">
        <f t="shared" si="76"/>
        <v>0.19</v>
      </c>
      <c r="S382" s="94">
        <f t="shared" si="77"/>
        <v>1.9000000000000003E-2</v>
      </c>
      <c r="T382" s="94">
        <f t="shared" si="78"/>
        <v>0.20900000000000002</v>
      </c>
      <c r="U382" s="93">
        <f t="shared" si="72"/>
        <v>2.0900000000000002E-2</v>
      </c>
      <c r="V382" s="93">
        <f t="shared" si="73"/>
        <v>2.0900000000000003E-3</v>
      </c>
      <c r="W382" s="93">
        <f t="shared" si="74"/>
        <v>2.0900000000000003E-3</v>
      </c>
      <c r="X382" s="93">
        <f t="shared" si="70"/>
        <v>0.23408000000000004</v>
      </c>
      <c r="Y382" s="122"/>
    </row>
    <row r="383" spans="1:25" s="90" customFormat="1">
      <c r="A383" s="95" t="s">
        <v>1492</v>
      </c>
      <c r="B383" s="95" t="s">
        <v>1631</v>
      </c>
      <c r="C383" s="95" t="s">
        <v>1427</v>
      </c>
      <c r="D383" s="101" t="s">
        <v>1502</v>
      </c>
      <c r="E383" s="101" t="s">
        <v>1485</v>
      </c>
      <c r="F383" s="101" t="s">
        <v>1670</v>
      </c>
      <c r="G383" s="101" t="s">
        <v>1448</v>
      </c>
      <c r="H383" s="97" t="str">
        <f>IFERROR(VLOOKUP(I383,'Raw material list'!$A$3:$C$695,3,0),"")</f>
        <v>DRS1-3880</v>
      </c>
      <c r="I383" s="97" t="s">
        <v>1398</v>
      </c>
      <c r="J383" s="101" t="s">
        <v>111</v>
      </c>
      <c r="K383" s="101" t="str">
        <f>IFERROR(VLOOKUP(I383,'Raw material list'!$A$3:$E$695,5,0),"")</f>
        <v xml:space="preserve">Gram </v>
      </c>
      <c r="L383" s="95">
        <v>2</v>
      </c>
      <c r="M383" s="98">
        <f t="shared" si="71"/>
        <v>2</v>
      </c>
      <c r="N383" s="98">
        <v>100</v>
      </c>
      <c r="O383" s="95">
        <v>10</v>
      </c>
      <c r="P383" s="98">
        <f t="shared" si="75"/>
        <v>0.2</v>
      </c>
      <c r="Q383" s="99">
        <f>IFERROR(VLOOKUP(I383,'Raw material list'!$A$3:$F$695,6,0),"")</f>
        <v>5.0000000000000001E-4</v>
      </c>
      <c r="R383" s="100">
        <f t="shared" si="76"/>
        <v>1E-4</v>
      </c>
      <c r="S383" s="94">
        <f t="shared" si="77"/>
        <v>1.0000000000000001E-5</v>
      </c>
      <c r="T383" s="94">
        <f t="shared" si="78"/>
        <v>1.1E-4</v>
      </c>
      <c r="U383" s="93">
        <f t="shared" si="72"/>
        <v>1.1000000000000001E-5</v>
      </c>
      <c r="V383" s="93">
        <f t="shared" si="73"/>
        <v>1.1000000000000001E-6</v>
      </c>
      <c r="W383" s="93">
        <f t="shared" si="74"/>
        <v>1.1000000000000001E-6</v>
      </c>
      <c r="X383" s="93">
        <f t="shared" si="70"/>
        <v>1.2320000000000001E-4</v>
      </c>
      <c r="Y383" s="122"/>
    </row>
    <row r="384" spans="1:25" s="90" customFormat="1">
      <c r="A384" s="95" t="s">
        <v>1492</v>
      </c>
      <c r="B384" s="95" t="s">
        <v>1631</v>
      </c>
      <c r="C384" s="95" t="s">
        <v>1427</v>
      </c>
      <c r="D384" s="101" t="s">
        <v>1502</v>
      </c>
      <c r="E384" s="101" t="s">
        <v>1485</v>
      </c>
      <c r="F384" s="101" t="s">
        <v>1670</v>
      </c>
      <c r="G384" s="101" t="s">
        <v>1448</v>
      </c>
      <c r="H384" s="97" t="str">
        <f>IFERROR(VLOOKUP(I384,'Raw material list'!$A$3:$C$695,3,0),"")</f>
        <v>WAT-001</v>
      </c>
      <c r="I384" s="97" t="s">
        <v>1406</v>
      </c>
      <c r="J384" s="101" t="s">
        <v>161</v>
      </c>
      <c r="K384" s="101" t="str">
        <f>IFERROR(VLOOKUP(I384,'Raw material list'!$A$3:$E$695,5,0),"")</f>
        <v>Ml</v>
      </c>
      <c r="L384" s="95">
        <v>100</v>
      </c>
      <c r="M384" s="98">
        <f t="shared" si="71"/>
        <v>100</v>
      </c>
      <c r="N384" s="98">
        <v>100</v>
      </c>
      <c r="O384" s="95">
        <v>10</v>
      </c>
      <c r="P384" s="98">
        <f t="shared" si="75"/>
        <v>10</v>
      </c>
      <c r="Q384" s="99">
        <f>IFERROR(VLOOKUP(I384,'Raw material list'!$A$3:$F$695,6,0),"")</f>
        <v>8.0000000000000007E-5</v>
      </c>
      <c r="R384" s="100">
        <f t="shared" si="76"/>
        <v>8.0000000000000004E-4</v>
      </c>
      <c r="S384" s="94">
        <f t="shared" si="77"/>
        <v>8.0000000000000007E-5</v>
      </c>
      <c r="T384" s="94">
        <f t="shared" si="78"/>
        <v>8.8000000000000003E-4</v>
      </c>
      <c r="U384" s="93">
        <f t="shared" si="72"/>
        <v>8.8000000000000011E-5</v>
      </c>
      <c r="V384" s="93">
        <f t="shared" si="73"/>
        <v>8.8000000000000004E-6</v>
      </c>
      <c r="W384" s="93">
        <f t="shared" si="74"/>
        <v>8.8000000000000004E-6</v>
      </c>
      <c r="X384" s="93">
        <f t="shared" si="70"/>
        <v>9.856000000000001E-4</v>
      </c>
      <c r="Y384" s="122"/>
    </row>
    <row r="385" spans="1:25" s="90" customFormat="1">
      <c r="A385" s="95" t="s">
        <v>1492</v>
      </c>
      <c r="B385" s="95" t="s">
        <v>1631</v>
      </c>
      <c r="C385" s="95" t="s">
        <v>1427</v>
      </c>
      <c r="D385" s="101" t="s">
        <v>1502</v>
      </c>
      <c r="E385" s="101" t="s">
        <v>1485</v>
      </c>
      <c r="F385" s="101" t="s">
        <v>1670</v>
      </c>
      <c r="G385" s="101" t="s">
        <v>1448</v>
      </c>
      <c r="H385" s="97" t="str">
        <f>IFERROR(VLOOKUP(I385,'Raw material list'!$A$3:$C$695,3,0),"")</f>
        <v>DRS6-537</v>
      </c>
      <c r="I385" s="97" t="s">
        <v>25</v>
      </c>
      <c r="J385" s="101" t="s">
        <v>111</v>
      </c>
      <c r="K385" s="101" t="str">
        <f>IFERROR(VLOOKUP(I385,'Raw material list'!$A$3:$E$695,5,0),"")</f>
        <v xml:space="preserve">Gram </v>
      </c>
      <c r="L385" s="95">
        <v>2</v>
      </c>
      <c r="M385" s="98">
        <f t="shared" si="71"/>
        <v>2</v>
      </c>
      <c r="N385" s="98">
        <v>100</v>
      </c>
      <c r="O385" s="95">
        <v>10</v>
      </c>
      <c r="P385" s="98">
        <f t="shared" si="75"/>
        <v>0.2</v>
      </c>
      <c r="Q385" s="99">
        <f>IFERROR(VLOOKUP(I385,'Raw material list'!$A$3:$F$695,6,0),"")</f>
        <v>3.5000000000000003E-2</v>
      </c>
      <c r="R385" s="100">
        <f t="shared" si="76"/>
        <v>7.000000000000001E-3</v>
      </c>
      <c r="S385" s="94">
        <f t="shared" si="77"/>
        <v>7.000000000000001E-4</v>
      </c>
      <c r="T385" s="94">
        <f t="shared" si="78"/>
        <v>7.7000000000000011E-3</v>
      </c>
      <c r="U385" s="93">
        <f t="shared" si="72"/>
        <v>7.7000000000000018E-4</v>
      </c>
      <c r="V385" s="93">
        <f t="shared" si="73"/>
        <v>7.7000000000000015E-5</v>
      </c>
      <c r="W385" s="93">
        <f t="shared" si="74"/>
        <v>7.7000000000000015E-5</v>
      </c>
      <c r="X385" s="93">
        <f t="shared" si="70"/>
        <v>8.6240000000000032E-3</v>
      </c>
      <c r="Y385" s="122"/>
    </row>
    <row r="386" spans="1:25" s="90" customFormat="1">
      <c r="A386" s="95" t="s">
        <v>1492</v>
      </c>
      <c r="B386" s="95" t="s">
        <v>1631</v>
      </c>
      <c r="C386" s="95" t="s">
        <v>1427</v>
      </c>
      <c r="D386" s="101" t="s">
        <v>1502</v>
      </c>
      <c r="E386" s="101" t="s">
        <v>1485</v>
      </c>
      <c r="F386" s="101" t="s">
        <v>1670</v>
      </c>
      <c r="G386" s="101" t="s">
        <v>1449</v>
      </c>
      <c r="H386" s="97" t="str">
        <f>IFERROR(VLOOKUP(I386,'Raw material list'!$A$3:$C$695,3,0),"")</f>
        <v>PRD1-3182</v>
      </c>
      <c r="I386" s="97" t="s">
        <v>1028</v>
      </c>
      <c r="J386" s="101" t="s">
        <v>111</v>
      </c>
      <c r="K386" s="101" t="str">
        <f>IFERROR(VLOOKUP(I386,'Raw material list'!$A$3:$E$695,5,0),"")</f>
        <v xml:space="preserve">Gram </v>
      </c>
      <c r="L386" s="95">
        <v>600</v>
      </c>
      <c r="M386" s="98">
        <f t="shared" si="71"/>
        <v>631.57894736842104</v>
      </c>
      <c r="N386" s="98">
        <v>95</v>
      </c>
      <c r="O386" s="95">
        <v>10</v>
      </c>
      <c r="P386" s="98">
        <f t="shared" si="75"/>
        <v>60</v>
      </c>
      <c r="Q386" s="99">
        <f>IFERROR(VLOOKUP(I386,'Raw material list'!$A$3:$F$695,6,0),"")</f>
        <v>3.3684210526315803E-2</v>
      </c>
      <c r="R386" s="100">
        <f t="shared" si="76"/>
        <v>2.0210526315789483</v>
      </c>
      <c r="S386" s="94">
        <f t="shared" si="77"/>
        <v>0.20210526315789484</v>
      </c>
      <c r="T386" s="94">
        <f t="shared" si="78"/>
        <v>2.2231578947368433</v>
      </c>
      <c r="U386" s="93">
        <f t="shared" si="72"/>
        <v>0.22231578947368436</v>
      </c>
      <c r="V386" s="93">
        <f t="shared" si="73"/>
        <v>2.2231578947368432E-2</v>
      </c>
      <c r="W386" s="93">
        <f t="shared" si="74"/>
        <v>2.2231578947368432E-2</v>
      </c>
      <c r="X386" s="93">
        <f t="shared" si="70"/>
        <v>2.4899368421052643</v>
      </c>
      <c r="Y386" s="122"/>
    </row>
    <row r="387" spans="1:25" s="90" customFormat="1">
      <c r="A387" s="95" t="s">
        <v>1492</v>
      </c>
      <c r="B387" s="95" t="s">
        <v>1631</v>
      </c>
      <c r="C387" s="95" t="s">
        <v>1427</v>
      </c>
      <c r="D387" s="101" t="s">
        <v>1502</v>
      </c>
      <c r="E387" s="101" t="s">
        <v>1485</v>
      </c>
      <c r="F387" s="101" t="s">
        <v>1670</v>
      </c>
      <c r="G387" s="101" t="s">
        <v>1449</v>
      </c>
      <c r="H387" s="97" t="str">
        <f>IFERROR(VLOOKUP(I387,'Raw material list'!$A$3:$C$695,3,0),"")</f>
        <v>DRS1-114</v>
      </c>
      <c r="I387" s="97" t="s">
        <v>279</v>
      </c>
      <c r="J387" s="101" t="s">
        <v>111</v>
      </c>
      <c r="K387" s="101" t="str">
        <f>IFERROR(VLOOKUP(I387,'Raw material list'!$A$3:$E$695,5,0),"")</f>
        <v xml:space="preserve">Gram </v>
      </c>
      <c r="L387" s="95">
        <v>4.8</v>
      </c>
      <c r="M387" s="98">
        <f t="shared" si="71"/>
        <v>4.8</v>
      </c>
      <c r="N387" s="98">
        <v>100</v>
      </c>
      <c r="O387" s="95">
        <v>10</v>
      </c>
      <c r="P387" s="98">
        <f t="shared" si="75"/>
        <v>0.48</v>
      </c>
      <c r="Q387" s="99">
        <f>IFERROR(VLOOKUP(I387,'Raw material list'!$A$3:$F$695,6,0),"")</f>
        <v>4.7489823609226586E-3</v>
      </c>
      <c r="R387" s="100">
        <f t="shared" si="76"/>
        <v>2.2795115332428762E-3</v>
      </c>
      <c r="S387" s="94">
        <f t="shared" si="77"/>
        <v>2.2795115332428762E-4</v>
      </c>
      <c r="T387" s="94">
        <f t="shared" si="78"/>
        <v>2.5074626865671636E-3</v>
      </c>
      <c r="U387" s="93">
        <f t="shared" si="72"/>
        <v>2.5074626865671638E-4</v>
      </c>
      <c r="V387" s="93">
        <f t="shared" si="73"/>
        <v>2.5074626865671636E-5</v>
      </c>
      <c r="W387" s="93">
        <f t="shared" si="74"/>
        <v>2.5074626865671636E-5</v>
      </c>
      <c r="X387" s="93">
        <f t="shared" si="70"/>
        <v>2.8083582089552233E-3</v>
      </c>
      <c r="Y387" s="122"/>
    </row>
    <row r="388" spans="1:25" s="90" customFormat="1">
      <c r="A388" s="95" t="s">
        <v>1492</v>
      </c>
      <c r="B388" s="95" t="s">
        <v>1631</v>
      </c>
      <c r="C388" s="95" t="s">
        <v>1427</v>
      </c>
      <c r="D388" s="101" t="s">
        <v>1502</v>
      </c>
      <c r="E388" s="101" t="s">
        <v>1485</v>
      </c>
      <c r="F388" s="101" t="s">
        <v>1670</v>
      </c>
      <c r="G388" s="101" t="s">
        <v>1449</v>
      </c>
      <c r="H388" s="97" t="str">
        <f>IFERROR(VLOOKUP(I388,'Raw material list'!$A$3:$C$695,3,0),"")</f>
        <v>WAT-001</v>
      </c>
      <c r="I388" s="97" t="s">
        <v>1406</v>
      </c>
      <c r="J388" s="101" t="s">
        <v>161</v>
      </c>
      <c r="K388" s="101" t="str">
        <f>IFERROR(VLOOKUP(I388,'Raw material list'!$A$3:$E$695,5,0),"")</f>
        <v>Ml</v>
      </c>
      <c r="L388" s="95">
        <v>1200</v>
      </c>
      <c r="M388" s="98">
        <f t="shared" si="71"/>
        <v>1200</v>
      </c>
      <c r="N388" s="98">
        <v>100</v>
      </c>
      <c r="O388" s="95">
        <v>10</v>
      </c>
      <c r="P388" s="98">
        <f t="shared" si="75"/>
        <v>120</v>
      </c>
      <c r="Q388" s="99">
        <f>IFERROR(VLOOKUP(I388,'Raw material list'!$A$3:$F$695,6,0),"")</f>
        <v>8.0000000000000007E-5</v>
      </c>
      <c r="R388" s="100">
        <f t="shared" si="76"/>
        <v>9.6000000000000009E-3</v>
      </c>
      <c r="S388" s="94">
        <f t="shared" si="77"/>
        <v>9.6000000000000013E-4</v>
      </c>
      <c r="T388" s="94">
        <f t="shared" si="78"/>
        <v>1.0560000000000002E-2</v>
      </c>
      <c r="U388" s="93">
        <f t="shared" si="72"/>
        <v>1.0560000000000003E-3</v>
      </c>
      <c r="V388" s="93">
        <f t="shared" si="73"/>
        <v>1.0560000000000002E-4</v>
      </c>
      <c r="W388" s="93">
        <f t="shared" si="74"/>
        <v>1.0560000000000002E-4</v>
      </c>
      <c r="X388" s="93">
        <f t="shared" si="70"/>
        <v>1.1827200000000003E-2</v>
      </c>
      <c r="Y388" s="122"/>
    </row>
    <row r="389" spans="1:25" s="90" customFormat="1">
      <c r="A389" s="95" t="s">
        <v>1492</v>
      </c>
      <c r="B389" s="95" t="s">
        <v>1631</v>
      </c>
      <c r="C389" s="95" t="s">
        <v>1427</v>
      </c>
      <c r="D389" s="101" t="s">
        <v>1502</v>
      </c>
      <c r="E389" s="101" t="s">
        <v>1485</v>
      </c>
      <c r="F389" s="101" t="s">
        <v>1670</v>
      </c>
      <c r="G389" s="101" t="s">
        <v>1449</v>
      </c>
      <c r="H389" s="97" t="str">
        <f>IFERROR(VLOOKUP(I389,'Raw material list'!$A$3:$C$695,3,0),"")</f>
        <v>DRS6-537</v>
      </c>
      <c r="I389" s="97" t="s">
        <v>25</v>
      </c>
      <c r="J389" s="101" t="s">
        <v>111</v>
      </c>
      <c r="K389" s="101" t="str">
        <f>IFERROR(VLOOKUP(I389,'Raw material list'!$A$3:$E$695,5,0),"")</f>
        <v xml:space="preserve">Gram </v>
      </c>
      <c r="L389" s="95">
        <v>2</v>
      </c>
      <c r="M389" s="98">
        <f t="shared" si="71"/>
        <v>2</v>
      </c>
      <c r="N389" s="98">
        <v>100</v>
      </c>
      <c r="O389" s="95">
        <v>10</v>
      </c>
      <c r="P389" s="98">
        <f t="shared" si="75"/>
        <v>0.2</v>
      </c>
      <c r="Q389" s="99">
        <f>IFERROR(VLOOKUP(I389,'Raw material list'!$A$3:$F$695,6,0),"")</f>
        <v>3.5000000000000003E-2</v>
      </c>
      <c r="R389" s="100">
        <f t="shared" si="76"/>
        <v>7.000000000000001E-3</v>
      </c>
      <c r="S389" s="94">
        <f t="shared" si="77"/>
        <v>7.000000000000001E-4</v>
      </c>
      <c r="T389" s="94">
        <f t="shared" si="78"/>
        <v>7.7000000000000011E-3</v>
      </c>
      <c r="U389" s="93">
        <f t="shared" si="72"/>
        <v>7.7000000000000018E-4</v>
      </c>
      <c r="V389" s="93">
        <f t="shared" si="73"/>
        <v>7.7000000000000015E-5</v>
      </c>
      <c r="W389" s="93">
        <f t="shared" si="74"/>
        <v>7.7000000000000015E-5</v>
      </c>
      <c r="X389" s="93">
        <f t="shared" ref="X389:X452" si="79">T389+U389+V389+W389</f>
        <v>8.6240000000000032E-3</v>
      </c>
      <c r="Y389" s="124"/>
    </row>
    <row r="390" spans="1:25" s="90" customFormat="1">
      <c r="A390" s="95" t="s">
        <v>1492</v>
      </c>
      <c r="B390" s="95" t="s">
        <v>1631</v>
      </c>
      <c r="C390" s="95" t="s">
        <v>1427</v>
      </c>
      <c r="D390" s="101" t="s">
        <v>1502</v>
      </c>
      <c r="E390" s="101" t="s">
        <v>1485</v>
      </c>
      <c r="F390" s="101" t="s">
        <v>1670</v>
      </c>
      <c r="G390" s="101" t="s">
        <v>1449</v>
      </c>
      <c r="H390" s="97" t="str">
        <f>IFERROR(VLOOKUP(I390,'Raw material list'!$A$3:$C$695,3,0),"")</f>
        <v>DRS1-3880</v>
      </c>
      <c r="I390" s="97" t="s">
        <v>1450</v>
      </c>
      <c r="J390" s="101" t="s">
        <v>111</v>
      </c>
      <c r="K390" s="101" t="str">
        <f>IFERROR(VLOOKUP(I390,'Raw material list'!$A$3:$E$695,5,0),"")</f>
        <v xml:space="preserve">Gram </v>
      </c>
      <c r="L390" s="95">
        <v>2</v>
      </c>
      <c r="M390" s="98">
        <f t="shared" ref="M390:M453" si="80">L390/N390*100</f>
        <v>2</v>
      </c>
      <c r="N390" s="98">
        <v>100</v>
      </c>
      <c r="O390" s="95">
        <v>10</v>
      </c>
      <c r="P390" s="98">
        <f t="shared" si="75"/>
        <v>0.2</v>
      </c>
      <c r="Q390" s="99">
        <f>IFERROR(VLOOKUP(I390,'Raw material list'!$A$3:$F$695,6,0),"")</f>
        <v>5.0000000000000001E-4</v>
      </c>
      <c r="R390" s="100">
        <f t="shared" si="76"/>
        <v>1E-4</v>
      </c>
      <c r="S390" s="94">
        <f t="shared" si="77"/>
        <v>1.0000000000000001E-5</v>
      </c>
      <c r="T390" s="94">
        <f t="shared" si="78"/>
        <v>1.1E-4</v>
      </c>
      <c r="U390" s="93">
        <f t="shared" ref="U390:U453" si="81">T390*10%</f>
        <v>1.1000000000000001E-5</v>
      </c>
      <c r="V390" s="93">
        <f t="shared" ref="V390:V453" si="82">T390*1%</f>
        <v>1.1000000000000001E-6</v>
      </c>
      <c r="W390" s="93">
        <f t="shared" ref="W390:W453" si="83">T390*1%</f>
        <v>1.1000000000000001E-6</v>
      </c>
      <c r="X390" s="93">
        <f t="shared" si="79"/>
        <v>1.2320000000000001E-4</v>
      </c>
      <c r="Y390" s="124"/>
    </row>
    <row r="391" spans="1:25" s="90" customFormat="1">
      <c r="A391" s="95" t="s">
        <v>1492</v>
      </c>
      <c r="B391" s="95" t="s">
        <v>1631</v>
      </c>
      <c r="C391" s="95" t="s">
        <v>1427</v>
      </c>
      <c r="D391" s="101" t="s">
        <v>1502</v>
      </c>
      <c r="E391" s="101" t="s">
        <v>1485</v>
      </c>
      <c r="F391" s="101" t="s">
        <v>1670</v>
      </c>
      <c r="G391" s="101" t="s">
        <v>1597</v>
      </c>
      <c r="H391" s="97" t="str">
        <f>IFERROR(VLOOKUP(I391,'Raw material list'!$A$3:$C$695,3,0),"")</f>
        <v>DRS1-1652</v>
      </c>
      <c r="I391" s="97" t="s">
        <v>1425</v>
      </c>
      <c r="J391" s="101" t="s">
        <v>111</v>
      </c>
      <c r="K391" s="101" t="str">
        <f>IFERROR(VLOOKUP(I391,'Raw material list'!$A$3:$E$695,5,0),"")</f>
        <v xml:space="preserve">Gram </v>
      </c>
      <c r="L391" s="95">
        <v>102.88</v>
      </c>
      <c r="M391" s="98">
        <f t="shared" si="80"/>
        <v>102.88</v>
      </c>
      <c r="N391" s="98">
        <v>100</v>
      </c>
      <c r="O391" s="95">
        <v>10</v>
      </c>
      <c r="P391" s="98">
        <f t="shared" si="75"/>
        <v>10.288</v>
      </c>
      <c r="Q391" s="99">
        <f>IFERROR(VLOOKUP(I391,'Raw material list'!$A$3:$F$695,6,0),"")</f>
        <v>1.2800000000000001E-2</v>
      </c>
      <c r="R391" s="100">
        <f t="shared" si="76"/>
        <v>0.13168640000000001</v>
      </c>
      <c r="S391" s="94">
        <f t="shared" si="77"/>
        <v>1.3168640000000002E-2</v>
      </c>
      <c r="T391" s="94">
        <f t="shared" si="78"/>
        <v>0.14485504000000002</v>
      </c>
      <c r="U391" s="93">
        <f t="shared" si="81"/>
        <v>1.4485504000000003E-2</v>
      </c>
      <c r="V391" s="93">
        <f t="shared" si="82"/>
        <v>1.4485504000000002E-3</v>
      </c>
      <c r="W391" s="93">
        <f t="shared" si="83"/>
        <v>1.4485504000000002E-3</v>
      </c>
      <c r="X391" s="93">
        <f t="shared" si="79"/>
        <v>0.16223764480000002</v>
      </c>
      <c r="Y391" s="122"/>
    </row>
    <row r="392" spans="1:25" s="90" customFormat="1">
      <c r="A392" s="95" t="s">
        <v>1492</v>
      </c>
      <c r="B392" s="95" t="s">
        <v>1631</v>
      </c>
      <c r="C392" s="95" t="s">
        <v>1427</v>
      </c>
      <c r="D392" s="101" t="s">
        <v>1502</v>
      </c>
      <c r="E392" s="101" t="s">
        <v>1485</v>
      </c>
      <c r="F392" s="101" t="s">
        <v>1670</v>
      </c>
      <c r="G392" s="101" t="s">
        <v>1597</v>
      </c>
      <c r="H392" s="97" t="str">
        <f>IFERROR(VLOOKUP(I392,'Raw material list'!$A$3:$C$695,3,0),"")</f>
        <v>DRS1-5208</v>
      </c>
      <c r="I392" s="97" t="s">
        <v>788</v>
      </c>
      <c r="J392" s="101" t="s">
        <v>111</v>
      </c>
      <c r="K392" s="101" t="str">
        <f>IFERROR(VLOOKUP(I392,'Raw material list'!$A$3:$E$695,5,0),"")</f>
        <v xml:space="preserve">Gram </v>
      </c>
      <c r="L392" s="95">
        <v>30.86</v>
      </c>
      <c r="M392" s="98">
        <f t="shared" si="80"/>
        <v>30.86</v>
      </c>
      <c r="N392" s="98">
        <v>100</v>
      </c>
      <c r="O392" s="95">
        <v>10</v>
      </c>
      <c r="P392" s="98">
        <f t="shared" si="75"/>
        <v>3.0859999999999999</v>
      </c>
      <c r="Q392" s="99">
        <f>IFERROR(VLOOKUP(I392,'Raw material list'!$A$3:$F$695,6,0),"")</f>
        <v>0.14000000000000001</v>
      </c>
      <c r="R392" s="100">
        <f t="shared" si="76"/>
        <v>0.43204000000000004</v>
      </c>
      <c r="S392" s="94">
        <f t="shared" si="77"/>
        <v>4.3204000000000006E-2</v>
      </c>
      <c r="T392" s="94">
        <f t="shared" si="78"/>
        <v>0.47524400000000006</v>
      </c>
      <c r="U392" s="93">
        <f t="shared" si="81"/>
        <v>4.7524400000000008E-2</v>
      </c>
      <c r="V392" s="93">
        <f t="shared" si="82"/>
        <v>4.752440000000001E-3</v>
      </c>
      <c r="W392" s="93">
        <f t="shared" si="83"/>
        <v>4.752440000000001E-3</v>
      </c>
      <c r="X392" s="93">
        <f t="shared" si="79"/>
        <v>0.53227327999999996</v>
      </c>
      <c r="Y392" s="122"/>
    </row>
    <row r="393" spans="1:25" s="90" customFormat="1">
      <c r="A393" s="95" t="s">
        <v>1492</v>
      </c>
      <c r="B393" s="95" t="s">
        <v>1631</v>
      </c>
      <c r="C393" s="95" t="s">
        <v>1427</v>
      </c>
      <c r="D393" s="101" t="s">
        <v>1502</v>
      </c>
      <c r="E393" s="101" t="s">
        <v>1485</v>
      </c>
      <c r="F393" s="101" t="s">
        <v>1670</v>
      </c>
      <c r="G393" s="101" t="s">
        <v>1597</v>
      </c>
      <c r="H393" s="97" t="str">
        <f>IFERROR(VLOOKUP(I393,'Raw material list'!$A$3:$C$695,3,0),"")</f>
        <v>DRS6-4482</v>
      </c>
      <c r="I393" s="97" t="s">
        <v>690</v>
      </c>
      <c r="J393" s="101" t="s">
        <v>111</v>
      </c>
      <c r="K393" s="101" t="str">
        <f>IFERROR(VLOOKUP(I393,'Raw material list'!$A$3:$E$695,5,0),"")</f>
        <v xml:space="preserve">Gram </v>
      </c>
      <c r="L393" s="95">
        <v>0.41</v>
      </c>
      <c r="M393" s="98">
        <f t="shared" si="80"/>
        <v>0.40999999999999992</v>
      </c>
      <c r="N393" s="98">
        <v>100</v>
      </c>
      <c r="O393" s="95">
        <v>10</v>
      </c>
      <c r="P393" s="98">
        <f t="shared" si="75"/>
        <v>4.0999999999999995E-2</v>
      </c>
      <c r="Q393" s="99">
        <f>IFERROR(VLOOKUP(I393,'Raw material list'!$A$3:$F$695,6,0),"")</f>
        <v>1.04E-2</v>
      </c>
      <c r="R393" s="100">
        <f t="shared" si="76"/>
        <v>4.263999999999999E-4</v>
      </c>
      <c r="S393" s="94">
        <f t="shared" si="77"/>
        <v>4.2639999999999992E-5</v>
      </c>
      <c r="T393" s="94">
        <f t="shared" si="78"/>
        <v>4.6903999999999989E-4</v>
      </c>
      <c r="U393" s="93">
        <f t="shared" si="81"/>
        <v>4.690399999999999E-5</v>
      </c>
      <c r="V393" s="93">
        <f t="shared" si="82"/>
        <v>4.6903999999999992E-6</v>
      </c>
      <c r="W393" s="93">
        <f t="shared" si="83"/>
        <v>4.6903999999999992E-6</v>
      </c>
      <c r="X393" s="93">
        <f t="shared" si="79"/>
        <v>5.2532479999999992E-4</v>
      </c>
      <c r="Y393" s="122"/>
    </row>
    <row r="394" spans="1:25" s="90" customFormat="1">
      <c r="A394" s="95" t="s">
        <v>1492</v>
      </c>
      <c r="B394" s="95" t="s">
        <v>1631</v>
      </c>
      <c r="C394" s="95" t="s">
        <v>1427</v>
      </c>
      <c r="D394" s="101" t="s">
        <v>1502</v>
      </c>
      <c r="E394" s="101" t="s">
        <v>1485</v>
      </c>
      <c r="F394" s="101" t="s">
        <v>1670</v>
      </c>
      <c r="G394" s="101" t="s">
        <v>1597</v>
      </c>
      <c r="H394" s="97" t="str">
        <f>IFERROR(VLOOKUP(I394,'Raw material list'!$A$3:$C$695,3,0),"")</f>
        <v>DRS6-537</v>
      </c>
      <c r="I394" s="97" t="s">
        <v>25</v>
      </c>
      <c r="J394" s="101" t="s">
        <v>111</v>
      </c>
      <c r="K394" s="101" t="str">
        <f>IFERROR(VLOOKUP(I394,'Raw material list'!$A$3:$E$695,5,0),"")</f>
        <v xml:space="preserve">Gram </v>
      </c>
      <c r="L394" s="95">
        <v>0.41</v>
      </c>
      <c r="M394" s="98">
        <f t="shared" si="80"/>
        <v>0.40999999999999992</v>
      </c>
      <c r="N394" s="98">
        <v>100</v>
      </c>
      <c r="O394" s="95">
        <v>10</v>
      </c>
      <c r="P394" s="98">
        <f t="shared" si="75"/>
        <v>4.0999999999999995E-2</v>
      </c>
      <c r="Q394" s="99">
        <f>IFERROR(VLOOKUP(I394,'Raw material list'!$A$3:$F$695,6,0),"")</f>
        <v>3.5000000000000003E-2</v>
      </c>
      <c r="R394" s="100">
        <f t="shared" si="76"/>
        <v>1.4349999999999999E-3</v>
      </c>
      <c r="S394" s="94">
        <f t="shared" si="77"/>
        <v>1.4349999999999999E-4</v>
      </c>
      <c r="T394" s="94">
        <f t="shared" si="78"/>
        <v>1.5784999999999998E-3</v>
      </c>
      <c r="U394" s="93">
        <f t="shared" si="81"/>
        <v>1.5784999999999999E-4</v>
      </c>
      <c r="V394" s="93">
        <f t="shared" si="82"/>
        <v>1.5784999999999999E-5</v>
      </c>
      <c r="W394" s="93">
        <f t="shared" si="83"/>
        <v>1.5784999999999999E-5</v>
      </c>
      <c r="X394" s="93">
        <f t="shared" si="79"/>
        <v>1.7679199999999996E-3</v>
      </c>
      <c r="Y394" s="122"/>
    </row>
    <row r="395" spans="1:25" s="90" customFormat="1">
      <c r="A395" s="95" t="s">
        <v>1492</v>
      </c>
      <c r="B395" s="95" t="s">
        <v>1631</v>
      </c>
      <c r="C395" s="95" t="s">
        <v>1427</v>
      </c>
      <c r="D395" s="101" t="s">
        <v>1502</v>
      </c>
      <c r="E395" s="101" t="s">
        <v>1485</v>
      </c>
      <c r="F395" s="101" t="s">
        <v>1670</v>
      </c>
      <c r="G395" s="101" t="s">
        <v>1597</v>
      </c>
      <c r="H395" s="97" t="str">
        <f>IFERROR(VLOOKUP(I395,'Raw material list'!$A$3:$C$695,3,0),"")</f>
        <v>DRS1-114</v>
      </c>
      <c r="I395" s="97" t="s">
        <v>279</v>
      </c>
      <c r="J395" s="101" t="s">
        <v>111</v>
      </c>
      <c r="K395" s="101" t="str">
        <f>IFERROR(VLOOKUP(I395,'Raw material list'!$A$3:$E$695,5,0),"")</f>
        <v xml:space="preserve">Gram </v>
      </c>
      <c r="L395" s="95">
        <v>1.02</v>
      </c>
      <c r="M395" s="98">
        <f t="shared" si="80"/>
        <v>1.02</v>
      </c>
      <c r="N395" s="98">
        <v>100</v>
      </c>
      <c r="O395" s="95">
        <v>10</v>
      </c>
      <c r="P395" s="98">
        <f t="shared" si="75"/>
        <v>0.10200000000000001</v>
      </c>
      <c r="Q395" s="99">
        <f>IFERROR(VLOOKUP(I395,'Raw material list'!$A$3:$F$695,6,0),"")</f>
        <v>4.7489823609226586E-3</v>
      </c>
      <c r="R395" s="100">
        <f t="shared" si="76"/>
        <v>4.8439620081411122E-4</v>
      </c>
      <c r="S395" s="94">
        <f t="shared" si="77"/>
        <v>4.8439620081411126E-5</v>
      </c>
      <c r="T395" s="94">
        <f t="shared" si="78"/>
        <v>5.328358208955223E-4</v>
      </c>
      <c r="U395" s="93">
        <f t="shared" si="81"/>
        <v>5.328358208955223E-5</v>
      </c>
      <c r="V395" s="93">
        <f t="shared" si="82"/>
        <v>5.3283582089552233E-6</v>
      </c>
      <c r="W395" s="93">
        <f t="shared" si="83"/>
        <v>5.3283582089552233E-6</v>
      </c>
      <c r="X395" s="93">
        <f t="shared" si="79"/>
        <v>5.9677611940298493E-4</v>
      </c>
      <c r="Y395" s="122"/>
    </row>
    <row r="396" spans="1:25" s="90" customFormat="1">
      <c r="A396" s="95" t="s">
        <v>1492</v>
      </c>
      <c r="B396" s="95" t="s">
        <v>1631</v>
      </c>
      <c r="C396" s="95" t="s">
        <v>1427</v>
      </c>
      <c r="D396" s="101" t="s">
        <v>1502</v>
      </c>
      <c r="E396" s="101" t="s">
        <v>1485</v>
      </c>
      <c r="F396" s="101" t="s">
        <v>1670</v>
      </c>
      <c r="G396" s="101" t="s">
        <v>1597</v>
      </c>
      <c r="H396" s="97" t="str">
        <f>IFERROR(VLOOKUP(I396,'Raw material list'!$A$3:$C$695,3,0),"")</f>
        <v>WAT-001</v>
      </c>
      <c r="I396" s="97" t="s">
        <v>1406</v>
      </c>
      <c r="J396" s="101" t="s">
        <v>161</v>
      </c>
      <c r="K396" s="101" t="str">
        <f>IFERROR(VLOOKUP(I396,'Raw material list'!$A$3:$E$695,5,0),"")</f>
        <v>Ml</v>
      </c>
      <c r="L396" s="95">
        <v>10.28</v>
      </c>
      <c r="M396" s="98">
        <f t="shared" si="80"/>
        <v>10.28</v>
      </c>
      <c r="N396" s="98">
        <v>100</v>
      </c>
      <c r="O396" s="95">
        <v>10</v>
      </c>
      <c r="P396" s="98">
        <f t="shared" si="75"/>
        <v>1.028</v>
      </c>
      <c r="Q396" s="99">
        <f>IFERROR(VLOOKUP(I396,'Raw material list'!$A$3:$F$695,6,0),"")</f>
        <v>8.0000000000000007E-5</v>
      </c>
      <c r="R396" s="100">
        <f t="shared" si="76"/>
        <v>8.2240000000000012E-5</v>
      </c>
      <c r="S396" s="94">
        <f t="shared" si="77"/>
        <v>8.2240000000000012E-6</v>
      </c>
      <c r="T396" s="94">
        <f t="shared" si="78"/>
        <v>9.0464000000000007E-5</v>
      </c>
      <c r="U396" s="93">
        <f t="shared" si="81"/>
        <v>9.0464000000000003E-6</v>
      </c>
      <c r="V396" s="93">
        <f t="shared" si="82"/>
        <v>9.0464000000000003E-7</v>
      </c>
      <c r="W396" s="93">
        <f t="shared" si="83"/>
        <v>9.0464000000000003E-7</v>
      </c>
      <c r="X396" s="93">
        <f t="shared" si="79"/>
        <v>1.0131967999999999E-4</v>
      </c>
      <c r="Y396" s="122"/>
    </row>
    <row r="397" spans="1:25" s="90" customFormat="1">
      <c r="A397" s="95" t="s">
        <v>1492</v>
      </c>
      <c r="B397" s="95" t="s">
        <v>1631</v>
      </c>
      <c r="C397" s="95" t="s">
        <v>1427</v>
      </c>
      <c r="D397" s="101" t="s">
        <v>1502</v>
      </c>
      <c r="E397" s="101" t="s">
        <v>1485</v>
      </c>
      <c r="F397" s="101" t="s">
        <v>1670</v>
      </c>
      <c r="G397" s="101" t="s">
        <v>1597</v>
      </c>
      <c r="H397" s="97" t="str">
        <f>IFERROR(VLOOKUP(I397,'Raw material list'!$A$3:$C$695,3,0),"")</f>
        <v>DRY1-602</v>
      </c>
      <c r="I397" s="97" t="s">
        <v>65</v>
      </c>
      <c r="J397" s="101" t="s">
        <v>111</v>
      </c>
      <c r="K397" s="101" t="str">
        <f>IFERROR(VLOOKUP(I397,'Raw material list'!$A$3:$E$695,5,0),"")</f>
        <v xml:space="preserve">Gram </v>
      </c>
      <c r="L397" s="95">
        <v>4.1100000000000003</v>
      </c>
      <c r="M397" s="98">
        <f t="shared" si="80"/>
        <v>4.1100000000000003</v>
      </c>
      <c r="N397" s="98">
        <v>100</v>
      </c>
      <c r="O397" s="95">
        <v>10</v>
      </c>
      <c r="P397" s="98">
        <f t="shared" si="75"/>
        <v>0.41100000000000003</v>
      </c>
      <c r="Q397" s="99">
        <f>IFERROR(VLOOKUP(I397,'Raw material list'!$A$3:$F$695,6,0),"")</f>
        <v>5.5E-2</v>
      </c>
      <c r="R397" s="100">
        <f t="shared" si="76"/>
        <v>2.2605000000000004E-2</v>
      </c>
      <c r="S397" s="94">
        <f t="shared" si="77"/>
        <v>2.2605000000000004E-3</v>
      </c>
      <c r="T397" s="94">
        <f t="shared" si="78"/>
        <v>2.4865500000000006E-2</v>
      </c>
      <c r="U397" s="93">
        <f t="shared" si="81"/>
        <v>2.4865500000000006E-3</v>
      </c>
      <c r="V397" s="93">
        <f t="shared" si="82"/>
        <v>2.4865500000000008E-4</v>
      </c>
      <c r="W397" s="93">
        <f t="shared" si="83"/>
        <v>2.4865500000000008E-4</v>
      </c>
      <c r="X397" s="93">
        <f t="shared" si="79"/>
        <v>2.7849360000000007E-2</v>
      </c>
      <c r="Y397" s="122"/>
    </row>
    <row r="398" spans="1:25" s="90" customFormat="1">
      <c r="A398" s="95" t="s">
        <v>1493</v>
      </c>
      <c r="B398" s="95" t="s">
        <v>1631</v>
      </c>
      <c r="C398" s="95" t="s">
        <v>1427</v>
      </c>
      <c r="D398" s="101" t="s">
        <v>1503</v>
      </c>
      <c r="E398" s="101" t="s">
        <v>1485</v>
      </c>
      <c r="F398" s="101" t="s">
        <v>1670</v>
      </c>
      <c r="G398" s="101"/>
      <c r="H398" s="97" t="str">
        <f>IFERROR(VLOOKUP(I398,'Raw material list'!$A$3:$C$695,3,0),"")</f>
        <v>DRY1-353</v>
      </c>
      <c r="I398" s="97" t="s">
        <v>1558</v>
      </c>
      <c r="J398" s="101" t="s">
        <v>111</v>
      </c>
      <c r="K398" s="101" t="str">
        <f>IFERROR(VLOOKUP(I398,'Raw material list'!$A$3:$E$695,5,0),"")</f>
        <v xml:space="preserve">Gram </v>
      </c>
      <c r="L398" s="95">
        <v>700</v>
      </c>
      <c r="M398" s="98">
        <f t="shared" si="80"/>
        <v>700</v>
      </c>
      <c r="N398" s="98">
        <v>100</v>
      </c>
      <c r="O398" s="95">
        <v>10</v>
      </c>
      <c r="P398" s="98">
        <f t="shared" si="75"/>
        <v>70</v>
      </c>
      <c r="Q398" s="99">
        <f>IFERROR(VLOOKUP(I398,'Raw material list'!$A$3:$F$695,6,0),"")</f>
        <v>2.4500000000000001E-2</v>
      </c>
      <c r="R398" s="100">
        <f t="shared" si="76"/>
        <v>1.7150000000000001</v>
      </c>
      <c r="S398" s="94">
        <f t="shared" si="77"/>
        <v>0.17150000000000001</v>
      </c>
      <c r="T398" s="94">
        <f t="shared" si="78"/>
        <v>1.8865000000000001</v>
      </c>
      <c r="U398" s="93">
        <f t="shared" si="81"/>
        <v>0.18865000000000001</v>
      </c>
      <c r="V398" s="93">
        <f t="shared" si="82"/>
        <v>1.8865E-2</v>
      </c>
      <c r="W398" s="93">
        <f t="shared" si="83"/>
        <v>1.8865E-2</v>
      </c>
      <c r="X398" s="93">
        <f t="shared" si="79"/>
        <v>2.1128800000000001</v>
      </c>
      <c r="Y398" s="122"/>
    </row>
    <row r="399" spans="1:25" s="90" customFormat="1">
      <c r="A399" s="95" t="s">
        <v>1493</v>
      </c>
      <c r="B399" s="95" t="s">
        <v>1631</v>
      </c>
      <c r="C399" s="95" t="s">
        <v>1427</v>
      </c>
      <c r="D399" s="101" t="s">
        <v>1503</v>
      </c>
      <c r="E399" s="101" t="s">
        <v>1485</v>
      </c>
      <c r="F399" s="101" t="s">
        <v>1669</v>
      </c>
      <c r="G399" s="101"/>
      <c r="H399" s="97" t="str">
        <f>IFERROR(VLOOKUP(I399,'Raw material list'!$A$3:$C$695,3,0),"")</f>
        <v>BKR1-1327</v>
      </c>
      <c r="I399" s="97" t="s">
        <v>118</v>
      </c>
      <c r="J399" s="101" t="s">
        <v>120</v>
      </c>
      <c r="K399" s="101" t="str">
        <f>IFERROR(VLOOKUP(I399,'Raw material list'!$A$3:$E$695,5,0),"")</f>
        <v>Slice</v>
      </c>
      <c r="L399" s="95">
        <v>10</v>
      </c>
      <c r="M399" s="98">
        <f t="shared" si="80"/>
        <v>10</v>
      </c>
      <c r="N399" s="98">
        <v>100</v>
      </c>
      <c r="O399" s="95">
        <v>10</v>
      </c>
      <c r="P399" s="98">
        <f t="shared" si="75"/>
        <v>1</v>
      </c>
      <c r="Q399" s="99">
        <f>IFERROR(VLOOKUP(I399,'Raw material list'!$A$3:$F$695,6,0),"")</f>
        <v>0.22222222222222221</v>
      </c>
      <c r="R399" s="100">
        <f t="shared" si="76"/>
        <v>0.22222222222222221</v>
      </c>
      <c r="S399" s="94">
        <f t="shared" si="77"/>
        <v>2.2222222222222223E-2</v>
      </c>
      <c r="T399" s="94">
        <f t="shared" si="78"/>
        <v>0.24444444444444444</v>
      </c>
      <c r="U399" s="93">
        <f t="shared" si="81"/>
        <v>2.4444444444444446E-2</v>
      </c>
      <c r="V399" s="93">
        <f t="shared" si="82"/>
        <v>2.4444444444444444E-3</v>
      </c>
      <c r="W399" s="93">
        <f t="shared" si="83"/>
        <v>2.4444444444444444E-3</v>
      </c>
      <c r="X399" s="93">
        <f t="shared" si="79"/>
        <v>0.27377777777777784</v>
      </c>
      <c r="Y399" s="122"/>
    </row>
    <row r="400" spans="1:25" s="90" customFormat="1">
      <c r="A400" s="95" t="s">
        <v>1493</v>
      </c>
      <c r="B400" s="95" t="s">
        <v>1631</v>
      </c>
      <c r="C400" s="95" t="s">
        <v>1427</v>
      </c>
      <c r="D400" s="101" t="s">
        <v>1503</v>
      </c>
      <c r="E400" s="101" t="s">
        <v>1485</v>
      </c>
      <c r="F400" s="95" t="s">
        <v>1669</v>
      </c>
      <c r="G400" s="101" t="s">
        <v>1461</v>
      </c>
      <c r="H400" s="97" t="str">
        <f>IFERROR(VLOOKUP(I400,'Raw material list'!$A$3:$C$695,3,0),"")</f>
        <v>PRD1-179</v>
      </c>
      <c r="I400" s="97" t="s">
        <v>971</v>
      </c>
      <c r="J400" s="101" t="s">
        <v>111</v>
      </c>
      <c r="K400" s="101" t="str">
        <f>IFERROR(VLOOKUP(I400,'Raw material list'!$A$3:$E$695,5,0),"")</f>
        <v xml:space="preserve">Gram </v>
      </c>
      <c r="L400" s="95">
        <v>2</v>
      </c>
      <c r="M400" s="98">
        <f t="shared" si="80"/>
        <v>2</v>
      </c>
      <c r="N400" s="98">
        <v>100</v>
      </c>
      <c r="O400" s="95">
        <v>10</v>
      </c>
      <c r="P400" s="98">
        <f t="shared" si="75"/>
        <v>0.2</v>
      </c>
      <c r="Q400" s="99">
        <f>IFERROR(VLOOKUP(I400,'Raw material list'!$A$3:$F$695,6,0),"")</f>
        <v>8.9999999999999993E-3</v>
      </c>
      <c r="R400" s="100">
        <f t="shared" si="76"/>
        <v>1.8E-3</v>
      </c>
      <c r="S400" s="94">
        <f t="shared" si="77"/>
        <v>1.8000000000000001E-4</v>
      </c>
      <c r="T400" s="94">
        <f t="shared" si="78"/>
        <v>1.98E-3</v>
      </c>
      <c r="U400" s="93">
        <f t="shared" si="81"/>
        <v>1.9800000000000002E-4</v>
      </c>
      <c r="V400" s="93">
        <f t="shared" si="82"/>
        <v>1.98E-5</v>
      </c>
      <c r="W400" s="93">
        <f t="shared" si="83"/>
        <v>1.98E-5</v>
      </c>
      <c r="X400" s="93">
        <f t="shared" si="79"/>
        <v>2.2175999999999997E-3</v>
      </c>
      <c r="Y400" s="122"/>
    </row>
    <row r="401" spans="1:25" s="90" customFormat="1">
      <c r="A401" s="95" t="s">
        <v>1493</v>
      </c>
      <c r="B401" s="95" t="s">
        <v>1631</v>
      </c>
      <c r="C401" s="95" t="s">
        <v>1427</v>
      </c>
      <c r="D401" s="101" t="s">
        <v>1503</v>
      </c>
      <c r="E401" s="101" t="s">
        <v>1485</v>
      </c>
      <c r="F401" s="101" t="s">
        <v>1670</v>
      </c>
      <c r="G401" s="101" t="s">
        <v>1504</v>
      </c>
      <c r="H401" s="97" t="str">
        <f>IFERROR(VLOOKUP(I401,'Raw material list'!$A$3:$C$695,3,0),"")</f>
        <v>DRY2-1008</v>
      </c>
      <c r="I401" s="97" t="s">
        <v>21</v>
      </c>
      <c r="J401" s="101" t="s">
        <v>111</v>
      </c>
      <c r="K401" s="101" t="str">
        <f>IFERROR(VLOOKUP(I401,'Raw material list'!$A$3:$E$695,5,0),"")</f>
        <v xml:space="preserve">Gram </v>
      </c>
      <c r="L401" s="95">
        <v>20</v>
      </c>
      <c r="M401" s="98">
        <f t="shared" si="80"/>
        <v>20</v>
      </c>
      <c r="N401" s="98">
        <v>100</v>
      </c>
      <c r="O401" s="95">
        <v>10</v>
      </c>
      <c r="P401" s="98">
        <f t="shared" si="75"/>
        <v>2</v>
      </c>
      <c r="Q401" s="99">
        <f>IFERROR(VLOOKUP(I401,'Raw material list'!$A$3:$F$695,6,0),"")</f>
        <v>3.7999999999999999E-2</v>
      </c>
      <c r="R401" s="100">
        <f t="shared" si="76"/>
        <v>7.5999999999999998E-2</v>
      </c>
      <c r="S401" s="94">
        <f t="shared" si="77"/>
        <v>7.6E-3</v>
      </c>
      <c r="T401" s="94">
        <f t="shared" si="78"/>
        <v>8.3599999999999994E-2</v>
      </c>
      <c r="U401" s="93">
        <f t="shared" si="81"/>
        <v>8.3599999999999994E-3</v>
      </c>
      <c r="V401" s="93">
        <f t="shared" si="82"/>
        <v>8.3599999999999994E-4</v>
      </c>
      <c r="W401" s="93">
        <f t="shared" si="83"/>
        <v>8.3599999999999994E-4</v>
      </c>
      <c r="X401" s="93">
        <f t="shared" si="79"/>
        <v>9.3631999999999993E-2</v>
      </c>
      <c r="Y401" s="122"/>
    </row>
    <row r="402" spans="1:25" s="90" customFormat="1">
      <c r="A402" s="95" t="s">
        <v>1493</v>
      </c>
      <c r="B402" s="95" t="s">
        <v>1631</v>
      </c>
      <c r="C402" s="95" t="s">
        <v>1427</v>
      </c>
      <c r="D402" s="101" t="s">
        <v>1503</v>
      </c>
      <c r="E402" s="101" t="s">
        <v>1485</v>
      </c>
      <c r="F402" s="101" t="s">
        <v>1670</v>
      </c>
      <c r="G402" s="101" t="s">
        <v>1504</v>
      </c>
      <c r="H402" s="97" t="str">
        <f>IFERROR(VLOOKUP(I402,'Raw material list'!$A$3:$C$695,3,0),"")</f>
        <v>PRD1-4265</v>
      </c>
      <c r="I402" s="97" t="s">
        <v>10</v>
      </c>
      <c r="J402" s="101" t="s">
        <v>111</v>
      </c>
      <c r="K402" s="101" t="str">
        <f>IFERROR(VLOOKUP(I402,'Raw material list'!$A$3:$E$695,5,0),"")</f>
        <v xml:space="preserve">Gram </v>
      </c>
      <c r="L402" s="95">
        <v>15</v>
      </c>
      <c r="M402" s="98">
        <f t="shared" si="80"/>
        <v>17.647058823529413</v>
      </c>
      <c r="N402" s="98">
        <v>85</v>
      </c>
      <c r="O402" s="95">
        <v>10</v>
      </c>
      <c r="P402" s="98">
        <f t="shared" si="75"/>
        <v>1.5</v>
      </c>
      <c r="Q402" s="99">
        <f>IFERROR(VLOOKUP(I402,'Raw material list'!$A$3:$F$695,6,0),"")</f>
        <v>3.529411764705882E-3</v>
      </c>
      <c r="R402" s="100">
        <f t="shared" si="76"/>
        <v>5.2941176470588233E-3</v>
      </c>
      <c r="S402" s="94">
        <f t="shared" si="77"/>
        <v>5.2941176470588231E-4</v>
      </c>
      <c r="T402" s="94">
        <f t="shared" si="78"/>
        <v>5.8235294117647057E-3</v>
      </c>
      <c r="U402" s="93">
        <f t="shared" si="81"/>
        <v>5.8235294117647059E-4</v>
      </c>
      <c r="V402" s="93">
        <f t="shared" si="82"/>
        <v>5.823529411764706E-5</v>
      </c>
      <c r="W402" s="93">
        <f t="shared" si="83"/>
        <v>5.823529411764706E-5</v>
      </c>
      <c r="X402" s="93">
        <f t="shared" si="79"/>
        <v>6.5223529411764705E-3</v>
      </c>
      <c r="Y402" s="122"/>
    </row>
    <row r="403" spans="1:25" s="90" customFormat="1">
      <c r="A403" s="95" t="s">
        <v>1493</v>
      </c>
      <c r="B403" s="95" t="s">
        <v>1631</v>
      </c>
      <c r="C403" s="95" t="s">
        <v>1427</v>
      </c>
      <c r="D403" s="101" t="s">
        <v>1503</v>
      </c>
      <c r="E403" s="101" t="s">
        <v>1485</v>
      </c>
      <c r="F403" s="101" t="s">
        <v>1670</v>
      </c>
      <c r="G403" s="101" t="s">
        <v>1504</v>
      </c>
      <c r="H403" s="97" t="str">
        <f>IFERROR(VLOOKUP(I403,'Raw material list'!$A$3:$C$695,3,0),"")</f>
        <v>PRD1-4327</v>
      </c>
      <c r="I403" s="97" t="s">
        <v>11</v>
      </c>
      <c r="J403" s="101" t="s">
        <v>111</v>
      </c>
      <c r="K403" s="101" t="str">
        <f>IFERROR(VLOOKUP(I403,'Raw material list'!$A$3:$E$695,5,0),"")</f>
        <v xml:space="preserve">Gram </v>
      </c>
      <c r="L403" s="95">
        <v>5</v>
      </c>
      <c r="M403" s="98">
        <f t="shared" si="80"/>
        <v>6.25</v>
      </c>
      <c r="N403" s="133">
        <v>80</v>
      </c>
      <c r="O403" s="95">
        <v>10</v>
      </c>
      <c r="P403" s="98">
        <f t="shared" si="75"/>
        <v>0.5</v>
      </c>
      <c r="Q403" s="99">
        <f>IFERROR(VLOOKUP(I403,'Raw material list'!$A$3:$F$695,6,0),"")</f>
        <v>1.2999999999999999E-2</v>
      </c>
      <c r="R403" s="100">
        <f t="shared" si="76"/>
        <v>6.4999999999999997E-3</v>
      </c>
      <c r="S403" s="94">
        <f t="shared" si="77"/>
        <v>6.4999999999999997E-4</v>
      </c>
      <c r="T403" s="94">
        <f t="shared" si="78"/>
        <v>7.1500000000000001E-3</v>
      </c>
      <c r="U403" s="93">
        <f t="shared" si="81"/>
        <v>7.1500000000000003E-4</v>
      </c>
      <c r="V403" s="93">
        <f t="shared" si="82"/>
        <v>7.1500000000000003E-5</v>
      </c>
      <c r="W403" s="93">
        <f t="shared" si="83"/>
        <v>7.1500000000000003E-5</v>
      </c>
      <c r="X403" s="93">
        <f t="shared" si="79"/>
        <v>8.0080000000000012E-3</v>
      </c>
      <c r="Y403" s="122"/>
    </row>
    <row r="404" spans="1:25" s="90" customFormat="1">
      <c r="A404" s="95" t="s">
        <v>1493</v>
      </c>
      <c r="B404" s="95" t="s">
        <v>1631</v>
      </c>
      <c r="C404" s="95" t="s">
        <v>1427</v>
      </c>
      <c r="D404" s="101" t="s">
        <v>1503</v>
      </c>
      <c r="E404" s="101" t="s">
        <v>1485</v>
      </c>
      <c r="F404" s="101" t="s">
        <v>1670</v>
      </c>
      <c r="G404" s="101" t="s">
        <v>1504</v>
      </c>
      <c r="H404" s="97" t="str">
        <f>IFERROR(VLOOKUP(I404,'Raw material list'!$A$3:$C$695,3,0),"")</f>
        <v>PRD1-239</v>
      </c>
      <c r="I404" s="97" t="s">
        <v>51</v>
      </c>
      <c r="J404" s="101" t="s">
        <v>111</v>
      </c>
      <c r="K404" s="101" t="str">
        <f>IFERROR(VLOOKUP(I404,'Raw material list'!$A$3:$E$695,5,0),"")</f>
        <v xml:space="preserve">Gram </v>
      </c>
      <c r="L404" s="95">
        <v>20</v>
      </c>
      <c r="M404" s="98">
        <f t="shared" si="80"/>
        <v>29.702970297029708</v>
      </c>
      <c r="N404" s="133">
        <v>67.333333333333329</v>
      </c>
      <c r="O404" s="95">
        <v>10</v>
      </c>
      <c r="P404" s="98">
        <f t="shared" si="75"/>
        <v>2</v>
      </c>
      <c r="Q404" s="99">
        <f>IFERROR(VLOOKUP(I404,'Raw material list'!$A$3:$F$695,6,0),"")</f>
        <v>6.6864784546805346E-3</v>
      </c>
      <c r="R404" s="100">
        <f t="shared" si="76"/>
        <v>1.3372956909361069E-2</v>
      </c>
      <c r="S404" s="94">
        <f t="shared" si="77"/>
        <v>1.337295690936107E-3</v>
      </c>
      <c r="T404" s="94">
        <f t="shared" si="78"/>
        <v>1.4710252600297177E-2</v>
      </c>
      <c r="U404" s="93">
        <f t="shared" si="81"/>
        <v>1.4710252600297177E-3</v>
      </c>
      <c r="V404" s="93">
        <f t="shared" si="82"/>
        <v>1.4710252600297176E-4</v>
      </c>
      <c r="W404" s="93">
        <f t="shared" si="83"/>
        <v>1.4710252600297176E-4</v>
      </c>
      <c r="X404" s="93">
        <f t="shared" si="79"/>
        <v>1.6475482912332841E-2</v>
      </c>
      <c r="Y404" s="122"/>
    </row>
    <row r="405" spans="1:25" s="90" customFormat="1">
      <c r="A405" s="95" t="s">
        <v>1493</v>
      </c>
      <c r="B405" s="95" t="s">
        <v>1631</v>
      </c>
      <c r="C405" s="95" t="s">
        <v>1427</v>
      </c>
      <c r="D405" s="101" t="s">
        <v>1503</v>
      </c>
      <c r="E405" s="101" t="s">
        <v>1485</v>
      </c>
      <c r="F405" s="101" t="s">
        <v>1670</v>
      </c>
      <c r="G405" s="101" t="s">
        <v>1504</v>
      </c>
      <c r="H405" s="97" t="str">
        <f>IFERROR(VLOOKUP(I405,'Raw material list'!$A$3:$C$695,3,0),"")</f>
        <v>PRD1-179</v>
      </c>
      <c r="I405" s="97" t="s">
        <v>971</v>
      </c>
      <c r="J405" s="101" t="s">
        <v>111</v>
      </c>
      <c r="K405" s="101" t="str">
        <f>IFERROR(VLOOKUP(I405,'Raw material list'!$A$3:$E$695,5,0),"")</f>
        <v xml:space="preserve">Gram </v>
      </c>
      <c r="L405" s="95">
        <v>0.4</v>
      </c>
      <c r="M405" s="98">
        <f t="shared" si="80"/>
        <v>0.4</v>
      </c>
      <c r="N405" s="98">
        <v>100</v>
      </c>
      <c r="O405" s="95">
        <v>10</v>
      </c>
      <c r="P405" s="98">
        <f t="shared" si="75"/>
        <v>0.04</v>
      </c>
      <c r="Q405" s="99">
        <f>IFERROR(VLOOKUP(I405,'Raw material list'!$A$3:$F$695,6,0),"")</f>
        <v>8.9999999999999993E-3</v>
      </c>
      <c r="R405" s="100">
        <f t="shared" si="76"/>
        <v>3.5999999999999997E-4</v>
      </c>
      <c r="S405" s="94">
        <f t="shared" si="77"/>
        <v>3.6000000000000001E-5</v>
      </c>
      <c r="T405" s="94">
        <f t="shared" si="78"/>
        <v>3.9599999999999998E-4</v>
      </c>
      <c r="U405" s="93">
        <f t="shared" si="81"/>
        <v>3.96E-5</v>
      </c>
      <c r="V405" s="93">
        <f t="shared" si="82"/>
        <v>3.9600000000000002E-6</v>
      </c>
      <c r="W405" s="93">
        <f t="shared" si="83"/>
        <v>3.9600000000000002E-6</v>
      </c>
      <c r="X405" s="93">
        <f t="shared" si="79"/>
        <v>4.4351999999999998E-4</v>
      </c>
      <c r="Y405" s="122"/>
    </row>
    <row r="406" spans="1:25" s="90" customFormat="1">
      <c r="A406" s="95" t="s">
        <v>1493</v>
      </c>
      <c r="B406" s="95" t="s">
        <v>1631</v>
      </c>
      <c r="C406" s="95" t="s">
        <v>1427</v>
      </c>
      <c r="D406" s="101" t="s">
        <v>1503</v>
      </c>
      <c r="E406" s="101" t="s">
        <v>1485</v>
      </c>
      <c r="F406" s="101" t="s">
        <v>1670</v>
      </c>
      <c r="G406" s="101" t="s">
        <v>1504</v>
      </c>
      <c r="H406" s="97" t="str">
        <f>IFERROR(VLOOKUP(I406,'Raw material list'!$A$3:$C$695,3,0),"")</f>
        <v>DRS6-5088</v>
      </c>
      <c r="I406" s="97" t="s">
        <v>668</v>
      </c>
      <c r="J406" s="101" t="s">
        <v>111</v>
      </c>
      <c r="K406" s="101" t="str">
        <f>IFERROR(VLOOKUP(I406,'Raw material list'!$A$3:$E$695,5,0),"")</f>
        <v xml:space="preserve">Gram </v>
      </c>
      <c r="L406" s="95">
        <v>3</v>
      </c>
      <c r="M406" s="98">
        <f t="shared" si="80"/>
        <v>3</v>
      </c>
      <c r="N406" s="98">
        <v>100</v>
      </c>
      <c r="O406" s="95">
        <v>10</v>
      </c>
      <c r="P406" s="98">
        <f t="shared" si="75"/>
        <v>0.3</v>
      </c>
      <c r="Q406" s="99">
        <f>IFERROR(VLOOKUP(I406,'Raw material list'!$A$3:$F$695,6,0),"")</f>
        <v>0.08</v>
      </c>
      <c r="R406" s="100">
        <f t="shared" si="76"/>
        <v>2.4E-2</v>
      </c>
      <c r="S406" s="94">
        <f t="shared" si="77"/>
        <v>2.4000000000000002E-3</v>
      </c>
      <c r="T406" s="94">
        <f t="shared" si="78"/>
        <v>2.64E-2</v>
      </c>
      <c r="U406" s="93">
        <f t="shared" si="81"/>
        <v>2.64E-3</v>
      </c>
      <c r="V406" s="93">
        <f t="shared" si="82"/>
        <v>2.6400000000000002E-4</v>
      </c>
      <c r="W406" s="93">
        <f t="shared" si="83"/>
        <v>2.6400000000000002E-4</v>
      </c>
      <c r="X406" s="93">
        <f t="shared" si="79"/>
        <v>2.9568000000000001E-2</v>
      </c>
      <c r="Y406" s="122"/>
    </row>
    <row r="407" spans="1:25" s="90" customFormat="1">
      <c r="A407" s="95" t="s">
        <v>1493</v>
      </c>
      <c r="B407" s="95" t="s">
        <v>1631</v>
      </c>
      <c r="C407" s="95" t="s">
        <v>1427</v>
      </c>
      <c r="D407" s="101" t="s">
        <v>1503</v>
      </c>
      <c r="E407" s="101" t="s">
        <v>1485</v>
      </c>
      <c r="F407" s="101" t="s">
        <v>1670</v>
      </c>
      <c r="G407" s="101" t="s">
        <v>1504</v>
      </c>
      <c r="H407" s="97" t="str">
        <f>IFERROR(VLOOKUP(I407,'Raw material list'!$A$3:$C$695,3,0),"")</f>
        <v>DRS6-733</v>
      </c>
      <c r="I407" s="97" t="s">
        <v>60</v>
      </c>
      <c r="J407" s="101" t="s">
        <v>111</v>
      </c>
      <c r="K407" s="101" t="str">
        <f>IFERROR(VLOOKUP(I407,'Raw material list'!$A$3:$E$695,5,0),"")</f>
        <v xml:space="preserve">Gram </v>
      </c>
      <c r="L407" s="95">
        <v>1</v>
      </c>
      <c r="M407" s="98">
        <f t="shared" si="80"/>
        <v>1</v>
      </c>
      <c r="N407" s="98">
        <v>100</v>
      </c>
      <c r="O407" s="95">
        <v>10</v>
      </c>
      <c r="P407" s="98">
        <f t="shared" si="75"/>
        <v>0.1</v>
      </c>
      <c r="Q407" s="99">
        <f>IFERROR(VLOOKUP(I407,'Raw material list'!$A$3:$F$695,6,0),"")</f>
        <v>2.8000000000000001E-2</v>
      </c>
      <c r="R407" s="100">
        <f t="shared" si="76"/>
        <v>2.8000000000000004E-3</v>
      </c>
      <c r="S407" s="94">
        <f t="shared" si="77"/>
        <v>2.8000000000000003E-4</v>
      </c>
      <c r="T407" s="94">
        <f t="shared" si="78"/>
        <v>3.0800000000000003E-3</v>
      </c>
      <c r="U407" s="93">
        <f t="shared" si="81"/>
        <v>3.0800000000000006E-4</v>
      </c>
      <c r="V407" s="93">
        <f t="shared" si="82"/>
        <v>3.0800000000000003E-5</v>
      </c>
      <c r="W407" s="93">
        <f t="shared" si="83"/>
        <v>3.0800000000000003E-5</v>
      </c>
      <c r="X407" s="93">
        <f t="shared" si="79"/>
        <v>3.4496000000000006E-3</v>
      </c>
      <c r="Y407" s="122"/>
    </row>
    <row r="408" spans="1:25" s="90" customFormat="1">
      <c r="A408" s="95" t="s">
        <v>1493</v>
      </c>
      <c r="B408" s="95" t="s">
        <v>1631</v>
      </c>
      <c r="C408" s="95" t="s">
        <v>1427</v>
      </c>
      <c r="D408" s="101" t="s">
        <v>1503</v>
      </c>
      <c r="E408" s="101" t="s">
        <v>1485</v>
      </c>
      <c r="F408" s="101" t="s">
        <v>1670</v>
      </c>
      <c r="G408" s="101" t="s">
        <v>1504</v>
      </c>
      <c r="H408" s="97" t="str">
        <f>IFERROR(VLOOKUP(I408,'Raw material list'!$A$3:$C$695,3,0),"")</f>
        <v>DRS6-1674</v>
      </c>
      <c r="I408" s="97" t="s">
        <v>47</v>
      </c>
      <c r="J408" s="101" t="s">
        <v>111</v>
      </c>
      <c r="K408" s="101" t="str">
        <f>IFERROR(VLOOKUP(I408,'Raw material list'!$A$3:$E$695,5,0),"")</f>
        <v xml:space="preserve">Gram </v>
      </c>
      <c r="L408" s="95">
        <v>0.69</v>
      </c>
      <c r="M408" s="98">
        <f t="shared" si="80"/>
        <v>0.69</v>
      </c>
      <c r="N408" s="98">
        <v>100</v>
      </c>
      <c r="O408" s="95">
        <v>10</v>
      </c>
      <c r="P408" s="98">
        <f t="shared" si="75"/>
        <v>6.8999999999999992E-2</v>
      </c>
      <c r="Q408" s="99">
        <f>IFERROR(VLOOKUP(I408,'Raw material list'!$A$3:$F$695,6,0),"")</f>
        <v>1.6E-2</v>
      </c>
      <c r="R408" s="100">
        <f t="shared" si="76"/>
        <v>1.1039999999999999E-3</v>
      </c>
      <c r="S408" s="94">
        <f t="shared" si="77"/>
        <v>1.104E-4</v>
      </c>
      <c r="T408" s="94">
        <f t="shared" si="78"/>
        <v>1.2144E-3</v>
      </c>
      <c r="U408" s="93">
        <f t="shared" si="81"/>
        <v>1.2144E-4</v>
      </c>
      <c r="V408" s="93">
        <f t="shared" si="82"/>
        <v>1.2144000000000001E-5</v>
      </c>
      <c r="W408" s="93">
        <f t="shared" si="83"/>
        <v>1.2144000000000001E-5</v>
      </c>
      <c r="X408" s="93">
        <f t="shared" si="79"/>
        <v>1.3601279999999999E-3</v>
      </c>
      <c r="Y408" s="122"/>
    </row>
    <row r="409" spans="1:25" s="90" customFormat="1">
      <c r="A409" s="95" t="s">
        <v>1493</v>
      </c>
      <c r="B409" s="95" t="s">
        <v>1631</v>
      </c>
      <c r="C409" s="95" t="s">
        <v>1427</v>
      </c>
      <c r="D409" s="101" t="s">
        <v>1503</v>
      </c>
      <c r="E409" s="101" t="s">
        <v>1485</v>
      </c>
      <c r="F409" s="101" t="s">
        <v>1670</v>
      </c>
      <c r="G409" s="101" t="s">
        <v>1504</v>
      </c>
      <c r="H409" s="97" t="str">
        <f>IFERROR(VLOOKUP(I409,'Raw material list'!$A$3:$C$695,3,0),"")</f>
        <v/>
      </c>
      <c r="I409" s="97" t="s">
        <v>1505</v>
      </c>
      <c r="J409" s="101" t="s">
        <v>1615</v>
      </c>
      <c r="K409" s="101" t="str">
        <f>IFERROR(VLOOKUP(I409,'Raw material list'!$A$3:$E$695,5,0),"")</f>
        <v/>
      </c>
      <c r="L409" s="95">
        <v>500</v>
      </c>
      <c r="M409" s="98">
        <f t="shared" si="80"/>
        <v>500</v>
      </c>
      <c r="N409" s="98">
        <v>100</v>
      </c>
      <c r="O409" s="95">
        <v>10</v>
      </c>
      <c r="P409" s="98">
        <f t="shared" si="75"/>
        <v>50</v>
      </c>
      <c r="Q409" s="99" t="str">
        <f>IFERROR(VLOOKUP(I409,'Raw material list'!$A$3:$F$695,6,0),"")</f>
        <v/>
      </c>
      <c r="R409" s="100">
        <f t="shared" si="76"/>
        <v>0</v>
      </c>
      <c r="S409" s="94">
        <f t="shared" si="77"/>
        <v>0</v>
      </c>
      <c r="T409" s="94">
        <f t="shared" si="78"/>
        <v>0</v>
      </c>
      <c r="U409" s="93">
        <f t="shared" si="81"/>
        <v>0</v>
      </c>
      <c r="V409" s="93">
        <f t="shared" si="82"/>
        <v>0</v>
      </c>
      <c r="W409" s="93">
        <f t="shared" si="83"/>
        <v>0</v>
      </c>
      <c r="X409" s="93">
        <f t="shared" si="79"/>
        <v>0</v>
      </c>
      <c r="Y409" s="122"/>
    </row>
    <row r="410" spans="1:25" s="90" customFormat="1">
      <c r="A410" s="95" t="s">
        <v>1493</v>
      </c>
      <c r="B410" s="95" t="s">
        <v>1631</v>
      </c>
      <c r="C410" s="95" t="s">
        <v>1427</v>
      </c>
      <c r="D410" s="101" t="s">
        <v>1503</v>
      </c>
      <c r="E410" s="101" t="s">
        <v>1485</v>
      </c>
      <c r="F410" s="101" t="s">
        <v>1670</v>
      </c>
      <c r="G410" s="101" t="s">
        <v>1504</v>
      </c>
      <c r="H410" s="97" t="str">
        <f>IFERROR(VLOOKUP(I410,'Raw material list'!$A$3:$C$695,3,0),"")</f>
        <v>DRS6-537</v>
      </c>
      <c r="I410" s="97" t="s">
        <v>25</v>
      </c>
      <c r="J410" s="101" t="s">
        <v>111</v>
      </c>
      <c r="K410" s="101" t="str">
        <f>IFERROR(VLOOKUP(I410,'Raw material list'!$A$3:$E$695,5,0),"")</f>
        <v xml:space="preserve">Gram </v>
      </c>
      <c r="L410" s="95">
        <v>0.2</v>
      </c>
      <c r="M410" s="98">
        <f t="shared" si="80"/>
        <v>0.2</v>
      </c>
      <c r="N410" s="98">
        <v>100</v>
      </c>
      <c r="O410" s="95">
        <v>10</v>
      </c>
      <c r="P410" s="98">
        <f t="shared" ref="P410:P473" si="84">IFERROR(L410/O410,0)</f>
        <v>0.02</v>
      </c>
      <c r="Q410" s="99">
        <f>IFERROR(VLOOKUP(I410,'Raw material list'!$A$3:$F$695,6,0),"")</f>
        <v>3.5000000000000003E-2</v>
      </c>
      <c r="R410" s="100">
        <f t="shared" si="76"/>
        <v>7.000000000000001E-4</v>
      </c>
      <c r="S410" s="94">
        <f t="shared" si="77"/>
        <v>7.0000000000000007E-5</v>
      </c>
      <c r="T410" s="94">
        <f t="shared" si="78"/>
        <v>7.7000000000000007E-4</v>
      </c>
      <c r="U410" s="93">
        <f t="shared" si="81"/>
        <v>7.7000000000000015E-5</v>
      </c>
      <c r="V410" s="93">
        <f t="shared" si="82"/>
        <v>7.7000000000000008E-6</v>
      </c>
      <c r="W410" s="93">
        <f t="shared" si="83"/>
        <v>7.7000000000000008E-6</v>
      </c>
      <c r="X410" s="93">
        <f t="shared" si="79"/>
        <v>8.6240000000000015E-4</v>
      </c>
      <c r="Y410" s="122"/>
    </row>
    <row r="411" spans="1:25" s="90" customFormat="1">
      <c r="A411" s="95" t="s">
        <v>1493</v>
      </c>
      <c r="B411" s="95" t="s">
        <v>1631</v>
      </c>
      <c r="C411" s="95" t="s">
        <v>1427</v>
      </c>
      <c r="D411" s="101" t="s">
        <v>1503</v>
      </c>
      <c r="E411" s="101" t="s">
        <v>1485</v>
      </c>
      <c r="F411" s="101" t="s">
        <v>1670</v>
      </c>
      <c r="G411" s="101" t="s">
        <v>1504</v>
      </c>
      <c r="H411" s="97" t="str">
        <f>IFERROR(VLOOKUP(I411,'Raw material list'!$A$3:$C$695,3,0),"")</f>
        <v>DRS1-114</v>
      </c>
      <c r="I411" s="97" t="s">
        <v>279</v>
      </c>
      <c r="J411" s="101" t="s">
        <v>111</v>
      </c>
      <c r="K411" s="101" t="str">
        <f>IFERROR(VLOOKUP(I411,'Raw material list'!$A$3:$E$695,5,0),"")</f>
        <v xml:space="preserve">Gram </v>
      </c>
      <c r="L411" s="95">
        <v>1.5</v>
      </c>
      <c r="M411" s="98">
        <f t="shared" si="80"/>
        <v>1.5</v>
      </c>
      <c r="N411" s="98">
        <v>100</v>
      </c>
      <c r="O411" s="95">
        <v>10</v>
      </c>
      <c r="P411" s="98">
        <f t="shared" si="84"/>
        <v>0.15</v>
      </c>
      <c r="Q411" s="99">
        <f>IFERROR(VLOOKUP(I411,'Raw material list'!$A$3:$F$695,6,0),"")</f>
        <v>4.7489823609226586E-3</v>
      </c>
      <c r="R411" s="100">
        <f t="shared" si="76"/>
        <v>7.1234735413839873E-4</v>
      </c>
      <c r="S411" s="94">
        <f t="shared" si="77"/>
        <v>7.1234735413839881E-5</v>
      </c>
      <c r="T411" s="94">
        <f t="shared" si="78"/>
        <v>7.8358208955223857E-4</v>
      </c>
      <c r="U411" s="93">
        <f t="shared" si="81"/>
        <v>7.8358208955223862E-5</v>
      </c>
      <c r="V411" s="93">
        <f t="shared" si="82"/>
        <v>7.8358208955223852E-6</v>
      </c>
      <c r="W411" s="93">
        <f t="shared" si="83"/>
        <v>7.8358208955223852E-6</v>
      </c>
      <c r="X411" s="93">
        <f t="shared" si="79"/>
        <v>8.7761194029850728E-4</v>
      </c>
      <c r="Y411" s="122"/>
    </row>
    <row r="412" spans="1:25" s="90" customFormat="1">
      <c r="A412" s="95" t="s">
        <v>1493</v>
      </c>
      <c r="B412" s="95" t="s">
        <v>1631</v>
      </c>
      <c r="C412" s="95" t="s">
        <v>1427</v>
      </c>
      <c r="D412" s="101" t="s">
        <v>1503</v>
      </c>
      <c r="E412" s="101" t="s">
        <v>1485</v>
      </c>
      <c r="F412" s="101" t="s">
        <v>1670</v>
      </c>
      <c r="G412" s="101" t="s">
        <v>1504</v>
      </c>
      <c r="H412" s="97" t="str">
        <f>IFERROR(VLOOKUP(I412,'Raw material list'!$A$3:$C$695,3,0),"")</f>
        <v>DRS6-3844</v>
      </c>
      <c r="I412" s="97" t="s">
        <v>672</v>
      </c>
      <c r="J412" s="101" t="s">
        <v>111</v>
      </c>
      <c r="K412" s="101" t="str">
        <f>IFERROR(VLOOKUP(I412,'Raw material list'!$A$3:$E$695,5,0),"")</f>
        <v xml:space="preserve">Gram </v>
      </c>
      <c r="L412" s="95">
        <v>0.2</v>
      </c>
      <c r="M412" s="98">
        <f t="shared" si="80"/>
        <v>0.2</v>
      </c>
      <c r="N412" s="98">
        <v>100</v>
      </c>
      <c r="O412" s="95">
        <v>10</v>
      </c>
      <c r="P412" s="98">
        <f t="shared" si="84"/>
        <v>0.02</v>
      </c>
      <c r="Q412" s="99">
        <f>IFERROR(VLOOKUP(I412,'Raw material list'!$A$3:$F$695,6,0),"")</f>
        <v>3.5424999999999998E-2</v>
      </c>
      <c r="R412" s="100">
        <f t="shared" si="76"/>
        <v>7.0849999999999993E-4</v>
      </c>
      <c r="S412" s="94">
        <f t="shared" si="77"/>
        <v>7.0850000000000001E-5</v>
      </c>
      <c r="T412" s="94">
        <f t="shared" si="78"/>
        <v>7.7934999999999994E-4</v>
      </c>
      <c r="U412" s="93">
        <f t="shared" si="81"/>
        <v>7.7935000000000005E-5</v>
      </c>
      <c r="V412" s="93">
        <f t="shared" si="82"/>
        <v>7.7934999999999992E-6</v>
      </c>
      <c r="W412" s="93">
        <f t="shared" si="83"/>
        <v>7.7934999999999992E-6</v>
      </c>
      <c r="X412" s="93">
        <f t="shared" si="79"/>
        <v>8.7287200000000001E-4</v>
      </c>
      <c r="Y412" s="122"/>
    </row>
    <row r="413" spans="1:25" s="90" customFormat="1">
      <c r="A413" s="95" t="s">
        <v>1506</v>
      </c>
      <c r="B413" s="95" t="s">
        <v>1668</v>
      </c>
      <c r="C413" s="95" t="s">
        <v>1427</v>
      </c>
      <c r="D413" s="101" t="s">
        <v>1511</v>
      </c>
      <c r="E413" s="101" t="s">
        <v>1510</v>
      </c>
      <c r="F413" s="101" t="s">
        <v>1671</v>
      </c>
      <c r="G413" s="101" t="s">
        <v>1591</v>
      </c>
      <c r="H413" s="97" t="str">
        <f>IFERROR(VLOOKUP(I413,'Raw material list'!$A$3:$C$695,3,0),"")</f>
        <v>PLT2-3278</v>
      </c>
      <c r="I413" s="97" t="s">
        <v>61</v>
      </c>
      <c r="J413" s="101" t="s">
        <v>111</v>
      </c>
      <c r="K413" s="101" t="str">
        <f>IFERROR(VLOOKUP(I413,'Raw material list'!$A$3:$E$695,5,0),"")</f>
        <v xml:space="preserve">Gram </v>
      </c>
      <c r="L413" s="95">
        <v>1200</v>
      </c>
      <c r="M413" s="98">
        <f t="shared" si="80"/>
        <v>1574.803149606299</v>
      </c>
      <c r="N413" s="98">
        <v>76.2</v>
      </c>
      <c r="O413" s="95">
        <v>10</v>
      </c>
      <c r="P413" s="98">
        <f t="shared" si="84"/>
        <v>120</v>
      </c>
      <c r="Q413" s="99">
        <f>IFERROR(VLOOKUP(I413,'Raw material list'!$A$3:$F$695,6,0),"")</f>
        <v>3.035714285714285E-2</v>
      </c>
      <c r="R413" s="100">
        <f t="shared" si="76"/>
        <v>3.6428571428571419</v>
      </c>
      <c r="S413" s="94">
        <f t="shared" si="77"/>
        <v>0.36428571428571421</v>
      </c>
      <c r="T413" s="94">
        <f t="shared" si="78"/>
        <v>4.0071428571428562</v>
      </c>
      <c r="U413" s="93">
        <f t="shared" si="81"/>
        <v>0.40071428571428563</v>
      </c>
      <c r="V413" s="93">
        <f t="shared" si="82"/>
        <v>4.0071428571428563E-2</v>
      </c>
      <c r="W413" s="93">
        <f t="shared" si="83"/>
        <v>4.0071428571428563E-2</v>
      </c>
      <c r="X413" s="93">
        <f t="shared" si="79"/>
        <v>4.4879999999999987</v>
      </c>
      <c r="Y413" s="117" t="s">
        <v>1674</v>
      </c>
    </row>
    <row r="414" spans="1:25" s="90" customFormat="1">
      <c r="A414" s="95" t="s">
        <v>1506</v>
      </c>
      <c r="B414" s="95" t="s">
        <v>1668</v>
      </c>
      <c r="C414" s="95" t="s">
        <v>1427</v>
      </c>
      <c r="D414" s="101" t="s">
        <v>1511</v>
      </c>
      <c r="E414" s="101" t="s">
        <v>1510</v>
      </c>
      <c r="F414" s="95" t="s">
        <v>1671</v>
      </c>
      <c r="G414" s="101" t="s">
        <v>1591</v>
      </c>
      <c r="H414" s="97" t="str">
        <f>IFERROR(VLOOKUP(I414,'Raw material list'!$A$3:$C$695,3,0),"")</f>
        <v>DRS6-1727</v>
      </c>
      <c r="I414" s="97" t="s">
        <v>41</v>
      </c>
      <c r="J414" s="101" t="s">
        <v>111</v>
      </c>
      <c r="K414" s="101" t="str">
        <f>IFERROR(VLOOKUP(I414,'Raw material list'!$A$3:$E$695,5,0),"")</f>
        <v xml:space="preserve">Gram </v>
      </c>
      <c r="L414" s="95">
        <v>12</v>
      </c>
      <c r="M414" s="98">
        <f t="shared" si="80"/>
        <v>12</v>
      </c>
      <c r="N414" s="98">
        <v>100</v>
      </c>
      <c r="O414" s="95">
        <v>10</v>
      </c>
      <c r="P414" s="98">
        <f t="shared" ref="P414:P417" si="85">IFERROR(L414/O414,0)</f>
        <v>1.2</v>
      </c>
      <c r="Q414" s="99">
        <f>IFERROR(VLOOKUP(I414,'Raw material list'!$A$3:$F$695,6,0),"")</f>
        <v>2.5000000000000001E-2</v>
      </c>
      <c r="R414" s="100">
        <f t="shared" ref="R414:R417" si="86">IFERROR(Q414*P414,0)</f>
        <v>0.03</v>
      </c>
      <c r="S414" s="94">
        <f t="shared" si="77"/>
        <v>3.0000000000000001E-3</v>
      </c>
      <c r="T414" s="94">
        <f t="shared" si="78"/>
        <v>3.3000000000000002E-2</v>
      </c>
      <c r="U414" s="93">
        <f t="shared" si="81"/>
        <v>3.3000000000000004E-3</v>
      </c>
      <c r="V414" s="93">
        <f t="shared" si="82"/>
        <v>3.3E-4</v>
      </c>
      <c r="W414" s="93">
        <f t="shared" si="83"/>
        <v>3.3E-4</v>
      </c>
      <c r="X414" s="93">
        <f t="shared" si="79"/>
        <v>3.6959999999999993E-2</v>
      </c>
      <c r="Y414" s="117"/>
    </row>
    <row r="415" spans="1:25" s="90" customFormat="1">
      <c r="A415" s="95" t="s">
        <v>1506</v>
      </c>
      <c r="B415" s="95" t="s">
        <v>1668</v>
      </c>
      <c r="C415" s="95" t="s">
        <v>1427</v>
      </c>
      <c r="D415" s="101" t="s">
        <v>1511</v>
      </c>
      <c r="E415" s="101" t="s">
        <v>1510</v>
      </c>
      <c r="F415" s="95" t="s">
        <v>1671</v>
      </c>
      <c r="G415" s="101" t="s">
        <v>1591</v>
      </c>
      <c r="H415" s="97" t="str">
        <f>IFERROR(VLOOKUP(I415,'Raw material list'!$A$3:$C$695,3,0),"")</f>
        <v>DRS6-5088</v>
      </c>
      <c r="I415" s="97" t="s">
        <v>668</v>
      </c>
      <c r="J415" s="101" t="s">
        <v>111</v>
      </c>
      <c r="K415" s="101" t="str">
        <f>IFERROR(VLOOKUP(I415,'Raw material list'!$A$3:$E$695,5,0),"")</f>
        <v xml:space="preserve">Gram </v>
      </c>
      <c r="L415" s="95">
        <v>12</v>
      </c>
      <c r="M415" s="98">
        <f t="shared" si="80"/>
        <v>12</v>
      </c>
      <c r="N415" s="98">
        <v>100</v>
      </c>
      <c r="O415" s="95">
        <v>10</v>
      </c>
      <c r="P415" s="98">
        <f t="shared" si="85"/>
        <v>1.2</v>
      </c>
      <c r="Q415" s="99">
        <f>IFERROR(VLOOKUP(I415,'Raw material list'!$A$3:$F$695,6,0),"")</f>
        <v>0.08</v>
      </c>
      <c r="R415" s="100">
        <f t="shared" si="86"/>
        <v>9.6000000000000002E-2</v>
      </c>
      <c r="S415" s="94">
        <f t="shared" si="77"/>
        <v>9.6000000000000009E-3</v>
      </c>
      <c r="T415" s="94">
        <f t="shared" si="78"/>
        <v>0.1056</v>
      </c>
      <c r="U415" s="93">
        <f t="shared" si="81"/>
        <v>1.056E-2</v>
      </c>
      <c r="V415" s="93">
        <f t="shared" si="82"/>
        <v>1.0560000000000001E-3</v>
      </c>
      <c r="W415" s="93">
        <f t="shared" si="83"/>
        <v>1.0560000000000001E-3</v>
      </c>
      <c r="X415" s="93">
        <f t="shared" si="79"/>
        <v>0.118272</v>
      </c>
      <c r="Y415" s="117"/>
    </row>
    <row r="416" spans="1:25" s="90" customFormat="1">
      <c r="A416" s="95" t="s">
        <v>1506</v>
      </c>
      <c r="B416" s="95" t="s">
        <v>1668</v>
      </c>
      <c r="C416" s="95" t="s">
        <v>1427</v>
      </c>
      <c r="D416" s="101" t="s">
        <v>1511</v>
      </c>
      <c r="E416" s="101" t="s">
        <v>1510</v>
      </c>
      <c r="F416" s="95" t="s">
        <v>1671</v>
      </c>
      <c r="G416" s="101" t="s">
        <v>1591</v>
      </c>
      <c r="H416" s="97" t="str">
        <f>IFERROR(VLOOKUP(I416,'Raw material list'!$A$3:$C$695,3,0),"")</f>
        <v>DRS6-5376</v>
      </c>
      <c r="I416" s="97" t="s">
        <v>55</v>
      </c>
      <c r="J416" s="101" t="s">
        <v>111</v>
      </c>
      <c r="K416" s="101" t="str">
        <f>IFERROR(VLOOKUP(I416,'Raw material list'!$A$3:$E$695,5,0),"")</f>
        <v xml:space="preserve">Gram </v>
      </c>
      <c r="L416" s="95">
        <v>3</v>
      </c>
      <c r="M416" s="98">
        <f t="shared" si="80"/>
        <v>3</v>
      </c>
      <c r="N416" s="98">
        <v>100</v>
      </c>
      <c r="O416" s="95">
        <v>10</v>
      </c>
      <c r="P416" s="98">
        <f t="shared" si="85"/>
        <v>0.3</v>
      </c>
      <c r="Q416" s="99">
        <f>IFERROR(VLOOKUP(I416,'Raw material list'!$A$3:$F$695,6,0),"")</f>
        <v>2.8000000000000001E-2</v>
      </c>
      <c r="R416" s="100">
        <f t="shared" si="86"/>
        <v>8.3999999999999995E-3</v>
      </c>
      <c r="S416" s="94">
        <f t="shared" si="77"/>
        <v>8.4000000000000003E-4</v>
      </c>
      <c r="T416" s="94">
        <f t="shared" si="78"/>
        <v>9.2399999999999999E-3</v>
      </c>
      <c r="U416" s="93">
        <f t="shared" si="81"/>
        <v>9.2400000000000002E-4</v>
      </c>
      <c r="V416" s="93">
        <f t="shared" si="82"/>
        <v>9.2399999999999996E-5</v>
      </c>
      <c r="W416" s="93">
        <f t="shared" si="83"/>
        <v>9.2399999999999996E-5</v>
      </c>
      <c r="X416" s="93">
        <f t="shared" si="79"/>
        <v>1.0348799999999998E-2</v>
      </c>
      <c r="Y416" s="117"/>
    </row>
    <row r="417" spans="1:25" s="90" customFormat="1">
      <c r="A417" s="95" t="s">
        <v>1506</v>
      </c>
      <c r="B417" s="95" t="s">
        <v>1668</v>
      </c>
      <c r="C417" s="95" t="s">
        <v>1427</v>
      </c>
      <c r="D417" s="101" t="s">
        <v>1511</v>
      </c>
      <c r="E417" s="101" t="s">
        <v>1510</v>
      </c>
      <c r="F417" s="95" t="s">
        <v>1671</v>
      </c>
      <c r="G417" s="101" t="s">
        <v>1591</v>
      </c>
      <c r="H417" s="97" t="str">
        <f>IFERROR(VLOOKUP(I417,'Raw material list'!$A$3:$C$695,3,0),"")</f>
        <v>WAT-001</v>
      </c>
      <c r="I417" s="97" t="s">
        <v>1406</v>
      </c>
      <c r="J417" s="101" t="s">
        <v>161</v>
      </c>
      <c r="K417" s="101" t="str">
        <f>IFERROR(VLOOKUP(I417,'Raw material list'!$A$3:$E$695,5,0),"")</f>
        <v>Ml</v>
      </c>
      <c r="L417" s="95">
        <v>120</v>
      </c>
      <c r="M417" s="98">
        <f t="shared" si="80"/>
        <v>120</v>
      </c>
      <c r="N417" s="98">
        <v>100</v>
      </c>
      <c r="O417" s="95">
        <v>10</v>
      </c>
      <c r="P417" s="98">
        <f t="shared" si="85"/>
        <v>12</v>
      </c>
      <c r="Q417" s="99">
        <f>IFERROR(VLOOKUP(I417,'Raw material list'!$A$3:$F$695,6,0),"")</f>
        <v>8.0000000000000007E-5</v>
      </c>
      <c r="R417" s="100">
        <f t="shared" si="86"/>
        <v>9.6000000000000013E-4</v>
      </c>
      <c r="S417" s="94">
        <f t="shared" si="77"/>
        <v>9.6000000000000016E-5</v>
      </c>
      <c r="T417" s="94">
        <f t="shared" si="78"/>
        <v>1.0560000000000001E-3</v>
      </c>
      <c r="U417" s="93">
        <f t="shared" si="81"/>
        <v>1.0560000000000002E-4</v>
      </c>
      <c r="V417" s="93">
        <f t="shared" si="82"/>
        <v>1.0560000000000001E-5</v>
      </c>
      <c r="W417" s="93">
        <f t="shared" si="83"/>
        <v>1.0560000000000001E-5</v>
      </c>
      <c r="X417" s="93">
        <f t="shared" si="79"/>
        <v>1.18272E-3</v>
      </c>
      <c r="Y417" s="117"/>
    </row>
    <row r="418" spans="1:25" s="90" customFormat="1">
      <c r="A418" s="95" t="s">
        <v>1506</v>
      </c>
      <c r="B418" s="95" t="s">
        <v>1668</v>
      </c>
      <c r="C418" s="95" t="s">
        <v>1427</v>
      </c>
      <c r="D418" s="101" t="s">
        <v>1511</v>
      </c>
      <c r="E418" s="101" t="s">
        <v>1510</v>
      </c>
      <c r="F418" s="101" t="s">
        <v>1670</v>
      </c>
      <c r="G418" s="101" t="s">
        <v>1461</v>
      </c>
      <c r="H418" s="97" t="str">
        <f>IFERROR(VLOOKUP(I418,'Raw material list'!$A$3:$C$695,3,0),"")</f>
        <v>DRY2-1008</v>
      </c>
      <c r="I418" s="97" t="s">
        <v>21</v>
      </c>
      <c r="J418" s="101" t="s">
        <v>111</v>
      </c>
      <c r="K418" s="101" t="str">
        <f>IFERROR(VLOOKUP(I418,'Raw material list'!$A$3:$E$695,5,0),"")</f>
        <v xml:space="preserve">Gram </v>
      </c>
      <c r="L418" s="95">
        <v>30</v>
      </c>
      <c r="M418" s="98">
        <f t="shared" si="80"/>
        <v>30</v>
      </c>
      <c r="N418" s="98">
        <v>100</v>
      </c>
      <c r="O418" s="95">
        <v>10</v>
      </c>
      <c r="P418" s="98">
        <f t="shared" si="84"/>
        <v>3</v>
      </c>
      <c r="Q418" s="99">
        <f>IFERROR(VLOOKUP(I418,'Raw material list'!$A$3:$F$695,6,0),"")</f>
        <v>3.7999999999999999E-2</v>
      </c>
      <c r="R418" s="100">
        <f t="shared" si="76"/>
        <v>0.11399999999999999</v>
      </c>
      <c r="S418" s="94">
        <f t="shared" si="77"/>
        <v>1.14E-2</v>
      </c>
      <c r="T418" s="94">
        <f t="shared" si="78"/>
        <v>0.12539999999999998</v>
      </c>
      <c r="U418" s="93">
        <f t="shared" si="81"/>
        <v>1.2539999999999999E-2</v>
      </c>
      <c r="V418" s="93">
        <f t="shared" si="82"/>
        <v>1.2539999999999999E-3</v>
      </c>
      <c r="W418" s="93">
        <f t="shared" si="83"/>
        <v>1.2539999999999999E-3</v>
      </c>
      <c r="X418" s="93">
        <f t="shared" si="79"/>
        <v>0.14044799999999999</v>
      </c>
      <c r="Y418" s="117"/>
    </row>
    <row r="419" spans="1:25" s="90" customFormat="1">
      <c r="A419" s="95" t="s">
        <v>1506</v>
      </c>
      <c r="B419" s="95" t="s">
        <v>1668</v>
      </c>
      <c r="C419" s="95" t="s">
        <v>1427</v>
      </c>
      <c r="D419" s="101" t="s">
        <v>1511</v>
      </c>
      <c r="E419" s="101" t="s">
        <v>1510</v>
      </c>
      <c r="F419" s="101" t="s">
        <v>1670</v>
      </c>
      <c r="G419" s="101" t="s">
        <v>1461</v>
      </c>
      <c r="H419" s="97" t="str">
        <f>IFERROR(VLOOKUP(I419,'Raw material list'!$A$3:$C$695,3,0),"")</f>
        <v>PRD1-194</v>
      </c>
      <c r="I419" s="97" t="s">
        <v>991</v>
      </c>
      <c r="J419" s="101" t="s">
        <v>111</v>
      </c>
      <c r="K419" s="101" t="str">
        <f>IFERROR(VLOOKUP(I419,'Raw material list'!$A$3:$E$695,5,0),"")</f>
        <v xml:space="preserve">Gram </v>
      </c>
      <c r="L419" s="95">
        <v>10</v>
      </c>
      <c r="M419" s="98">
        <f t="shared" si="80"/>
        <v>10.869565217391305</v>
      </c>
      <c r="N419" s="133">
        <v>92</v>
      </c>
      <c r="O419" s="95">
        <v>10</v>
      </c>
      <c r="P419" s="98">
        <f t="shared" si="84"/>
        <v>1</v>
      </c>
      <c r="Q419" s="99">
        <f>IFERROR(VLOOKUP(I419,'Raw material list'!$A$3:$F$695,6,0),"")</f>
        <v>0.11</v>
      </c>
      <c r="R419" s="100">
        <f t="shared" si="76"/>
        <v>0.11</v>
      </c>
      <c r="S419" s="94">
        <f t="shared" si="77"/>
        <v>1.1000000000000001E-2</v>
      </c>
      <c r="T419" s="94">
        <f t="shared" si="78"/>
        <v>0.121</v>
      </c>
      <c r="U419" s="93">
        <f t="shared" si="81"/>
        <v>1.21E-2</v>
      </c>
      <c r="V419" s="93">
        <f t="shared" si="82"/>
        <v>1.2099999999999999E-3</v>
      </c>
      <c r="W419" s="93">
        <f t="shared" si="83"/>
        <v>1.2099999999999999E-3</v>
      </c>
      <c r="X419" s="93">
        <f t="shared" si="79"/>
        <v>0.13551999999999997</v>
      </c>
      <c r="Y419" s="117"/>
    </row>
    <row r="420" spans="1:25" s="90" customFormat="1">
      <c r="A420" s="95" t="s">
        <v>1506</v>
      </c>
      <c r="B420" s="95" t="s">
        <v>1668</v>
      </c>
      <c r="C420" s="95" t="s">
        <v>1427</v>
      </c>
      <c r="D420" s="101" t="s">
        <v>1511</v>
      </c>
      <c r="E420" s="101" t="s">
        <v>1510</v>
      </c>
      <c r="F420" s="101" t="s">
        <v>1670</v>
      </c>
      <c r="G420" s="101" t="s">
        <v>1447</v>
      </c>
      <c r="H420" s="97" t="str">
        <f>IFERROR(VLOOKUP(I420,'Raw material list'!$A$3:$C$695,3,0),"")</f>
        <v>PRD1-230</v>
      </c>
      <c r="I420" s="97" t="s">
        <v>40</v>
      </c>
      <c r="J420" s="101" t="s">
        <v>111</v>
      </c>
      <c r="K420" s="101" t="str">
        <f>IFERROR(VLOOKUP(I420,'Raw material list'!$A$3:$E$695,5,0),"")</f>
        <v xml:space="preserve">Gram </v>
      </c>
      <c r="L420" s="95">
        <v>362.75</v>
      </c>
      <c r="M420" s="98">
        <f t="shared" si="80"/>
        <v>489.5411605937922</v>
      </c>
      <c r="N420" s="98">
        <v>74.099999999999994</v>
      </c>
      <c r="O420" s="95">
        <v>10</v>
      </c>
      <c r="P420" s="98">
        <f t="shared" si="84"/>
        <v>36.274999999999999</v>
      </c>
      <c r="Q420" s="99">
        <f>IFERROR(VLOOKUP(I420,'Raw material list'!$A$3:$F$695,6,0),"")</f>
        <v>3.3738191632928468E-3</v>
      </c>
      <c r="R420" s="100">
        <f t="shared" si="76"/>
        <v>0.12238529014844801</v>
      </c>
      <c r="S420" s="94">
        <f t="shared" si="77"/>
        <v>1.2238529014844802E-2</v>
      </c>
      <c r="T420" s="94">
        <f t="shared" si="78"/>
        <v>0.1346238191632928</v>
      </c>
      <c r="U420" s="93">
        <f t="shared" si="81"/>
        <v>1.3462381916329281E-2</v>
      </c>
      <c r="V420" s="93">
        <f t="shared" si="82"/>
        <v>1.3462381916329281E-3</v>
      </c>
      <c r="W420" s="93">
        <f t="shared" si="83"/>
        <v>1.3462381916329281E-3</v>
      </c>
      <c r="X420" s="93">
        <f t="shared" si="79"/>
        <v>0.15077867746288795</v>
      </c>
      <c r="Y420" s="117"/>
    </row>
    <row r="421" spans="1:25" s="90" customFormat="1">
      <c r="A421" s="95" t="s">
        <v>1506</v>
      </c>
      <c r="B421" s="95" t="s">
        <v>1668</v>
      </c>
      <c r="C421" s="95" t="s">
        <v>1427</v>
      </c>
      <c r="D421" s="101" t="s">
        <v>1511</v>
      </c>
      <c r="E421" s="101" t="s">
        <v>1510</v>
      </c>
      <c r="F421" s="101" t="s">
        <v>1670</v>
      </c>
      <c r="G421" s="101" t="s">
        <v>1447</v>
      </c>
      <c r="H421" s="97" t="str">
        <f>IFERROR(VLOOKUP(I421,'Raw material list'!$A$3:$C$695,3,0),"")</f>
        <v>PRD1-4265</v>
      </c>
      <c r="I421" s="97" t="s">
        <v>10</v>
      </c>
      <c r="J421" s="101" t="s">
        <v>111</v>
      </c>
      <c r="K421" s="101" t="str">
        <f>IFERROR(VLOOKUP(I421,'Raw material list'!$A$3:$E$695,5,0),"")</f>
        <v xml:space="preserve">Gram </v>
      </c>
      <c r="L421" s="95">
        <v>30.22</v>
      </c>
      <c r="M421" s="98">
        <f t="shared" si="80"/>
        <v>35.55294117647059</v>
      </c>
      <c r="N421" s="98">
        <v>85</v>
      </c>
      <c r="O421" s="95">
        <v>10</v>
      </c>
      <c r="P421" s="98">
        <f t="shared" si="84"/>
        <v>3.0219999999999998</v>
      </c>
      <c r="Q421" s="99">
        <f>IFERROR(VLOOKUP(I421,'Raw material list'!$A$3:$F$695,6,0),"")</f>
        <v>3.529411764705882E-3</v>
      </c>
      <c r="R421" s="100">
        <f t="shared" si="76"/>
        <v>1.0665882352941174E-2</v>
      </c>
      <c r="S421" s="94">
        <f t="shared" si="77"/>
        <v>1.0665882352941176E-3</v>
      </c>
      <c r="T421" s="94">
        <f t="shared" si="78"/>
        <v>1.1732470588235292E-2</v>
      </c>
      <c r="U421" s="93">
        <f t="shared" si="81"/>
        <v>1.1732470588235293E-3</v>
      </c>
      <c r="V421" s="93">
        <f t="shared" si="82"/>
        <v>1.1732470588235293E-4</v>
      </c>
      <c r="W421" s="93">
        <f t="shared" si="83"/>
        <v>1.1732470588235293E-4</v>
      </c>
      <c r="X421" s="93">
        <f t="shared" si="79"/>
        <v>1.3140367058823528E-2</v>
      </c>
      <c r="Y421" s="117"/>
    </row>
    <row r="422" spans="1:25" s="90" customFormat="1">
      <c r="A422" s="95" t="s">
        <v>1506</v>
      </c>
      <c r="B422" s="95" t="s">
        <v>1668</v>
      </c>
      <c r="C422" s="95" t="s">
        <v>1427</v>
      </c>
      <c r="D422" s="101" t="s">
        <v>1511</v>
      </c>
      <c r="E422" s="101" t="s">
        <v>1510</v>
      </c>
      <c r="F422" s="101" t="s">
        <v>1670</v>
      </c>
      <c r="G422" s="101" t="s">
        <v>1447</v>
      </c>
      <c r="H422" s="97" t="str">
        <f>IFERROR(VLOOKUP(I422,'Raw material list'!$A$3:$C$695,3,0),"")</f>
        <v>DRS3-1615</v>
      </c>
      <c r="I422" s="97" t="s">
        <v>24</v>
      </c>
      <c r="J422" s="101" t="s">
        <v>161</v>
      </c>
      <c r="K422" s="101" t="str">
        <f>IFERROR(VLOOKUP(I422,'Raw material list'!$A$3:$E$695,5,0),"")</f>
        <v>Ml</v>
      </c>
      <c r="L422" s="95">
        <v>24.18</v>
      </c>
      <c r="M422" s="98">
        <f t="shared" si="80"/>
        <v>24.18</v>
      </c>
      <c r="N422" s="98">
        <v>100</v>
      </c>
      <c r="O422" s="95">
        <v>10</v>
      </c>
      <c r="P422" s="98">
        <f t="shared" si="84"/>
        <v>2.4180000000000001</v>
      </c>
      <c r="Q422" s="99">
        <f>IFERROR(VLOOKUP(I422,'Raw material list'!$A$3:$F$695,6,0),"")</f>
        <v>1.2E-2</v>
      </c>
      <c r="R422" s="100">
        <f t="shared" si="76"/>
        <v>2.9016000000000004E-2</v>
      </c>
      <c r="S422" s="94">
        <f t="shared" si="77"/>
        <v>2.9016000000000007E-3</v>
      </c>
      <c r="T422" s="94">
        <f t="shared" si="78"/>
        <v>3.1917600000000004E-2</v>
      </c>
      <c r="U422" s="93">
        <f t="shared" si="81"/>
        <v>3.1917600000000005E-3</v>
      </c>
      <c r="V422" s="93">
        <f t="shared" si="82"/>
        <v>3.1917600000000006E-4</v>
      </c>
      <c r="W422" s="93">
        <f t="shared" si="83"/>
        <v>3.1917600000000006E-4</v>
      </c>
      <c r="X422" s="93">
        <f t="shared" si="79"/>
        <v>3.5747712000000001E-2</v>
      </c>
      <c r="Y422" s="117"/>
    </row>
    <row r="423" spans="1:25" s="90" customFormat="1">
      <c r="A423" s="95" t="s">
        <v>1506</v>
      </c>
      <c r="B423" s="95" t="s">
        <v>1668</v>
      </c>
      <c r="C423" s="95" t="s">
        <v>1427</v>
      </c>
      <c r="D423" s="101" t="s">
        <v>1511</v>
      </c>
      <c r="E423" s="101" t="s">
        <v>1510</v>
      </c>
      <c r="F423" s="101" t="s">
        <v>1670</v>
      </c>
      <c r="G423" s="101" t="s">
        <v>1447</v>
      </c>
      <c r="H423" s="97" t="str">
        <f>IFERROR(VLOOKUP(I423,'Raw material list'!$A$3:$C$695,3,0),"")</f>
        <v>DRY2-1008</v>
      </c>
      <c r="I423" s="97" t="s">
        <v>21</v>
      </c>
      <c r="J423" s="101" t="s">
        <v>111</v>
      </c>
      <c r="K423" s="101" t="str">
        <f>IFERROR(VLOOKUP(I423,'Raw material list'!$A$3:$E$695,5,0),"")</f>
        <v xml:space="preserve">Gram </v>
      </c>
      <c r="L423" s="95">
        <v>24.18</v>
      </c>
      <c r="M423" s="98">
        <f t="shared" si="80"/>
        <v>24.18</v>
      </c>
      <c r="N423" s="98">
        <v>100</v>
      </c>
      <c r="O423" s="95">
        <v>10</v>
      </c>
      <c r="P423" s="98">
        <f t="shared" si="84"/>
        <v>2.4180000000000001</v>
      </c>
      <c r="Q423" s="99">
        <f>IFERROR(VLOOKUP(I423,'Raw material list'!$A$3:$F$695,6,0),"")</f>
        <v>3.7999999999999999E-2</v>
      </c>
      <c r="R423" s="100">
        <f t="shared" si="76"/>
        <v>9.1884000000000007E-2</v>
      </c>
      <c r="S423" s="94">
        <f t="shared" si="77"/>
        <v>9.1884000000000011E-3</v>
      </c>
      <c r="T423" s="94">
        <f t="shared" si="78"/>
        <v>0.10107240000000001</v>
      </c>
      <c r="U423" s="93">
        <f t="shared" si="81"/>
        <v>1.0107240000000002E-2</v>
      </c>
      <c r="V423" s="93">
        <f t="shared" si="82"/>
        <v>1.0107240000000002E-3</v>
      </c>
      <c r="W423" s="93">
        <f t="shared" si="83"/>
        <v>1.0107240000000002E-3</v>
      </c>
      <c r="X423" s="93">
        <f t="shared" si="79"/>
        <v>0.11320108800000002</v>
      </c>
      <c r="Y423" s="117"/>
    </row>
    <row r="424" spans="1:25" s="90" customFormat="1">
      <c r="A424" s="95" t="s">
        <v>1506</v>
      </c>
      <c r="B424" s="95" t="s">
        <v>1668</v>
      </c>
      <c r="C424" s="95" t="s">
        <v>1427</v>
      </c>
      <c r="D424" s="101" t="s">
        <v>1511</v>
      </c>
      <c r="E424" s="101" t="s">
        <v>1510</v>
      </c>
      <c r="F424" s="101" t="s">
        <v>1670</v>
      </c>
      <c r="G424" s="101" t="s">
        <v>1447</v>
      </c>
      <c r="H424" s="97" t="str">
        <f>IFERROR(VLOOKUP(I424,'Raw material list'!$A$3:$C$695,3,0),"")</f>
        <v>DRY2-1858</v>
      </c>
      <c r="I424" s="97" t="s">
        <v>42</v>
      </c>
      <c r="J424" s="101" t="s">
        <v>161</v>
      </c>
      <c r="K424" s="101" t="str">
        <f>IFERROR(VLOOKUP(I424,'Raw material list'!$A$3:$E$695,5,0),"")</f>
        <v>Ml</v>
      </c>
      <c r="L424" s="95">
        <v>562.75</v>
      </c>
      <c r="M424" s="98">
        <f t="shared" si="80"/>
        <v>562.75</v>
      </c>
      <c r="N424" s="98">
        <v>100</v>
      </c>
      <c r="O424" s="95">
        <v>10</v>
      </c>
      <c r="P424" s="98">
        <f t="shared" si="84"/>
        <v>56.274999999999999</v>
      </c>
      <c r="Q424" s="99">
        <f>IFERROR(VLOOKUP(I424,'Raw material list'!$A$3:$F$695,6,0),"")</f>
        <v>9.8800000000000016E-3</v>
      </c>
      <c r="R424" s="100">
        <f t="shared" si="76"/>
        <v>0.55599700000000007</v>
      </c>
      <c r="S424" s="94">
        <f t="shared" si="77"/>
        <v>5.5599700000000009E-2</v>
      </c>
      <c r="T424" s="94">
        <f t="shared" si="78"/>
        <v>0.6115967000000001</v>
      </c>
      <c r="U424" s="93">
        <f t="shared" si="81"/>
        <v>6.1159670000000013E-2</v>
      </c>
      <c r="V424" s="93">
        <f t="shared" si="82"/>
        <v>6.1159670000000008E-3</v>
      </c>
      <c r="W424" s="93">
        <f t="shared" si="83"/>
        <v>6.1159670000000008E-3</v>
      </c>
      <c r="X424" s="93">
        <f t="shared" si="79"/>
        <v>0.68498830400000021</v>
      </c>
      <c r="Y424" s="117"/>
    </row>
    <row r="425" spans="1:25" s="90" customFormat="1">
      <c r="A425" s="95" t="s">
        <v>1506</v>
      </c>
      <c r="B425" s="95" t="s">
        <v>1668</v>
      </c>
      <c r="C425" s="95" t="s">
        <v>1427</v>
      </c>
      <c r="D425" s="101" t="s">
        <v>1511</v>
      </c>
      <c r="E425" s="101" t="s">
        <v>1510</v>
      </c>
      <c r="F425" s="101" t="s">
        <v>1670</v>
      </c>
      <c r="G425" s="101" t="s">
        <v>1447</v>
      </c>
      <c r="H425" s="97" t="str">
        <f>IFERROR(VLOOKUP(I425,'Raw material list'!$A$3:$C$695,3,0),"")</f>
        <v>WAT-001</v>
      </c>
      <c r="I425" s="97" t="s">
        <v>1406</v>
      </c>
      <c r="J425" s="101" t="s">
        <v>161</v>
      </c>
      <c r="K425" s="101" t="str">
        <f>IFERROR(VLOOKUP(I425,'Raw material list'!$A$3:$E$695,5,0),"")</f>
        <v>Ml</v>
      </c>
      <c r="L425" s="95">
        <v>360.45</v>
      </c>
      <c r="M425" s="98">
        <f t="shared" si="80"/>
        <v>360.45</v>
      </c>
      <c r="N425" s="98">
        <v>100</v>
      </c>
      <c r="O425" s="95">
        <v>10</v>
      </c>
      <c r="P425" s="98">
        <f t="shared" si="84"/>
        <v>36.045000000000002</v>
      </c>
      <c r="Q425" s="99">
        <f>IFERROR(VLOOKUP(I425,'Raw material list'!$A$3:$F$695,6,0),"")</f>
        <v>8.0000000000000007E-5</v>
      </c>
      <c r="R425" s="100">
        <f t="shared" si="76"/>
        <v>2.8836000000000005E-3</v>
      </c>
      <c r="S425" s="94">
        <f t="shared" si="77"/>
        <v>2.8836000000000004E-4</v>
      </c>
      <c r="T425" s="94">
        <f t="shared" si="78"/>
        <v>3.1719600000000006E-3</v>
      </c>
      <c r="U425" s="93">
        <f t="shared" si="81"/>
        <v>3.1719600000000006E-4</v>
      </c>
      <c r="V425" s="93">
        <f t="shared" si="82"/>
        <v>3.1719600000000007E-5</v>
      </c>
      <c r="W425" s="93">
        <f t="shared" si="83"/>
        <v>3.1719600000000007E-5</v>
      </c>
      <c r="X425" s="93">
        <f t="shared" si="79"/>
        <v>3.5525952000000009E-3</v>
      </c>
      <c r="Y425" s="117"/>
    </row>
    <row r="426" spans="1:25" s="90" customFormat="1">
      <c r="A426" s="95" t="s">
        <v>1506</v>
      </c>
      <c r="B426" s="95" t="s">
        <v>1668</v>
      </c>
      <c r="C426" s="95" t="s">
        <v>1427</v>
      </c>
      <c r="D426" s="101" t="s">
        <v>1511</v>
      </c>
      <c r="E426" s="101" t="s">
        <v>1510</v>
      </c>
      <c r="F426" s="101" t="s">
        <v>1670</v>
      </c>
      <c r="G426" s="101" t="s">
        <v>1447</v>
      </c>
      <c r="H426" s="97" t="str">
        <f>IFERROR(VLOOKUP(I426,'Raw material list'!$A$3:$C$695,3,0),"")</f>
        <v>DRS1-3811</v>
      </c>
      <c r="I426" s="97" t="s">
        <v>36</v>
      </c>
      <c r="J426" s="101" t="s">
        <v>111</v>
      </c>
      <c r="K426" s="101" t="str">
        <f>IFERROR(VLOOKUP(I426,'Raw material list'!$A$3:$E$695,5,0),"")</f>
        <v xml:space="preserve">Gram </v>
      </c>
      <c r="L426" s="95">
        <v>21.76</v>
      </c>
      <c r="M426" s="98">
        <f t="shared" si="80"/>
        <v>21.76</v>
      </c>
      <c r="N426" s="98">
        <v>100</v>
      </c>
      <c r="O426" s="95">
        <v>10</v>
      </c>
      <c r="P426" s="98">
        <f t="shared" si="84"/>
        <v>2.1760000000000002</v>
      </c>
      <c r="Q426" s="99">
        <f>IFERROR(VLOOKUP(I426,'Raw material list'!$A$3:$F$695,6,0),"")</f>
        <v>2.8475E-2</v>
      </c>
      <c r="R426" s="100">
        <f t="shared" ref="R426:R473" si="87">IFERROR(Q426*P426,0)</f>
        <v>6.1961600000000006E-2</v>
      </c>
      <c r="S426" s="94">
        <f t="shared" si="77"/>
        <v>6.1961600000000009E-3</v>
      </c>
      <c r="T426" s="94">
        <f t="shared" si="78"/>
        <v>6.8157760000000012E-2</v>
      </c>
      <c r="U426" s="93">
        <f t="shared" si="81"/>
        <v>6.8157760000000017E-3</v>
      </c>
      <c r="V426" s="93">
        <f t="shared" si="82"/>
        <v>6.8157760000000015E-4</v>
      </c>
      <c r="W426" s="93">
        <f t="shared" si="83"/>
        <v>6.8157760000000015E-4</v>
      </c>
      <c r="X426" s="93">
        <f t="shared" si="79"/>
        <v>7.6336691200000001E-2</v>
      </c>
      <c r="Y426" s="117"/>
    </row>
    <row r="427" spans="1:25" s="90" customFormat="1">
      <c r="A427" s="95" t="s">
        <v>1506</v>
      </c>
      <c r="B427" s="95" t="s">
        <v>1668</v>
      </c>
      <c r="C427" s="95" t="s">
        <v>1427</v>
      </c>
      <c r="D427" s="101" t="s">
        <v>1511</v>
      </c>
      <c r="E427" s="101" t="s">
        <v>1510</v>
      </c>
      <c r="F427" s="101" t="s">
        <v>1670</v>
      </c>
      <c r="G427" s="101" t="s">
        <v>1447</v>
      </c>
      <c r="H427" s="97" t="str">
        <f>IFERROR(VLOOKUP(I427,'Raw material list'!$A$3:$C$695,3,0),"")</f>
        <v>DRS6-5265</v>
      </c>
      <c r="I427" s="97" t="s">
        <v>675</v>
      </c>
      <c r="J427" s="101" t="s">
        <v>111</v>
      </c>
      <c r="K427" s="101" t="str">
        <f>IFERROR(VLOOKUP(I427,'Raw material list'!$A$3:$E$695,5,0),"")</f>
        <v xml:space="preserve">Gram </v>
      </c>
      <c r="L427" s="95">
        <v>1.2</v>
      </c>
      <c r="M427" s="98">
        <f t="shared" si="80"/>
        <v>1.2</v>
      </c>
      <c r="N427" s="98">
        <v>100</v>
      </c>
      <c r="O427" s="95">
        <v>10</v>
      </c>
      <c r="P427" s="98">
        <f t="shared" si="84"/>
        <v>0.12</v>
      </c>
      <c r="Q427" s="99">
        <f>IFERROR(VLOOKUP(I427,'Raw material list'!$A$3:$F$695,6,0),"")</f>
        <v>0.19315673289183219</v>
      </c>
      <c r="R427" s="100">
        <f t="shared" si="87"/>
        <v>2.3178807947019861E-2</v>
      </c>
      <c r="S427" s="94">
        <f t="shared" si="77"/>
        <v>2.3178807947019861E-3</v>
      </c>
      <c r="T427" s="94">
        <f t="shared" si="78"/>
        <v>2.5496688741721847E-2</v>
      </c>
      <c r="U427" s="93">
        <f t="shared" si="81"/>
        <v>2.5496688741721849E-3</v>
      </c>
      <c r="V427" s="93">
        <f t="shared" si="82"/>
        <v>2.5496688741721846E-4</v>
      </c>
      <c r="W427" s="93">
        <f t="shared" si="83"/>
        <v>2.5496688741721846E-4</v>
      </c>
      <c r="X427" s="93">
        <f t="shared" si="79"/>
        <v>2.8556291390728468E-2</v>
      </c>
      <c r="Y427" s="117"/>
    </row>
    <row r="428" spans="1:25" s="90" customFormat="1">
      <c r="A428" s="95" t="s">
        <v>1506</v>
      </c>
      <c r="B428" s="95" t="s">
        <v>1668</v>
      </c>
      <c r="C428" s="95" t="s">
        <v>1427</v>
      </c>
      <c r="D428" s="101" t="s">
        <v>1511</v>
      </c>
      <c r="E428" s="101" t="s">
        <v>1510</v>
      </c>
      <c r="F428" s="101" t="s">
        <v>1670</v>
      </c>
      <c r="G428" s="101" t="s">
        <v>1447</v>
      </c>
      <c r="H428" s="97" t="str">
        <f>IFERROR(VLOOKUP(I428,'Raw material list'!$A$3:$C$695,3,0),"")</f>
        <v>DRS6-1570</v>
      </c>
      <c r="I428" s="97" t="s">
        <v>16</v>
      </c>
      <c r="J428" s="101" t="s">
        <v>111</v>
      </c>
      <c r="K428" s="101" t="str">
        <f>IFERROR(VLOOKUP(I428,'Raw material list'!$A$3:$E$695,5,0),"")</f>
        <v xml:space="preserve">Gram </v>
      </c>
      <c r="L428" s="95">
        <v>1.2</v>
      </c>
      <c r="M428" s="98">
        <f t="shared" si="80"/>
        <v>1.2</v>
      </c>
      <c r="N428" s="98">
        <v>100</v>
      </c>
      <c r="O428" s="95">
        <v>10</v>
      </c>
      <c r="P428" s="98">
        <f t="shared" si="84"/>
        <v>0.12</v>
      </c>
      <c r="Q428" s="99">
        <f>IFERROR(VLOOKUP(I428,'Raw material list'!$A$3:$F$695,6,0),"")</f>
        <v>2.8000000000000001E-2</v>
      </c>
      <c r="R428" s="100">
        <f t="shared" si="87"/>
        <v>3.3600000000000001E-3</v>
      </c>
      <c r="S428" s="94">
        <f t="shared" si="77"/>
        <v>3.3600000000000004E-4</v>
      </c>
      <c r="T428" s="94">
        <f t="shared" si="78"/>
        <v>3.6960000000000001E-3</v>
      </c>
      <c r="U428" s="93">
        <f t="shared" si="81"/>
        <v>3.6960000000000004E-4</v>
      </c>
      <c r="V428" s="93">
        <f t="shared" si="82"/>
        <v>3.6959999999999998E-5</v>
      </c>
      <c r="W428" s="93">
        <f t="shared" si="83"/>
        <v>3.6959999999999998E-5</v>
      </c>
      <c r="X428" s="93">
        <f t="shared" si="79"/>
        <v>4.1395199999999998E-3</v>
      </c>
      <c r="Y428" s="117"/>
    </row>
    <row r="429" spans="1:25" s="90" customFormat="1">
      <c r="A429" s="95" t="s">
        <v>1506</v>
      </c>
      <c r="B429" s="95" t="s">
        <v>1668</v>
      </c>
      <c r="C429" s="95" t="s">
        <v>1427</v>
      </c>
      <c r="D429" s="101" t="s">
        <v>1511</v>
      </c>
      <c r="E429" s="101" t="s">
        <v>1510</v>
      </c>
      <c r="F429" s="101" t="s">
        <v>1670</v>
      </c>
      <c r="G429" s="101" t="s">
        <v>1447</v>
      </c>
      <c r="H429" s="97" t="str">
        <f>IFERROR(VLOOKUP(I429,'Raw material list'!$A$3:$C$695,3,0),"")</f>
        <v>DRS1-3880</v>
      </c>
      <c r="I429" s="97" t="s">
        <v>1398</v>
      </c>
      <c r="J429" s="101" t="s">
        <v>111</v>
      </c>
      <c r="K429" s="101" t="str">
        <f>IFERROR(VLOOKUP(I429,'Raw material list'!$A$3:$E$695,5,0),"")</f>
        <v xml:space="preserve">Gram </v>
      </c>
      <c r="L429" s="95">
        <v>5</v>
      </c>
      <c r="M429" s="98">
        <f t="shared" si="80"/>
        <v>5</v>
      </c>
      <c r="N429" s="98">
        <v>100</v>
      </c>
      <c r="O429" s="95">
        <v>10</v>
      </c>
      <c r="P429" s="98">
        <f t="shared" si="84"/>
        <v>0.5</v>
      </c>
      <c r="Q429" s="99">
        <f>IFERROR(VLOOKUP(I429,'Raw material list'!$A$3:$F$695,6,0),"")</f>
        <v>5.0000000000000001E-4</v>
      </c>
      <c r="R429" s="100">
        <f t="shared" si="87"/>
        <v>2.5000000000000001E-4</v>
      </c>
      <c r="S429" s="94">
        <f t="shared" si="77"/>
        <v>2.5000000000000001E-5</v>
      </c>
      <c r="T429" s="94">
        <f t="shared" si="78"/>
        <v>2.7500000000000002E-4</v>
      </c>
      <c r="U429" s="93">
        <f t="shared" si="81"/>
        <v>2.7500000000000004E-5</v>
      </c>
      <c r="V429" s="93">
        <f t="shared" si="82"/>
        <v>2.7500000000000004E-6</v>
      </c>
      <c r="W429" s="93">
        <f t="shared" si="83"/>
        <v>2.7500000000000004E-6</v>
      </c>
      <c r="X429" s="93">
        <f t="shared" si="79"/>
        <v>3.0800000000000001E-4</v>
      </c>
      <c r="Y429" s="117"/>
    </row>
    <row r="430" spans="1:25" s="90" customFormat="1">
      <c r="A430" s="95" t="s">
        <v>1506</v>
      </c>
      <c r="B430" s="95" t="s">
        <v>1668</v>
      </c>
      <c r="C430" s="95" t="s">
        <v>1427</v>
      </c>
      <c r="D430" s="101" t="s">
        <v>1511</v>
      </c>
      <c r="E430" s="101" t="s">
        <v>1510</v>
      </c>
      <c r="F430" s="101" t="s">
        <v>1670</v>
      </c>
      <c r="G430" s="101" t="s">
        <v>1446</v>
      </c>
      <c r="H430" s="97" t="str">
        <f>IFERROR(VLOOKUP(I430,'Raw material list'!$A$3:$C$695,3,0),"")</f>
        <v>DRY2-1008</v>
      </c>
      <c r="I430" s="97" t="s">
        <v>21</v>
      </c>
      <c r="J430" s="101" t="s">
        <v>111</v>
      </c>
      <c r="K430" s="101" t="str">
        <f>IFERROR(VLOOKUP(I430,'Raw material list'!$A$3:$E$695,5,0),"")</f>
        <v xml:space="preserve">Gram </v>
      </c>
      <c r="L430" s="95">
        <v>30</v>
      </c>
      <c r="M430" s="98">
        <f t="shared" si="80"/>
        <v>30</v>
      </c>
      <c r="N430" s="98">
        <v>100</v>
      </c>
      <c r="O430" s="95">
        <v>10</v>
      </c>
      <c r="P430" s="98">
        <f t="shared" si="84"/>
        <v>3</v>
      </c>
      <c r="Q430" s="99">
        <f>IFERROR(VLOOKUP(I430,'Raw material list'!$A$3:$F$695,6,0),"")</f>
        <v>3.7999999999999999E-2</v>
      </c>
      <c r="R430" s="100">
        <f t="shared" si="87"/>
        <v>0.11399999999999999</v>
      </c>
      <c r="S430" s="94">
        <f t="shared" si="77"/>
        <v>1.14E-2</v>
      </c>
      <c r="T430" s="94">
        <f t="shared" si="78"/>
        <v>0.12539999999999998</v>
      </c>
      <c r="U430" s="93">
        <f t="shared" si="81"/>
        <v>1.2539999999999999E-2</v>
      </c>
      <c r="V430" s="93">
        <f t="shared" si="82"/>
        <v>1.2539999999999999E-3</v>
      </c>
      <c r="W430" s="93">
        <f t="shared" si="83"/>
        <v>1.2539999999999999E-3</v>
      </c>
      <c r="X430" s="93">
        <f t="shared" si="79"/>
        <v>0.14044799999999999</v>
      </c>
      <c r="Y430" s="117"/>
    </row>
    <row r="431" spans="1:25" s="90" customFormat="1">
      <c r="A431" s="95" t="s">
        <v>1506</v>
      </c>
      <c r="B431" s="95" t="s">
        <v>1668</v>
      </c>
      <c r="C431" s="95" t="s">
        <v>1427</v>
      </c>
      <c r="D431" s="101" t="s">
        <v>1511</v>
      </c>
      <c r="E431" s="101" t="s">
        <v>1510</v>
      </c>
      <c r="F431" s="101" t="s">
        <v>1670</v>
      </c>
      <c r="G431" s="101" t="s">
        <v>1446</v>
      </c>
      <c r="H431" s="97" t="str">
        <f>IFERROR(VLOOKUP(I431,'Raw material list'!$A$3:$C$695,3,0),"")</f>
        <v>DRS6-1727</v>
      </c>
      <c r="I431" s="97" t="s">
        <v>41</v>
      </c>
      <c r="J431" s="101" t="s">
        <v>111</v>
      </c>
      <c r="K431" s="101" t="str">
        <f>IFERROR(VLOOKUP(I431,'Raw material list'!$A$3:$E$695,5,0),"")</f>
        <v xml:space="preserve">Gram </v>
      </c>
      <c r="L431" s="95">
        <v>3</v>
      </c>
      <c r="M431" s="98">
        <f t="shared" si="80"/>
        <v>3</v>
      </c>
      <c r="N431" s="98">
        <v>100</v>
      </c>
      <c r="O431" s="95">
        <v>10</v>
      </c>
      <c r="P431" s="98">
        <f t="shared" si="84"/>
        <v>0.3</v>
      </c>
      <c r="Q431" s="99">
        <f>IFERROR(VLOOKUP(I431,'Raw material list'!$A$3:$F$695,6,0),"")</f>
        <v>2.5000000000000001E-2</v>
      </c>
      <c r="R431" s="100">
        <f t="shared" si="87"/>
        <v>7.4999999999999997E-3</v>
      </c>
      <c r="S431" s="94">
        <f t="shared" si="77"/>
        <v>7.5000000000000002E-4</v>
      </c>
      <c r="T431" s="94">
        <f t="shared" si="78"/>
        <v>8.2500000000000004E-3</v>
      </c>
      <c r="U431" s="93">
        <f t="shared" si="81"/>
        <v>8.250000000000001E-4</v>
      </c>
      <c r="V431" s="93">
        <f t="shared" si="82"/>
        <v>8.25E-5</v>
      </c>
      <c r="W431" s="93">
        <f t="shared" si="83"/>
        <v>8.25E-5</v>
      </c>
      <c r="X431" s="93">
        <f t="shared" si="79"/>
        <v>9.2399999999999982E-3</v>
      </c>
      <c r="Y431" s="117"/>
    </row>
    <row r="432" spans="1:25" s="90" customFormat="1">
      <c r="A432" s="95" t="s">
        <v>1506</v>
      </c>
      <c r="B432" s="95" t="s">
        <v>1668</v>
      </c>
      <c r="C432" s="95" t="s">
        <v>1427</v>
      </c>
      <c r="D432" s="101" t="s">
        <v>1511</v>
      </c>
      <c r="E432" s="101" t="s">
        <v>1510</v>
      </c>
      <c r="F432" s="101" t="s">
        <v>1670</v>
      </c>
      <c r="G432" s="101" t="s">
        <v>1433</v>
      </c>
      <c r="H432" s="97" t="str">
        <f>IFERROR(VLOOKUP(I432,'Raw material list'!$A$3:$C$695,3,0),"")</f>
        <v>DRS4-498</v>
      </c>
      <c r="I432" s="97" t="s">
        <v>62</v>
      </c>
      <c r="J432" s="101" t="s">
        <v>111</v>
      </c>
      <c r="K432" s="101" t="str">
        <f>IFERROR(VLOOKUP(I432,'Raw material list'!$A$3:$E$695,5,0),"")</f>
        <v xml:space="preserve">Gram </v>
      </c>
      <c r="L432" s="95">
        <v>600</v>
      </c>
      <c r="M432" s="98">
        <f t="shared" si="80"/>
        <v>600</v>
      </c>
      <c r="N432" s="98">
        <v>100</v>
      </c>
      <c r="O432" s="95">
        <v>10</v>
      </c>
      <c r="P432" s="98">
        <f t="shared" si="84"/>
        <v>60</v>
      </c>
      <c r="Q432" s="99">
        <f>IFERROR(VLOOKUP(I432,'Raw material list'!$A$3:$F$695,6,0),"")</f>
        <v>5.7499999999999999E-3</v>
      </c>
      <c r="R432" s="100">
        <f t="shared" si="87"/>
        <v>0.34499999999999997</v>
      </c>
      <c r="S432" s="94">
        <f t="shared" si="77"/>
        <v>3.4499999999999996E-2</v>
      </c>
      <c r="T432" s="94">
        <f t="shared" si="78"/>
        <v>0.37949999999999995</v>
      </c>
      <c r="U432" s="93">
        <f t="shared" si="81"/>
        <v>3.7949999999999998E-2</v>
      </c>
      <c r="V432" s="93">
        <f t="shared" si="82"/>
        <v>3.7949999999999998E-3</v>
      </c>
      <c r="W432" s="93">
        <f t="shared" si="83"/>
        <v>3.7949999999999998E-3</v>
      </c>
      <c r="X432" s="93">
        <f t="shared" si="79"/>
        <v>0.42503999999999992</v>
      </c>
      <c r="Y432" s="117"/>
    </row>
    <row r="433" spans="1:25" s="90" customFormat="1">
      <c r="A433" s="95" t="s">
        <v>1506</v>
      </c>
      <c r="B433" s="95" t="s">
        <v>1668</v>
      </c>
      <c r="C433" s="95" t="s">
        <v>1427</v>
      </c>
      <c r="D433" s="101" t="s">
        <v>1511</v>
      </c>
      <c r="E433" s="101" t="s">
        <v>1510</v>
      </c>
      <c r="F433" s="101" t="s">
        <v>1670</v>
      </c>
      <c r="G433" s="101" t="s">
        <v>1433</v>
      </c>
      <c r="H433" s="97" t="str">
        <f>IFERROR(VLOOKUP(I433,'Raw material list'!$A$3:$C$695,3,0),"")</f>
        <v>WAT-001</v>
      </c>
      <c r="I433" s="97" t="s">
        <v>1406</v>
      </c>
      <c r="J433" s="101" t="s">
        <v>161</v>
      </c>
      <c r="K433" s="101" t="str">
        <f>IFERROR(VLOOKUP(I433,'Raw material list'!$A$3:$E$695,5,0),"")</f>
        <v>Ml</v>
      </c>
      <c r="L433" s="95">
        <v>1100</v>
      </c>
      <c r="M433" s="98">
        <f t="shared" si="80"/>
        <v>1100</v>
      </c>
      <c r="N433" s="98">
        <v>100</v>
      </c>
      <c r="O433" s="95">
        <v>10</v>
      </c>
      <c r="P433" s="98">
        <f t="shared" si="84"/>
        <v>110</v>
      </c>
      <c r="Q433" s="99">
        <f>IFERROR(VLOOKUP(I433,'Raw material list'!$A$3:$F$695,6,0),"")</f>
        <v>8.0000000000000007E-5</v>
      </c>
      <c r="R433" s="100">
        <f t="shared" si="87"/>
        <v>8.8000000000000005E-3</v>
      </c>
      <c r="S433" s="94">
        <f t="shared" si="77"/>
        <v>8.8000000000000014E-4</v>
      </c>
      <c r="T433" s="94">
        <f t="shared" si="78"/>
        <v>9.6800000000000011E-3</v>
      </c>
      <c r="U433" s="93">
        <f t="shared" si="81"/>
        <v>9.6800000000000011E-4</v>
      </c>
      <c r="V433" s="93">
        <f t="shared" si="82"/>
        <v>9.6800000000000008E-5</v>
      </c>
      <c r="W433" s="93">
        <f t="shared" si="83"/>
        <v>9.6800000000000008E-5</v>
      </c>
      <c r="X433" s="93">
        <f t="shared" si="79"/>
        <v>1.08416E-2</v>
      </c>
      <c r="Y433" s="117"/>
    </row>
    <row r="434" spans="1:25" s="90" customFormat="1">
      <c r="A434" s="95" t="s">
        <v>1506</v>
      </c>
      <c r="B434" s="95" t="s">
        <v>1668</v>
      </c>
      <c r="C434" s="95" t="s">
        <v>1427</v>
      </c>
      <c r="D434" s="101" t="s">
        <v>1511</v>
      </c>
      <c r="E434" s="101" t="s">
        <v>1510</v>
      </c>
      <c r="F434" s="101" t="s">
        <v>1670</v>
      </c>
      <c r="G434" s="101" t="s">
        <v>1433</v>
      </c>
      <c r="H434" s="97" t="str">
        <f>IFERROR(VLOOKUP(I434,'Raw material list'!$A$3:$C$695,3,0),"")</f>
        <v>DRS1-3880</v>
      </c>
      <c r="I434" s="97" t="s">
        <v>1398</v>
      </c>
      <c r="J434" s="101" t="s">
        <v>111</v>
      </c>
      <c r="K434" s="101" t="str">
        <f>IFERROR(VLOOKUP(I434,'Raw material list'!$A$3:$E$695,5,0),"")</f>
        <v xml:space="preserve">Gram </v>
      </c>
      <c r="L434" s="95">
        <v>14</v>
      </c>
      <c r="M434" s="98">
        <f t="shared" si="80"/>
        <v>14.000000000000002</v>
      </c>
      <c r="N434" s="98">
        <v>100</v>
      </c>
      <c r="O434" s="95">
        <v>10</v>
      </c>
      <c r="P434" s="98">
        <f t="shared" si="84"/>
        <v>1.4</v>
      </c>
      <c r="Q434" s="99">
        <f>IFERROR(VLOOKUP(I434,'Raw material list'!$A$3:$F$695,6,0),"")</f>
        <v>5.0000000000000001E-4</v>
      </c>
      <c r="R434" s="100">
        <f t="shared" si="87"/>
        <v>6.9999999999999999E-4</v>
      </c>
      <c r="S434" s="94">
        <f t="shared" si="77"/>
        <v>7.0000000000000007E-5</v>
      </c>
      <c r="T434" s="94">
        <f t="shared" si="78"/>
        <v>7.6999999999999996E-4</v>
      </c>
      <c r="U434" s="93">
        <f t="shared" si="81"/>
        <v>7.7000000000000001E-5</v>
      </c>
      <c r="V434" s="93">
        <f t="shared" si="82"/>
        <v>7.6999999999999991E-6</v>
      </c>
      <c r="W434" s="93">
        <f t="shared" si="83"/>
        <v>7.6999999999999991E-6</v>
      </c>
      <c r="X434" s="93">
        <f t="shared" si="79"/>
        <v>8.6240000000000004E-4</v>
      </c>
      <c r="Y434" s="117"/>
    </row>
    <row r="435" spans="1:25" s="90" customFormat="1">
      <c r="A435" s="95" t="s">
        <v>1506</v>
      </c>
      <c r="B435" s="95" t="s">
        <v>1668</v>
      </c>
      <c r="C435" s="95" t="s">
        <v>1427</v>
      </c>
      <c r="D435" s="101" t="s">
        <v>1511</v>
      </c>
      <c r="E435" s="101" t="s">
        <v>1510</v>
      </c>
      <c r="F435" s="101" t="s">
        <v>1670</v>
      </c>
      <c r="G435" s="101" t="s">
        <v>1433</v>
      </c>
      <c r="H435" s="97" t="str">
        <f>IFERROR(VLOOKUP(I435,'Raw material list'!$A$3:$C$695,3,0),"")</f>
        <v>DRS6-309</v>
      </c>
      <c r="I435" s="97" t="s">
        <v>35</v>
      </c>
      <c r="J435" s="101" t="s">
        <v>111</v>
      </c>
      <c r="K435" s="101" t="str">
        <f>IFERROR(VLOOKUP(I435,'Raw material list'!$A$3:$E$695,5,0),"")</f>
        <v xml:space="preserve">Gram </v>
      </c>
      <c r="L435" s="95">
        <v>1</v>
      </c>
      <c r="M435" s="98">
        <f t="shared" si="80"/>
        <v>1</v>
      </c>
      <c r="N435" s="98">
        <v>100</v>
      </c>
      <c r="O435" s="95">
        <v>10</v>
      </c>
      <c r="P435" s="98">
        <f t="shared" si="84"/>
        <v>0.1</v>
      </c>
      <c r="Q435" s="99">
        <f>IFERROR(VLOOKUP(I435,'Raw material list'!$A$3:$F$695,6,0),"")</f>
        <v>2.8000000000000001E-2</v>
      </c>
      <c r="R435" s="100">
        <f t="shared" si="87"/>
        <v>2.8000000000000004E-3</v>
      </c>
      <c r="S435" s="94">
        <f t="shared" ref="S435:S473" si="88">R435*10%</f>
        <v>2.8000000000000003E-4</v>
      </c>
      <c r="T435" s="94">
        <f t="shared" ref="T435:T473" si="89">R435+S435</f>
        <v>3.0800000000000003E-3</v>
      </c>
      <c r="U435" s="93">
        <f t="shared" si="81"/>
        <v>3.0800000000000006E-4</v>
      </c>
      <c r="V435" s="93">
        <f t="shared" si="82"/>
        <v>3.0800000000000003E-5</v>
      </c>
      <c r="W435" s="93">
        <f t="shared" si="83"/>
        <v>3.0800000000000003E-5</v>
      </c>
      <c r="X435" s="93">
        <f t="shared" si="79"/>
        <v>3.4496000000000006E-3</v>
      </c>
      <c r="Y435" s="117"/>
    </row>
    <row r="436" spans="1:25" s="90" customFormat="1">
      <c r="A436" s="95" t="s">
        <v>1506</v>
      </c>
      <c r="B436" s="95" t="s">
        <v>1668</v>
      </c>
      <c r="C436" s="95" t="s">
        <v>1427</v>
      </c>
      <c r="D436" s="101" t="s">
        <v>1511</v>
      </c>
      <c r="E436" s="101" t="s">
        <v>1510</v>
      </c>
      <c r="F436" s="101" t="s">
        <v>1670</v>
      </c>
      <c r="G436" s="101" t="s">
        <v>1433</v>
      </c>
      <c r="H436" s="97" t="str">
        <f>IFERROR(VLOOKUP(I436,'Raw material list'!$A$3:$C$695,3,0),"")</f>
        <v>DRS6-3593</v>
      </c>
      <c r="I436" s="97" t="s">
        <v>1417</v>
      </c>
      <c r="J436" s="101" t="s">
        <v>111</v>
      </c>
      <c r="K436" s="101" t="str">
        <f>IFERROR(VLOOKUP(I436,'Raw material list'!$A$3:$E$695,5,0),"")</f>
        <v xml:space="preserve">Gram </v>
      </c>
      <c r="L436" s="95">
        <v>1</v>
      </c>
      <c r="M436" s="98">
        <f t="shared" si="80"/>
        <v>1</v>
      </c>
      <c r="N436" s="98">
        <v>100</v>
      </c>
      <c r="O436" s="95">
        <v>10</v>
      </c>
      <c r="P436" s="98">
        <f t="shared" si="84"/>
        <v>0.1</v>
      </c>
      <c r="Q436" s="99">
        <f>IFERROR(VLOOKUP(I436,'Raw material list'!$A$3:$F$695,6,0),"")</f>
        <v>1.0500000000000001E-2</v>
      </c>
      <c r="R436" s="100">
        <f t="shared" si="87"/>
        <v>1.0500000000000002E-3</v>
      </c>
      <c r="S436" s="94">
        <f t="shared" si="88"/>
        <v>1.0500000000000002E-4</v>
      </c>
      <c r="T436" s="94">
        <f t="shared" si="89"/>
        <v>1.1550000000000002E-3</v>
      </c>
      <c r="U436" s="93">
        <f t="shared" si="81"/>
        <v>1.1550000000000003E-4</v>
      </c>
      <c r="V436" s="93">
        <f t="shared" si="82"/>
        <v>1.1550000000000003E-5</v>
      </c>
      <c r="W436" s="93">
        <f t="shared" si="83"/>
        <v>1.1550000000000003E-5</v>
      </c>
      <c r="X436" s="93">
        <f t="shared" si="79"/>
        <v>1.2936E-3</v>
      </c>
      <c r="Y436" s="117"/>
    </row>
    <row r="437" spans="1:25" s="90" customFormat="1">
      <c r="A437" s="95" t="s">
        <v>1506</v>
      </c>
      <c r="B437" s="95" t="s">
        <v>1668</v>
      </c>
      <c r="C437" s="95" t="s">
        <v>1427</v>
      </c>
      <c r="D437" s="101" t="s">
        <v>1511</v>
      </c>
      <c r="E437" s="101" t="s">
        <v>1510</v>
      </c>
      <c r="F437" s="101" t="s">
        <v>1670</v>
      </c>
      <c r="G437" s="101" t="s">
        <v>1433</v>
      </c>
      <c r="H437" s="97" t="str">
        <f>IFERROR(VLOOKUP(I437,'Raw material list'!$A$3:$C$695,3,0),"")</f>
        <v>DRS3-1813</v>
      </c>
      <c r="I437" s="97" t="s">
        <v>39</v>
      </c>
      <c r="J437" s="101" t="s">
        <v>161</v>
      </c>
      <c r="K437" s="101" t="str">
        <f>IFERROR(VLOOKUP(I437,'Raw material list'!$A$3:$E$695,5,0),"")</f>
        <v>Ml</v>
      </c>
      <c r="L437" s="95">
        <v>30</v>
      </c>
      <c r="M437" s="98">
        <f t="shared" si="80"/>
        <v>30</v>
      </c>
      <c r="N437" s="98">
        <v>100</v>
      </c>
      <c r="O437" s="95">
        <v>10</v>
      </c>
      <c r="P437" s="98">
        <f t="shared" si="84"/>
        <v>3</v>
      </c>
      <c r="Q437" s="99">
        <f>IFERROR(VLOOKUP(I437,'Raw material list'!$A$3:$F$695,6,0),"")</f>
        <v>8.0555555555555554E-3</v>
      </c>
      <c r="R437" s="100">
        <f t="shared" si="87"/>
        <v>2.4166666666666666E-2</v>
      </c>
      <c r="S437" s="94">
        <f t="shared" si="88"/>
        <v>2.4166666666666668E-3</v>
      </c>
      <c r="T437" s="94">
        <f t="shared" si="89"/>
        <v>2.6583333333333334E-2</v>
      </c>
      <c r="U437" s="93">
        <f t="shared" si="81"/>
        <v>2.6583333333333337E-3</v>
      </c>
      <c r="V437" s="93">
        <f t="shared" si="82"/>
        <v>2.6583333333333336E-4</v>
      </c>
      <c r="W437" s="93">
        <f t="shared" si="83"/>
        <v>2.6583333333333336E-4</v>
      </c>
      <c r="X437" s="93">
        <f t="shared" si="79"/>
        <v>2.9773333333333332E-2</v>
      </c>
      <c r="Y437" s="117"/>
    </row>
    <row r="438" spans="1:25" s="90" customFormat="1">
      <c r="A438" s="95" t="s">
        <v>1506</v>
      </c>
      <c r="B438" s="95" t="s">
        <v>1668</v>
      </c>
      <c r="C438" s="95" t="s">
        <v>1427</v>
      </c>
      <c r="D438" s="101" t="s">
        <v>1511</v>
      </c>
      <c r="E438" s="101" t="s">
        <v>1510</v>
      </c>
      <c r="F438" s="101" t="s">
        <v>1670</v>
      </c>
      <c r="G438" s="101" t="s">
        <v>1433</v>
      </c>
      <c r="H438" s="97" t="str">
        <f>IFERROR(VLOOKUP(I438,'Raw material list'!$A$3:$C$695,3,0),"")</f>
        <v>DRS6-539</v>
      </c>
      <c r="I438" s="97" t="s">
        <v>717</v>
      </c>
      <c r="J438" s="101" t="s">
        <v>111</v>
      </c>
      <c r="K438" s="101" t="str">
        <f>IFERROR(VLOOKUP(I438,'Raw material list'!$A$3:$E$695,5,0),"")</f>
        <v xml:space="preserve">Gram </v>
      </c>
      <c r="L438" s="95">
        <v>2</v>
      </c>
      <c r="M438" s="98">
        <f t="shared" si="80"/>
        <v>2</v>
      </c>
      <c r="N438" s="98">
        <v>100</v>
      </c>
      <c r="O438" s="95">
        <v>10</v>
      </c>
      <c r="P438" s="98">
        <f t="shared" si="84"/>
        <v>0.2</v>
      </c>
      <c r="Q438" s="99">
        <f>IFERROR(VLOOKUP(I438,'Raw material list'!$A$3:$F$695,6,0),"")</f>
        <v>0.16</v>
      </c>
      <c r="R438" s="100">
        <f t="shared" si="87"/>
        <v>3.2000000000000001E-2</v>
      </c>
      <c r="S438" s="94">
        <f t="shared" si="88"/>
        <v>3.2000000000000002E-3</v>
      </c>
      <c r="T438" s="94">
        <f t="shared" si="89"/>
        <v>3.5200000000000002E-2</v>
      </c>
      <c r="U438" s="93">
        <f t="shared" si="81"/>
        <v>3.5200000000000006E-3</v>
      </c>
      <c r="V438" s="93">
        <f t="shared" si="82"/>
        <v>3.5200000000000005E-4</v>
      </c>
      <c r="W438" s="93">
        <f t="shared" si="83"/>
        <v>3.5200000000000005E-4</v>
      </c>
      <c r="X438" s="93">
        <f t="shared" si="79"/>
        <v>3.9424000000000001E-2</v>
      </c>
      <c r="Y438" s="117"/>
    </row>
    <row r="439" spans="1:25" s="90" customFormat="1">
      <c r="A439" s="95" t="s">
        <v>1506</v>
      </c>
      <c r="B439" s="95" t="s">
        <v>1668</v>
      </c>
      <c r="C439" s="95" t="s">
        <v>1427</v>
      </c>
      <c r="D439" s="101" t="s">
        <v>1511</v>
      </c>
      <c r="E439" s="101" t="s">
        <v>1510</v>
      </c>
      <c r="F439" s="101" t="s">
        <v>1670</v>
      </c>
      <c r="G439" s="101" t="s">
        <v>1433</v>
      </c>
      <c r="H439" s="97" t="str">
        <f>IFERROR(VLOOKUP(I439,'Raw material list'!$A$3:$C$695,3,0),"")</f>
        <v>DRS6-261</v>
      </c>
      <c r="I439" s="97" t="s">
        <v>1565</v>
      </c>
      <c r="J439" s="101" t="s">
        <v>111</v>
      </c>
      <c r="K439" s="101" t="str">
        <f>IFERROR(VLOOKUP(I439,'Raw material list'!$A$3:$E$695,5,0),"")</f>
        <v xml:space="preserve">Gram </v>
      </c>
      <c r="L439" s="95">
        <v>0.3</v>
      </c>
      <c r="M439" s="98">
        <f t="shared" si="80"/>
        <v>0.3</v>
      </c>
      <c r="N439" s="98">
        <v>100</v>
      </c>
      <c r="O439" s="95">
        <v>10</v>
      </c>
      <c r="P439" s="98">
        <f t="shared" si="84"/>
        <v>0.03</v>
      </c>
      <c r="Q439" s="99">
        <f>IFERROR(VLOOKUP(I439,'Raw material list'!$A$3:$F$695,6,0),"")</f>
        <v>1.4E-2</v>
      </c>
      <c r="R439" s="100">
        <f t="shared" si="87"/>
        <v>4.2000000000000002E-4</v>
      </c>
      <c r="S439" s="94">
        <f t="shared" si="88"/>
        <v>4.2000000000000004E-5</v>
      </c>
      <c r="T439" s="94">
        <f t="shared" si="89"/>
        <v>4.6200000000000001E-4</v>
      </c>
      <c r="U439" s="93">
        <f t="shared" si="81"/>
        <v>4.6200000000000005E-5</v>
      </c>
      <c r="V439" s="93">
        <f t="shared" si="82"/>
        <v>4.6199999999999998E-6</v>
      </c>
      <c r="W439" s="93">
        <f t="shared" si="83"/>
        <v>4.6199999999999998E-6</v>
      </c>
      <c r="X439" s="93">
        <f t="shared" si="79"/>
        <v>5.1743999999999998E-4</v>
      </c>
      <c r="Y439" s="117"/>
    </row>
    <row r="440" spans="1:25" s="90" customFormat="1">
      <c r="A440" s="95" t="s">
        <v>1507</v>
      </c>
      <c r="B440" s="95" t="s">
        <v>1668</v>
      </c>
      <c r="C440" s="95" t="s">
        <v>1427</v>
      </c>
      <c r="D440" s="101" t="s">
        <v>1512</v>
      </c>
      <c r="E440" s="101" t="s">
        <v>1510</v>
      </c>
      <c r="F440" s="101" t="s">
        <v>1671</v>
      </c>
      <c r="G440" s="101" t="s">
        <v>1591</v>
      </c>
      <c r="H440" s="97" t="str">
        <f>IFERROR(VLOOKUP(I440,'Raw material list'!$A$3:$C$695,3,0),"")</f>
        <v>PLT2-3278</v>
      </c>
      <c r="I440" s="97" t="s">
        <v>61</v>
      </c>
      <c r="J440" s="101" t="s">
        <v>111</v>
      </c>
      <c r="K440" s="101" t="str">
        <f>IFERROR(VLOOKUP(I440,'Raw material list'!$A$3:$E$695,5,0),"")</f>
        <v xml:space="preserve">Gram </v>
      </c>
      <c r="L440" s="95">
        <v>1200</v>
      </c>
      <c r="M440" s="98">
        <f t="shared" si="80"/>
        <v>1574.803149606299</v>
      </c>
      <c r="N440" s="98">
        <v>76.2</v>
      </c>
      <c r="O440" s="95">
        <v>10</v>
      </c>
      <c r="P440" s="98">
        <f t="shared" si="84"/>
        <v>120</v>
      </c>
      <c r="Q440" s="99">
        <f>IFERROR(VLOOKUP(I440,'Raw material list'!$A$3:$F$695,6,0),"")</f>
        <v>3.035714285714285E-2</v>
      </c>
      <c r="R440" s="100">
        <f t="shared" si="87"/>
        <v>3.6428571428571419</v>
      </c>
      <c r="S440" s="94">
        <f t="shared" si="88"/>
        <v>0.36428571428571421</v>
      </c>
      <c r="T440" s="94">
        <f t="shared" si="89"/>
        <v>4.0071428571428562</v>
      </c>
      <c r="U440" s="93">
        <f t="shared" si="81"/>
        <v>0.40071428571428563</v>
      </c>
      <c r="V440" s="93">
        <f t="shared" si="82"/>
        <v>4.0071428571428563E-2</v>
      </c>
      <c r="W440" s="93">
        <f t="shared" si="83"/>
        <v>4.0071428571428563E-2</v>
      </c>
      <c r="X440" s="93">
        <f t="shared" si="79"/>
        <v>4.4879999999999987</v>
      </c>
      <c r="Y440" s="117" t="s">
        <v>1674</v>
      </c>
    </row>
    <row r="441" spans="1:25" s="90" customFormat="1">
      <c r="A441" s="95" t="s">
        <v>1507</v>
      </c>
      <c r="B441" s="95" t="s">
        <v>1668</v>
      </c>
      <c r="C441" s="95" t="s">
        <v>1427</v>
      </c>
      <c r="D441" s="101" t="s">
        <v>1512</v>
      </c>
      <c r="E441" s="101" t="s">
        <v>1510</v>
      </c>
      <c r="F441" s="101" t="s">
        <v>1670</v>
      </c>
      <c r="G441" s="101"/>
      <c r="H441" s="97" t="str">
        <f>IFERROR(VLOOKUP(I441,'Raw material list'!$A$3:$C$695,3,0),"")</f>
        <v>DRS2-4321</v>
      </c>
      <c r="I441" s="97" t="s">
        <v>526</v>
      </c>
      <c r="J441" s="101" t="s">
        <v>111</v>
      </c>
      <c r="K441" s="101" t="str">
        <f>IFERROR(VLOOKUP(I441,'Raw material list'!$A$3:$E$695,5,0),"")</f>
        <v xml:space="preserve">Gram </v>
      </c>
      <c r="L441" s="95">
        <v>700</v>
      </c>
      <c r="M441" s="98">
        <f t="shared" si="80"/>
        <v>700</v>
      </c>
      <c r="N441" s="98">
        <v>100</v>
      </c>
      <c r="O441" s="95">
        <v>10</v>
      </c>
      <c r="P441" s="98">
        <f t="shared" si="84"/>
        <v>70</v>
      </c>
      <c r="Q441" s="99">
        <f>IFERROR(VLOOKUP(I441,'Raw material list'!$A$3:$F$695,6,0),"")</f>
        <v>8.0299999999999989E-3</v>
      </c>
      <c r="R441" s="100">
        <f t="shared" si="87"/>
        <v>0.56209999999999993</v>
      </c>
      <c r="S441" s="94">
        <f t="shared" si="88"/>
        <v>5.6209999999999996E-2</v>
      </c>
      <c r="T441" s="94">
        <f t="shared" si="89"/>
        <v>0.61830999999999992</v>
      </c>
      <c r="U441" s="93">
        <f t="shared" si="81"/>
        <v>6.1830999999999997E-2</v>
      </c>
      <c r="V441" s="93">
        <f t="shared" si="82"/>
        <v>6.1830999999999995E-3</v>
      </c>
      <c r="W441" s="93">
        <f t="shared" si="83"/>
        <v>6.1830999999999995E-3</v>
      </c>
      <c r="X441" s="93">
        <f t="shared" si="79"/>
        <v>0.69250719999999988</v>
      </c>
      <c r="Y441" s="117"/>
    </row>
    <row r="442" spans="1:25" s="90" customFormat="1">
      <c r="A442" s="95" t="s">
        <v>1507</v>
      </c>
      <c r="B442" s="95" t="s">
        <v>1668</v>
      </c>
      <c r="C442" s="95" t="s">
        <v>1427</v>
      </c>
      <c r="D442" s="101" t="s">
        <v>1512</v>
      </c>
      <c r="E442" s="101" t="s">
        <v>1510</v>
      </c>
      <c r="F442" s="95" t="s">
        <v>1671</v>
      </c>
      <c r="G442" s="101" t="s">
        <v>1591</v>
      </c>
      <c r="H442" s="97" t="str">
        <f>IFERROR(VLOOKUP(I442,'Raw material list'!$A$3:$C$695,3,0),"")</f>
        <v>DRS6-1727</v>
      </c>
      <c r="I442" s="97" t="s">
        <v>41</v>
      </c>
      <c r="J442" s="101" t="s">
        <v>111</v>
      </c>
      <c r="K442" s="101" t="str">
        <f>IFERROR(VLOOKUP(I442,'Raw material list'!$A$3:$E$695,5,0),"")</f>
        <v xml:space="preserve">Gram </v>
      </c>
      <c r="L442" s="95">
        <v>12</v>
      </c>
      <c r="M442" s="98">
        <f t="shared" si="80"/>
        <v>12</v>
      </c>
      <c r="N442" s="98">
        <v>100</v>
      </c>
      <c r="O442" s="95">
        <v>10</v>
      </c>
      <c r="P442" s="98">
        <f t="shared" ref="P442:P445" si="90">IFERROR(L442/O442,0)</f>
        <v>1.2</v>
      </c>
      <c r="Q442" s="99">
        <f>IFERROR(VLOOKUP(I442,'Raw material list'!$A$3:$F$695,6,0),"")</f>
        <v>2.5000000000000001E-2</v>
      </c>
      <c r="R442" s="100">
        <f t="shared" ref="R442:R445" si="91">IFERROR(Q442*P442,0)</f>
        <v>0.03</v>
      </c>
      <c r="S442" s="94">
        <f t="shared" si="88"/>
        <v>3.0000000000000001E-3</v>
      </c>
      <c r="T442" s="94">
        <f t="shared" si="89"/>
        <v>3.3000000000000002E-2</v>
      </c>
      <c r="U442" s="93">
        <f t="shared" si="81"/>
        <v>3.3000000000000004E-3</v>
      </c>
      <c r="V442" s="93">
        <f t="shared" si="82"/>
        <v>3.3E-4</v>
      </c>
      <c r="W442" s="93">
        <f t="shared" si="83"/>
        <v>3.3E-4</v>
      </c>
      <c r="X442" s="93">
        <f t="shared" si="79"/>
        <v>3.6959999999999993E-2</v>
      </c>
      <c r="Y442" s="117"/>
    </row>
    <row r="443" spans="1:25" s="90" customFormat="1">
      <c r="A443" s="95" t="s">
        <v>1507</v>
      </c>
      <c r="B443" s="95" t="s">
        <v>1668</v>
      </c>
      <c r="C443" s="95" t="s">
        <v>1427</v>
      </c>
      <c r="D443" s="101" t="s">
        <v>1512</v>
      </c>
      <c r="E443" s="101" t="s">
        <v>1510</v>
      </c>
      <c r="F443" s="95" t="s">
        <v>1671</v>
      </c>
      <c r="G443" s="101" t="s">
        <v>1591</v>
      </c>
      <c r="H443" s="97" t="str">
        <f>IFERROR(VLOOKUP(I443,'Raw material list'!$A$3:$C$695,3,0),"")</f>
        <v>DRS6-5088</v>
      </c>
      <c r="I443" s="97" t="s">
        <v>668</v>
      </c>
      <c r="J443" s="101" t="s">
        <v>111</v>
      </c>
      <c r="K443" s="101" t="str">
        <f>IFERROR(VLOOKUP(I443,'Raw material list'!$A$3:$E$695,5,0),"")</f>
        <v xml:space="preserve">Gram </v>
      </c>
      <c r="L443" s="95">
        <v>12</v>
      </c>
      <c r="M443" s="98">
        <f t="shared" si="80"/>
        <v>12</v>
      </c>
      <c r="N443" s="98">
        <v>100</v>
      </c>
      <c r="O443" s="95">
        <v>10</v>
      </c>
      <c r="P443" s="98">
        <f t="shared" si="90"/>
        <v>1.2</v>
      </c>
      <c r="Q443" s="99">
        <f>IFERROR(VLOOKUP(I443,'Raw material list'!$A$3:$F$695,6,0),"")</f>
        <v>0.08</v>
      </c>
      <c r="R443" s="100">
        <f t="shared" si="91"/>
        <v>9.6000000000000002E-2</v>
      </c>
      <c r="S443" s="94">
        <f t="shared" si="88"/>
        <v>9.6000000000000009E-3</v>
      </c>
      <c r="T443" s="94">
        <f t="shared" si="89"/>
        <v>0.1056</v>
      </c>
      <c r="U443" s="93">
        <f t="shared" si="81"/>
        <v>1.056E-2</v>
      </c>
      <c r="V443" s="93">
        <f t="shared" si="82"/>
        <v>1.0560000000000001E-3</v>
      </c>
      <c r="W443" s="93">
        <f t="shared" si="83"/>
        <v>1.0560000000000001E-3</v>
      </c>
      <c r="X443" s="93">
        <f t="shared" si="79"/>
        <v>0.118272</v>
      </c>
      <c r="Y443" s="117"/>
    </row>
    <row r="444" spans="1:25" s="90" customFormat="1">
      <c r="A444" s="95" t="s">
        <v>1507</v>
      </c>
      <c r="B444" s="95" t="s">
        <v>1668</v>
      </c>
      <c r="C444" s="95" t="s">
        <v>1427</v>
      </c>
      <c r="D444" s="101" t="s">
        <v>1512</v>
      </c>
      <c r="E444" s="101" t="s">
        <v>1510</v>
      </c>
      <c r="F444" s="95" t="s">
        <v>1671</v>
      </c>
      <c r="G444" s="101" t="s">
        <v>1591</v>
      </c>
      <c r="H444" s="97" t="str">
        <f>IFERROR(VLOOKUP(I444,'Raw material list'!$A$3:$C$695,3,0),"")</f>
        <v>DRS6-5376</v>
      </c>
      <c r="I444" s="97" t="s">
        <v>55</v>
      </c>
      <c r="J444" s="101" t="s">
        <v>111</v>
      </c>
      <c r="K444" s="101" t="str">
        <f>IFERROR(VLOOKUP(I444,'Raw material list'!$A$3:$E$695,5,0),"")</f>
        <v xml:space="preserve">Gram </v>
      </c>
      <c r="L444" s="95">
        <v>3</v>
      </c>
      <c r="M444" s="98">
        <f t="shared" si="80"/>
        <v>3</v>
      </c>
      <c r="N444" s="98">
        <v>100</v>
      </c>
      <c r="O444" s="95">
        <v>10</v>
      </c>
      <c r="P444" s="98">
        <f t="shared" si="90"/>
        <v>0.3</v>
      </c>
      <c r="Q444" s="99">
        <f>IFERROR(VLOOKUP(I444,'Raw material list'!$A$3:$F$695,6,0),"")</f>
        <v>2.8000000000000001E-2</v>
      </c>
      <c r="R444" s="100">
        <f t="shared" si="91"/>
        <v>8.3999999999999995E-3</v>
      </c>
      <c r="S444" s="94">
        <f t="shared" si="88"/>
        <v>8.4000000000000003E-4</v>
      </c>
      <c r="T444" s="94">
        <f t="shared" si="89"/>
        <v>9.2399999999999999E-3</v>
      </c>
      <c r="U444" s="93">
        <f t="shared" si="81"/>
        <v>9.2400000000000002E-4</v>
      </c>
      <c r="V444" s="93">
        <f t="shared" si="82"/>
        <v>9.2399999999999996E-5</v>
      </c>
      <c r="W444" s="93">
        <f t="shared" si="83"/>
        <v>9.2399999999999996E-5</v>
      </c>
      <c r="X444" s="93">
        <f t="shared" si="79"/>
        <v>1.0348799999999998E-2</v>
      </c>
      <c r="Y444" s="117"/>
    </row>
    <row r="445" spans="1:25" s="90" customFormat="1">
      <c r="A445" s="95" t="s">
        <v>1507</v>
      </c>
      <c r="B445" s="95" t="s">
        <v>1668</v>
      </c>
      <c r="C445" s="95" t="s">
        <v>1427</v>
      </c>
      <c r="D445" s="101" t="s">
        <v>1512</v>
      </c>
      <c r="E445" s="101" t="s">
        <v>1510</v>
      </c>
      <c r="F445" s="95" t="s">
        <v>1671</v>
      </c>
      <c r="G445" s="101" t="s">
        <v>1591</v>
      </c>
      <c r="H445" s="97" t="str">
        <f>IFERROR(VLOOKUP(I445,'Raw material list'!$A$3:$C$695,3,0),"")</f>
        <v>WAT-001</v>
      </c>
      <c r="I445" s="97" t="s">
        <v>1406</v>
      </c>
      <c r="J445" s="101" t="s">
        <v>161</v>
      </c>
      <c r="K445" s="101" t="str">
        <f>IFERROR(VLOOKUP(I445,'Raw material list'!$A$3:$E$695,5,0),"")</f>
        <v>Ml</v>
      </c>
      <c r="L445" s="95">
        <v>120</v>
      </c>
      <c r="M445" s="98">
        <f t="shared" si="80"/>
        <v>120</v>
      </c>
      <c r="N445" s="98">
        <v>100</v>
      </c>
      <c r="O445" s="95">
        <v>10</v>
      </c>
      <c r="P445" s="98">
        <f t="shared" si="90"/>
        <v>12</v>
      </c>
      <c r="Q445" s="99">
        <f>IFERROR(VLOOKUP(I445,'Raw material list'!$A$3:$F$695,6,0),"")</f>
        <v>8.0000000000000007E-5</v>
      </c>
      <c r="R445" s="100">
        <f t="shared" si="91"/>
        <v>9.6000000000000013E-4</v>
      </c>
      <c r="S445" s="94">
        <f t="shared" si="88"/>
        <v>9.6000000000000016E-5</v>
      </c>
      <c r="T445" s="94">
        <f t="shared" si="89"/>
        <v>1.0560000000000001E-3</v>
      </c>
      <c r="U445" s="93">
        <f t="shared" si="81"/>
        <v>1.0560000000000002E-4</v>
      </c>
      <c r="V445" s="93">
        <f t="shared" si="82"/>
        <v>1.0560000000000001E-5</v>
      </c>
      <c r="W445" s="93">
        <f t="shared" si="83"/>
        <v>1.0560000000000001E-5</v>
      </c>
      <c r="X445" s="93">
        <f t="shared" si="79"/>
        <v>1.18272E-3</v>
      </c>
      <c r="Y445" s="117"/>
    </row>
    <row r="446" spans="1:25" s="90" customFormat="1">
      <c r="A446" s="95" t="s">
        <v>1507</v>
      </c>
      <c r="B446" s="95" t="s">
        <v>1668</v>
      </c>
      <c r="C446" s="95" t="s">
        <v>1427</v>
      </c>
      <c r="D446" s="101" t="s">
        <v>1512</v>
      </c>
      <c r="E446" s="101" t="s">
        <v>1510</v>
      </c>
      <c r="F446" s="101" t="s">
        <v>1670</v>
      </c>
      <c r="G446" s="101" t="s">
        <v>1461</v>
      </c>
      <c r="H446" s="97" t="str">
        <f>IFERROR(VLOOKUP(I446,'Raw material list'!$A$3:$C$695,3,0),"")</f>
        <v>DRY1-602</v>
      </c>
      <c r="I446" s="97" t="s">
        <v>65</v>
      </c>
      <c r="J446" s="101" t="s">
        <v>111</v>
      </c>
      <c r="K446" s="101" t="str">
        <f>IFERROR(VLOOKUP(I446,'Raw material list'!$A$3:$E$695,5,0),"")</f>
        <v xml:space="preserve">Gram </v>
      </c>
      <c r="L446" s="95">
        <v>40</v>
      </c>
      <c r="M446" s="98">
        <f t="shared" si="80"/>
        <v>40</v>
      </c>
      <c r="N446" s="98">
        <v>100</v>
      </c>
      <c r="O446" s="95">
        <v>10</v>
      </c>
      <c r="P446" s="98">
        <f t="shared" si="84"/>
        <v>4</v>
      </c>
      <c r="Q446" s="99">
        <f>IFERROR(VLOOKUP(I446,'Raw material list'!$A$3:$F$695,6,0),"")</f>
        <v>5.5E-2</v>
      </c>
      <c r="R446" s="100">
        <f t="shared" si="87"/>
        <v>0.22</v>
      </c>
      <c r="S446" s="94">
        <f t="shared" si="88"/>
        <v>2.2000000000000002E-2</v>
      </c>
      <c r="T446" s="94">
        <f t="shared" si="89"/>
        <v>0.24199999999999999</v>
      </c>
      <c r="U446" s="93">
        <f t="shared" si="81"/>
        <v>2.4199999999999999E-2</v>
      </c>
      <c r="V446" s="93">
        <f t="shared" si="82"/>
        <v>2.4199999999999998E-3</v>
      </c>
      <c r="W446" s="93">
        <f t="shared" si="83"/>
        <v>2.4199999999999998E-3</v>
      </c>
      <c r="X446" s="93">
        <f t="shared" si="79"/>
        <v>0.27103999999999995</v>
      </c>
      <c r="Y446" s="117"/>
    </row>
    <row r="447" spans="1:25" s="90" customFormat="1">
      <c r="A447" s="95" t="s">
        <v>1507</v>
      </c>
      <c r="B447" s="95" t="s">
        <v>1668</v>
      </c>
      <c r="C447" s="95" t="s">
        <v>1427</v>
      </c>
      <c r="D447" s="101" t="s">
        <v>1512</v>
      </c>
      <c r="E447" s="101" t="s">
        <v>1510</v>
      </c>
      <c r="F447" s="101" t="s">
        <v>1670</v>
      </c>
      <c r="G447" s="101" t="s">
        <v>1513</v>
      </c>
      <c r="H447" s="97" t="str">
        <f>IFERROR(VLOOKUP(I447,'Raw material list'!$A$3:$C$695,3,0),"")</f>
        <v>PRD1-179</v>
      </c>
      <c r="I447" s="97" t="s">
        <v>971</v>
      </c>
      <c r="J447" s="101" t="s">
        <v>111</v>
      </c>
      <c r="K447" s="101" t="str">
        <f>IFERROR(VLOOKUP(I447,'Raw material list'!$A$3:$E$695,5,0),"")</f>
        <v xml:space="preserve">Gram </v>
      </c>
      <c r="L447" s="95">
        <v>279.72000000000003</v>
      </c>
      <c r="M447" s="98">
        <f t="shared" si="80"/>
        <v>279.72000000000003</v>
      </c>
      <c r="N447" s="98">
        <v>100</v>
      </c>
      <c r="O447" s="95">
        <v>10</v>
      </c>
      <c r="P447" s="98">
        <f t="shared" si="84"/>
        <v>27.972000000000001</v>
      </c>
      <c r="Q447" s="99">
        <f>IFERROR(VLOOKUP(I447,'Raw material list'!$A$3:$F$695,6,0),"")</f>
        <v>8.9999999999999993E-3</v>
      </c>
      <c r="R447" s="100">
        <f t="shared" si="87"/>
        <v>0.25174799999999997</v>
      </c>
      <c r="S447" s="94">
        <f t="shared" si="88"/>
        <v>2.5174799999999997E-2</v>
      </c>
      <c r="T447" s="94">
        <f t="shared" si="89"/>
        <v>0.27692279999999997</v>
      </c>
      <c r="U447" s="93">
        <f t="shared" si="81"/>
        <v>2.769228E-2</v>
      </c>
      <c r="V447" s="93">
        <f t="shared" si="82"/>
        <v>2.7692279999999999E-3</v>
      </c>
      <c r="W447" s="93">
        <f t="shared" si="83"/>
        <v>2.7692279999999999E-3</v>
      </c>
      <c r="X447" s="93">
        <f t="shared" si="79"/>
        <v>0.31015353600000001</v>
      </c>
      <c r="Y447" s="117"/>
    </row>
    <row r="448" spans="1:25" s="90" customFormat="1">
      <c r="A448" s="95" t="s">
        <v>1507</v>
      </c>
      <c r="B448" s="95" t="s">
        <v>1668</v>
      </c>
      <c r="C448" s="95" t="s">
        <v>1427</v>
      </c>
      <c r="D448" s="101" t="s">
        <v>1512</v>
      </c>
      <c r="E448" s="101" t="s">
        <v>1510</v>
      </c>
      <c r="F448" s="101" t="s">
        <v>1670</v>
      </c>
      <c r="G448" s="101" t="s">
        <v>1513</v>
      </c>
      <c r="H448" s="97" t="str">
        <f>IFERROR(VLOOKUP(I448,'Raw material list'!$A$3:$C$695,3,0),"")</f>
        <v>DRS1-3880</v>
      </c>
      <c r="I448" s="97" t="s">
        <v>1398</v>
      </c>
      <c r="J448" s="101" t="s">
        <v>111</v>
      </c>
      <c r="K448" s="101" t="str">
        <f>IFERROR(VLOOKUP(I448,'Raw material list'!$A$3:$E$695,5,0),"")</f>
        <v xml:space="preserve">Gram </v>
      </c>
      <c r="L448" s="95">
        <v>12.5</v>
      </c>
      <c r="M448" s="98">
        <f t="shared" si="80"/>
        <v>12.5</v>
      </c>
      <c r="N448" s="98">
        <v>100</v>
      </c>
      <c r="O448" s="95">
        <v>10</v>
      </c>
      <c r="P448" s="98">
        <f t="shared" si="84"/>
        <v>1.25</v>
      </c>
      <c r="Q448" s="99">
        <f>IFERROR(VLOOKUP(I448,'Raw material list'!$A$3:$F$695,6,0),"")</f>
        <v>5.0000000000000001E-4</v>
      </c>
      <c r="R448" s="100">
        <f t="shared" si="87"/>
        <v>6.2500000000000001E-4</v>
      </c>
      <c r="S448" s="94">
        <f t="shared" si="88"/>
        <v>6.2500000000000001E-5</v>
      </c>
      <c r="T448" s="94">
        <f t="shared" si="89"/>
        <v>6.8749999999999996E-4</v>
      </c>
      <c r="U448" s="93">
        <f t="shared" si="81"/>
        <v>6.8750000000000004E-5</v>
      </c>
      <c r="V448" s="93">
        <f t="shared" si="82"/>
        <v>6.8749999999999994E-6</v>
      </c>
      <c r="W448" s="93">
        <f t="shared" si="83"/>
        <v>6.8749999999999994E-6</v>
      </c>
      <c r="X448" s="93">
        <f t="shared" si="79"/>
        <v>7.7000000000000007E-4</v>
      </c>
      <c r="Y448" s="117"/>
    </row>
    <row r="449" spans="1:25" s="90" customFormat="1">
      <c r="A449" s="95" t="s">
        <v>1507</v>
      </c>
      <c r="B449" s="95" t="s">
        <v>1668</v>
      </c>
      <c r="C449" s="95" t="s">
        <v>1427</v>
      </c>
      <c r="D449" s="101" t="s">
        <v>1512</v>
      </c>
      <c r="E449" s="101" t="s">
        <v>1510</v>
      </c>
      <c r="F449" s="101" t="s">
        <v>1670</v>
      </c>
      <c r="G449" s="101" t="s">
        <v>1513</v>
      </c>
      <c r="H449" s="97" t="str">
        <f>IFERROR(VLOOKUP(I449,'Raw material list'!$A$3:$C$695,3,0),"")</f>
        <v>DRS6-537</v>
      </c>
      <c r="I449" s="97" t="s">
        <v>25</v>
      </c>
      <c r="J449" s="101" t="s">
        <v>111</v>
      </c>
      <c r="K449" s="101" t="str">
        <f>IFERROR(VLOOKUP(I449,'Raw material list'!$A$3:$E$695,5,0),"")</f>
        <v xml:space="preserve">Gram </v>
      </c>
      <c r="L449" s="95">
        <v>2.79</v>
      </c>
      <c r="M449" s="98">
        <f t="shared" si="80"/>
        <v>2.79</v>
      </c>
      <c r="N449" s="98">
        <v>100</v>
      </c>
      <c r="O449" s="95">
        <v>10</v>
      </c>
      <c r="P449" s="98">
        <f t="shared" si="84"/>
        <v>0.27900000000000003</v>
      </c>
      <c r="Q449" s="99">
        <f>IFERROR(VLOOKUP(I449,'Raw material list'!$A$3:$F$695,6,0),"")</f>
        <v>3.5000000000000003E-2</v>
      </c>
      <c r="R449" s="100">
        <f t="shared" si="87"/>
        <v>9.7650000000000011E-3</v>
      </c>
      <c r="S449" s="94">
        <f t="shared" si="88"/>
        <v>9.7650000000000015E-4</v>
      </c>
      <c r="T449" s="94">
        <f t="shared" si="89"/>
        <v>1.0741500000000001E-2</v>
      </c>
      <c r="U449" s="93">
        <f t="shared" si="81"/>
        <v>1.0741500000000001E-3</v>
      </c>
      <c r="V449" s="93">
        <f t="shared" si="82"/>
        <v>1.0741500000000001E-4</v>
      </c>
      <c r="W449" s="93">
        <f t="shared" si="83"/>
        <v>1.0741500000000001E-4</v>
      </c>
      <c r="X449" s="93">
        <f t="shared" si="79"/>
        <v>1.203048E-2</v>
      </c>
      <c r="Y449" s="117"/>
    </row>
    <row r="450" spans="1:25" s="90" customFormat="1">
      <c r="A450" s="95" t="s">
        <v>1507</v>
      </c>
      <c r="B450" s="95" t="s">
        <v>1668</v>
      </c>
      <c r="C450" s="95" t="s">
        <v>1427</v>
      </c>
      <c r="D450" s="101" t="s">
        <v>1512</v>
      </c>
      <c r="E450" s="101" t="s">
        <v>1510</v>
      </c>
      <c r="F450" s="101" t="s">
        <v>1670</v>
      </c>
      <c r="G450" s="101" t="s">
        <v>1513</v>
      </c>
      <c r="H450" s="97" t="str">
        <f>IFERROR(VLOOKUP(I450,'Raw material list'!$A$3:$C$695,3,0),"")</f>
        <v>DRS1-1549</v>
      </c>
      <c r="I450" s="97" t="s">
        <v>252</v>
      </c>
      <c r="J450" s="101" t="s">
        <v>111</v>
      </c>
      <c r="K450" s="101" t="str">
        <f>IFERROR(VLOOKUP(I450,'Raw material list'!$A$3:$E$695,5,0),"")</f>
        <v xml:space="preserve">Gram </v>
      </c>
      <c r="L450" s="95">
        <v>6.99</v>
      </c>
      <c r="M450" s="98">
        <f t="shared" si="80"/>
        <v>6.99</v>
      </c>
      <c r="N450" s="98">
        <v>100</v>
      </c>
      <c r="O450" s="95">
        <v>10</v>
      </c>
      <c r="P450" s="98">
        <f t="shared" si="84"/>
        <v>0.69900000000000007</v>
      </c>
      <c r="Q450" s="99">
        <f>IFERROR(VLOOKUP(I450,'Raw material list'!$A$3:$F$695,6,0),"")</f>
        <v>9.58E-3</v>
      </c>
      <c r="R450" s="100">
        <f t="shared" si="87"/>
        <v>6.6964200000000007E-3</v>
      </c>
      <c r="S450" s="94">
        <f t="shared" si="88"/>
        <v>6.6964200000000013E-4</v>
      </c>
      <c r="T450" s="94">
        <f t="shared" si="89"/>
        <v>7.3660620000000005E-3</v>
      </c>
      <c r="U450" s="93">
        <f t="shared" si="81"/>
        <v>7.3660620000000007E-4</v>
      </c>
      <c r="V450" s="93">
        <f t="shared" si="82"/>
        <v>7.3660620000000012E-5</v>
      </c>
      <c r="W450" s="93">
        <f t="shared" si="83"/>
        <v>7.3660620000000012E-5</v>
      </c>
      <c r="X450" s="93">
        <f t="shared" si="79"/>
        <v>8.2499894400000027E-3</v>
      </c>
      <c r="Y450" s="117"/>
    </row>
    <row r="451" spans="1:25" s="90" customFormat="1">
      <c r="A451" s="95" t="s">
        <v>1507</v>
      </c>
      <c r="B451" s="95" t="s">
        <v>1668</v>
      </c>
      <c r="C451" s="95" t="s">
        <v>1427</v>
      </c>
      <c r="D451" s="101" t="s">
        <v>1512</v>
      </c>
      <c r="E451" s="101" t="s">
        <v>1510</v>
      </c>
      <c r="F451" s="101" t="s">
        <v>1670</v>
      </c>
      <c r="G451" s="101" t="s">
        <v>1513</v>
      </c>
      <c r="H451" s="97" t="str">
        <f>IFERROR(VLOOKUP(I451,'Raw material list'!$A$3:$C$695,3,0),"")</f>
        <v>DRS3-1615</v>
      </c>
      <c r="I451" s="97" t="s">
        <v>24</v>
      </c>
      <c r="J451" s="101" t="s">
        <v>161</v>
      </c>
      <c r="K451" s="101" t="str">
        <f>IFERROR(VLOOKUP(I451,'Raw material list'!$A$3:$E$695,5,0),"")</f>
        <v>Ml</v>
      </c>
      <c r="L451" s="95">
        <v>209.7</v>
      </c>
      <c r="M451" s="98">
        <f t="shared" si="80"/>
        <v>209.7</v>
      </c>
      <c r="N451" s="98">
        <v>100</v>
      </c>
      <c r="O451" s="95">
        <v>10</v>
      </c>
      <c r="P451" s="98">
        <f t="shared" si="84"/>
        <v>20.97</v>
      </c>
      <c r="Q451" s="99">
        <f>IFERROR(VLOOKUP(I451,'Raw material list'!$A$3:$F$695,6,0),"")</f>
        <v>1.2E-2</v>
      </c>
      <c r="R451" s="100">
        <f t="shared" si="87"/>
        <v>0.25163999999999997</v>
      </c>
      <c r="S451" s="94">
        <f t="shared" si="88"/>
        <v>2.5163999999999999E-2</v>
      </c>
      <c r="T451" s="94">
        <f t="shared" si="89"/>
        <v>0.27680399999999999</v>
      </c>
      <c r="U451" s="93">
        <f t="shared" si="81"/>
        <v>2.7680400000000001E-2</v>
      </c>
      <c r="V451" s="93">
        <f t="shared" si="82"/>
        <v>2.7680399999999998E-3</v>
      </c>
      <c r="W451" s="93">
        <f t="shared" si="83"/>
        <v>2.7680399999999998E-3</v>
      </c>
      <c r="X451" s="93">
        <f t="shared" si="79"/>
        <v>0.31002048000000004</v>
      </c>
      <c r="Y451" s="117"/>
    </row>
    <row r="452" spans="1:25" s="90" customFormat="1">
      <c r="A452" s="95" t="s">
        <v>1507</v>
      </c>
      <c r="B452" s="95" t="s">
        <v>1668</v>
      </c>
      <c r="C452" s="95" t="s">
        <v>1427</v>
      </c>
      <c r="D452" s="101" t="s">
        <v>1512</v>
      </c>
      <c r="E452" s="101" t="s">
        <v>1510</v>
      </c>
      <c r="F452" s="101" t="s">
        <v>1670</v>
      </c>
      <c r="G452" s="101" t="s">
        <v>1513</v>
      </c>
      <c r="H452" s="97" t="str">
        <f>IFERROR(VLOOKUP(I452,'Raw material list'!$A$3:$C$695,3,0),"")</f>
        <v>WAT-001</v>
      </c>
      <c r="I452" s="97" t="s">
        <v>1406</v>
      </c>
      <c r="J452" s="101" t="s">
        <v>161</v>
      </c>
      <c r="K452" s="101" t="str">
        <f>IFERROR(VLOOKUP(I452,'Raw material list'!$A$3:$E$695,5,0),"")</f>
        <v>Ml</v>
      </c>
      <c r="L452" s="95">
        <v>325</v>
      </c>
      <c r="M452" s="98">
        <f t="shared" si="80"/>
        <v>325</v>
      </c>
      <c r="N452" s="98">
        <v>100</v>
      </c>
      <c r="O452" s="95">
        <v>10</v>
      </c>
      <c r="P452" s="98">
        <f t="shared" si="84"/>
        <v>32.5</v>
      </c>
      <c r="Q452" s="99">
        <f>IFERROR(VLOOKUP(I452,'Raw material list'!$A$3:$F$695,6,0),"")</f>
        <v>8.0000000000000007E-5</v>
      </c>
      <c r="R452" s="100">
        <f t="shared" si="87"/>
        <v>2.6000000000000003E-3</v>
      </c>
      <c r="S452" s="94">
        <f t="shared" si="88"/>
        <v>2.6000000000000003E-4</v>
      </c>
      <c r="T452" s="94">
        <f t="shared" si="89"/>
        <v>2.8600000000000006E-3</v>
      </c>
      <c r="U452" s="93">
        <f t="shared" si="81"/>
        <v>2.8600000000000007E-4</v>
      </c>
      <c r="V452" s="93">
        <f t="shared" si="82"/>
        <v>2.8600000000000007E-5</v>
      </c>
      <c r="W452" s="93">
        <f t="shared" si="83"/>
        <v>2.8600000000000007E-5</v>
      </c>
      <c r="X452" s="93">
        <f t="shared" si="79"/>
        <v>3.2032000000000011E-3</v>
      </c>
      <c r="Y452" s="117"/>
    </row>
    <row r="453" spans="1:25" s="90" customFormat="1">
      <c r="A453" s="95" t="s">
        <v>1507</v>
      </c>
      <c r="B453" s="95" t="s">
        <v>1668</v>
      </c>
      <c r="C453" s="95" t="s">
        <v>1427</v>
      </c>
      <c r="D453" s="101" t="s">
        <v>1512</v>
      </c>
      <c r="E453" s="101" t="s">
        <v>1510</v>
      </c>
      <c r="F453" s="101" t="s">
        <v>1670</v>
      </c>
      <c r="G453" s="101" t="s">
        <v>1513</v>
      </c>
      <c r="H453" s="97" t="str">
        <f>IFERROR(VLOOKUP(I453,'Raw material list'!$A$3:$C$695,3,0),"")</f>
        <v>DRY2-1858</v>
      </c>
      <c r="I453" s="97" t="s">
        <v>42</v>
      </c>
      <c r="J453" s="101" t="s">
        <v>161</v>
      </c>
      <c r="K453" s="101" t="str">
        <f>IFERROR(VLOOKUP(I453,'Raw material list'!$A$3:$E$695,5,0),"")</f>
        <v>Ml</v>
      </c>
      <c r="L453" s="95">
        <v>279.72000000000003</v>
      </c>
      <c r="M453" s="98">
        <f t="shared" si="80"/>
        <v>279.72000000000003</v>
      </c>
      <c r="N453" s="98">
        <v>100</v>
      </c>
      <c r="O453" s="95">
        <v>10</v>
      </c>
      <c r="P453" s="98">
        <f t="shared" si="84"/>
        <v>27.972000000000001</v>
      </c>
      <c r="Q453" s="99">
        <f>IFERROR(VLOOKUP(I453,'Raw material list'!$A$3:$F$695,6,0),"")</f>
        <v>9.8800000000000016E-3</v>
      </c>
      <c r="R453" s="100">
        <f t="shared" si="87"/>
        <v>0.27636336000000006</v>
      </c>
      <c r="S453" s="94">
        <f t="shared" si="88"/>
        <v>2.7636336000000008E-2</v>
      </c>
      <c r="T453" s="94">
        <f t="shared" si="89"/>
        <v>0.30399969600000004</v>
      </c>
      <c r="U453" s="93">
        <f t="shared" si="81"/>
        <v>3.0399969600000007E-2</v>
      </c>
      <c r="V453" s="93">
        <f t="shared" si="82"/>
        <v>3.0399969600000006E-3</v>
      </c>
      <c r="W453" s="93">
        <f t="shared" si="83"/>
        <v>3.0399969600000006E-3</v>
      </c>
      <c r="X453" s="93">
        <f t="shared" ref="X453:X514" si="92">T453+U453+V453+W453</f>
        <v>0.34047965952000009</v>
      </c>
      <c r="Y453" s="117"/>
    </row>
    <row r="454" spans="1:25">
      <c r="A454" s="95" t="s">
        <v>1508</v>
      </c>
      <c r="B454" s="95" t="s">
        <v>1631</v>
      </c>
      <c r="C454" s="95" t="s">
        <v>1427</v>
      </c>
      <c r="D454" s="101" t="s">
        <v>1514</v>
      </c>
      <c r="E454" s="101" t="s">
        <v>1510</v>
      </c>
      <c r="F454" s="101" t="s">
        <v>1670</v>
      </c>
      <c r="G454" s="101"/>
      <c r="H454" s="97" t="str">
        <f>IFERROR(VLOOKUP(I454,'Raw material list'!$A$3:$C$695,3,0),"")</f>
        <v>MET2-1051</v>
      </c>
      <c r="I454" s="97" t="s">
        <v>882</v>
      </c>
      <c r="J454" s="101" t="s">
        <v>111</v>
      </c>
      <c r="K454" s="101" t="str">
        <f>IFERROR(VLOOKUP(I454,'Raw material list'!$A$3:$E$695,5,0),"")</f>
        <v xml:space="preserve">Gram </v>
      </c>
      <c r="L454" s="95">
        <v>650</v>
      </c>
      <c r="M454" s="98">
        <f t="shared" ref="M454:M517" si="93">L454/N454*100</f>
        <v>1264.5914396887158</v>
      </c>
      <c r="N454" s="98">
        <v>51.4</v>
      </c>
      <c r="O454" s="95">
        <v>10</v>
      </c>
      <c r="P454" s="98">
        <f t="shared" si="84"/>
        <v>65</v>
      </c>
      <c r="Q454" s="99">
        <f>IFERROR(VLOOKUP(I454,'Raw material list'!$A$3:$F$695,6,0),"")</f>
        <v>8.4705882352941173E-2</v>
      </c>
      <c r="R454" s="100">
        <f t="shared" si="87"/>
        <v>5.5058823529411764</v>
      </c>
      <c r="S454" s="94">
        <f t="shared" si="88"/>
        <v>0.55058823529411771</v>
      </c>
      <c r="T454" s="94">
        <f t="shared" si="89"/>
        <v>6.0564705882352943</v>
      </c>
      <c r="U454" s="93">
        <f t="shared" ref="U454:U517" si="94">T454*10%</f>
        <v>0.60564705882352943</v>
      </c>
      <c r="V454" s="93">
        <f t="shared" ref="V454:V517" si="95">T454*1%</f>
        <v>6.0564705882352944E-2</v>
      </c>
      <c r="W454" s="93">
        <f t="shared" ref="W454:W517" si="96">T454*1%</f>
        <v>6.0564705882352944E-2</v>
      </c>
      <c r="X454" s="93">
        <f t="shared" si="92"/>
        <v>6.7832470588235294</v>
      </c>
      <c r="Y454" s="128" t="s">
        <v>1680</v>
      </c>
    </row>
    <row r="455" spans="1:25">
      <c r="A455" s="95" t="s">
        <v>1508</v>
      </c>
      <c r="B455" s="95" t="s">
        <v>1631</v>
      </c>
      <c r="C455" s="95" t="s">
        <v>1427</v>
      </c>
      <c r="D455" s="101" t="s">
        <v>1514</v>
      </c>
      <c r="E455" s="101" t="s">
        <v>1510</v>
      </c>
      <c r="F455" s="101" t="s">
        <v>1669</v>
      </c>
      <c r="G455" s="101"/>
      <c r="H455" s="97" t="str">
        <f>IFERROR(VLOOKUP(I455,'Raw material list'!$A$3:$C$695,3,0),"")</f>
        <v>BKR1-1327</v>
      </c>
      <c r="I455" s="97" t="s">
        <v>118</v>
      </c>
      <c r="J455" s="101" t="s">
        <v>120</v>
      </c>
      <c r="K455" s="101" t="str">
        <f>IFERROR(VLOOKUP(I455,'Raw material list'!$A$3:$E$695,5,0),"")</f>
        <v>Slice</v>
      </c>
      <c r="L455" s="95">
        <v>10</v>
      </c>
      <c r="M455" s="98">
        <f t="shared" si="93"/>
        <v>10</v>
      </c>
      <c r="N455" s="98">
        <v>100</v>
      </c>
      <c r="O455" s="95">
        <v>10</v>
      </c>
      <c r="P455" s="98">
        <f t="shared" si="84"/>
        <v>1</v>
      </c>
      <c r="Q455" s="99">
        <f>IFERROR(VLOOKUP(I455,'Raw material list'!$A$3:$F$695,6,0),"")</f>
        <v>0.22222222222222221</v>
      </c>
      <c r="R455" s="100">
        <f t="shared" si="87"/>
        <v>0.22222222222222221</v>
      </c>
      <c r="S455" s="94">
        <f t="shared" si="88"/>
        <v>2.2222222222222223E-2</v>
      </c>
      <c r="T455" s="94">
        <f t="shared" si="89"/>
        <v>0.24444444444444444</v>
      </c>
      <c r="U455" s="93">
        <f t="shared" si="94"/>
        <v>2.4444444444444446E-2</v>
      </c>
      <c r="V455" s="93">
        <f t="shared" si="95"/>
        <v>2.4444444444444444E-3</v>
      </c>
      <c r="W455" s="93">
        <f t="shared" si="96"/>
        <v>2.4444444444444444E-3</v>
      </c>
      <c r="X455" s="93">
        <f t="shared" si="92"/>
        <v>0.27377777777777784</v>
      </c>
      <c r="Y455" s="121"/>
    </row>
    <row r="456" spans="1:25">
      <c r="A456" s="95" t="s">
        <v>1508</v>
      </c>
      <c r="B456" s="95" t="s">
        <v>1631</v>
      </c>
      <c r="C456" s="95" t="s">
        <v>1427</v>
      </c>
      <c r="D456" s="101" t="s">
        <v>1514</v>
      </c>
      <c r="E456" s="101" t="s">
        <v>1510</v>
      </c>
      <c r="F456" s="101" t="s">
        <v>1670</v>
      </c>
      <c r="G456" s="101"/>
      <c r="H456" s="97" t="str">
        <f>IFERROR(VLOOKUP(I456,'Raw material list'!$A$3:$C$695,3,0),"")</f>
        <v>DRS1-3880</v>
      </c>
      <c r="I456" s="97" t="s">
        <v>1398</v>
      </c>
      <c r="J456" s="101" t="s">
        <v>111</v>
      </c>
      <c r="K456" s="101" t="str">
        <f>IFERROR(VLOOKUP(I456,'Raw material list'!$A$3:$E$695,5,0),"")</f>
        <v xml:space="preserve">Gram </v>
      </c>
      <c r="L456" s="95">
        <v>2</v>
      </c>
      <c r="M456" s="98">
        <f t="shared" si="93"/>
        <v>2</v>
      </c>
      <c r="N456" s="98">
        <v>100</v>
      </c>
      <c r="O456" s="95">
        <v>10</v>
      </c>
      <c r="P456" s="98">
        <f t="shared" si="84"/>
        <v>0.2</v>
      </c>
      <c r="Q456" s="99">
        <f>IFERROR(VLOOKUP(I456,'Raw material list'!$A$3:$F$695,6,0),"")</f>
        <v>5.0000000000000001E-4</v>
      </c>
      <c r="R456" s="100">
        <f t="shared" si="87"/>
        <v>1E-4</v>
      </c>
      <c r="S456" s="94">
        <f t="shared" si="88"/>
        <v>1.0000000000000001E-5</v>
      </c>
      <c r="T456" s="94">
        <f t="shared" si="89"/>
        <v>1.1E-4</v>
      </c>
      <c r="U456" s="93">
        <f t="shared" si="94"/>
        <v>1.1000000000000001E-5</v>
      </c>
      <c r="V456" s="93">
        <f t="shared" si="95"/>
        <v>1.1000000000000001E-6</v>
      </c>
      <c r="W456" s="93">
        <f t="shared" si="96"/>
        <v>1.1000000000000001E-6</v>
      </c>
      <c r="X456" s="93">
        <f t="shared" si="92"/>
        <v>1.2320000000000001E-4</v>
      </c>
      <c r="Y456" s="121"/>
    </row>
    <row r="457" spans="1:25">
      <c r="A457" s="95" t="s">
        <v>1508</v>
      </c>
      <c r="B457" s="95" t="s">
        <v>1631</v>
      </c>
      <c r="C457" s="95" t="s">
        <v>1427</v>
      </c>
      <c r="D457" s="101" t="s">
        <v>1514</v>
      </c>
      <c r="E457" s="101" t="s">
        <v>1510</v>
      </c>
      <c r="F457" s="101" t="s">
        <v>1670</v>
      </c>
      <c r="G457" s="101"/>
      <c r="H457" s="97" t="str">
        <f>IFERROR(VLOOKUP(I457,'Raw material list'!$A$3:$C$695,3,0),"")</f>
        <v>DRS6-537</v>
      </c>
      <c r="I457" s="97" t="s">
        <v>25</v>
      </c>
      <c r="J457" s="101" t="s">
        <v>111</v>
      </c>
      <c r="K457" s="101" t="str">
        <f>IFERROR(VLOOKUP(I457,'Raw material list'!$A$3:$E$695,5,0),"")</f>
        <v xml:space="preserve">Gram </v>
      </c>
      <c r="L457" s="95">
        <v>2</v>
      </c>
      <c r="M457" s="98">
        <f t="shared" si="93"/>
        <v>2</v>
      </c>
      <c r="N457" s="98">
        <v>100</v>
      </c>
      <c r="O457" s="95">
        <v>10</v>
      </c>
      <c r="P457" s="98">
        <f t="shared" si="84"/>
        <v>0.2</v>
      </c>
      <c r="Q457" s="99">
        <f>IFERROR(VLOOKUP(I457,'Raw material list'!$A$3:$F$695,6,0),"")</f>
        <v>3.5000000000000003E-2</v>
      </c>
      <c r="R457" s="100">
        <f t="shared" si="87"/>
        <v>7.000000000000001E-3</v>
      </c>
      <c r="S457" s="94">
        <f t="shared" si="88"/>
        <v>7.000000000000001E-4</v>
      </c>
      <c r="T457" s="94">
        <f t="shared" si="89"/>
        <v>7.7000000000000011E-3</v>
      </c>
      <c r="U457" s="93">
        <f t="shared" si="94"/>
        <v>7.7000000000000018E-4</v>
      </c>
      <c r="V457" s="93">
        <f t="shared" si="95"/>
        <v>7.7000000000000015E-5</v>
      </c>
      <c r="W457" s="93">
        <f t="shared" si="96"/>
        <v>7.7000000000000015E-5</v>
      </c>
      <c r="X457" s="93">
        <f t="shared" si="92"/>
        <v>8.6240000000000032E-3</v>
      </c>
      <c r="Y457" s="121"/>
    </row>
    <row r="458" spans="1:25">
      <c r="A458" s="95" t="s">
        <v>1508</v>
      </c>
      <c r="B458" s="95" t="s">
        <v>1631</v>
      </c>
      <c r="C458" s="95" t="s">
        <v>1427</v>
      </c>
      <c r="D458" s="101" t="s">
        <v>1514</v>
      </c>
      <c r="E458" s="101" t="s">
        <v>1510</v>
      </c>
      <c r="F458" s="101" t="s">
        <v>1670</v>
      </c>
      <c r="G458" s="101"/>
      <c r="H458" s="97" t="str">
        <f>IFERROR(VLOOKUP(I458,'Raw material list'!$A$3:$C$695,3,0),"")</f>
        <v>DRY1-1801</v>
      </c>
      <c r="I458" s="97" t="s">
        <v>44</v>
      </c>
      <c r="J458" s="101" t="s">
        <v>111</v>
      </c>
      <c r="K458" s="101" t="str">
        <f>IFERROR(VLOOKUP(I458,'Raw material list'!$A$3:$E$695,5,0),"")</f>
        <v xml:space="preserve">Gram </v>
      </c>
      <c r="L458" s="95">
        <v>40</v>
      </c>
      <c r="M458" s="98">
        <f t="shared" si="93"/>
        <v>40</v>
      </c>
      <c r="N458" s="98">
        <v>100</v>
      </c>
      <c r="O458" s="95">
        <v>10</v>
      </c>
      <c r="P458" s="98">
        <f t="shared" si="84"/>
        <v>4</v>
      </c>
      <c r="Q458" s="99">
        <f>IFERROR(VLOOKUP(I458,'Raw material list'!$A$3:$F$695,6,0),"")</f>
        <v>2.5000000000000001E-2</v>
      </c>
      <c r="R458" s="100">
        <f t="shared" si="87"/>
        <v>0.1</v>
      </c>
      <c r="S458" s="94">
        <f t="shared" si="88"/>
        <v>1.0000000000000002E-2</v>
      </c>
      <c r="T458" s="94">
        <f t="shared" si="89"/>
        <v>0.11000000000000001</v>
      </c>
      <c r="U458" s="93">
        <f t="shared" si="94"/>
        <v>1.1000000000000003E-2</v>
      </c>
      <c r="V458" s="93">
        <f t="shared" si="95"/>
        <v>1.1000000000000001E-3</v>
      </c>
      <c r="W458" s="93">
        <f t="shared" si="96"/>
        <v>1.1000000000000001E-3</v>
      </c>
      <c r="X458" s="93">
        <f t="shared" si="92"/>
        <v>0.12320000000000003</v>
      </c>
      <c r="Y458" s="121"/>
    </row>
    <row r="459" spans="1:25">
      <c r="A459" s="95" t="s">
        <v>1508</v>
      </c>
      <c r="B459" s="95" t="s">
        <v>1631</v>
      </c>
      <c r="C459" s="95" t="s">
        <v>1427</v>
      </c>
      <c r="D459" s="101" t="s">
        <v>1514</v>
      </c>
      <c r="E459" s="101" t="s">
        <v>1510</v>
      </c>
      <c r="F459" s="101" t="s">
        <v>1670</v>
      </c>
      <c r="G459" s="101" t="s">
        <v>1516</v>
      </c>
      <c r="H459" s="97" t="str">
        <f>IFERROR(VLOOKUP(I459,'Raw material list'!$A$3:$C$695,3,0),"")</f>
        <v>DRS1-1652</v>
      </c>
      <c r="I459" s="97" t="s">
        <v>1425</v>
      </c>
      <c r="J459" s="101" t="s">
        <v>111</v>
      </c>
      <c r="K459" s="101" t="str">
        <f>IFERROR(VLOOKUP(I459,'Raw material list'!$A$3:$E$695,5,0),"")</f>
        <v xml:space="preserve">Gram </v>
      </c>
      <c r="L459" s="95">
        <v>112.73</v>
      </c>
      <c r="M459" s="98">
        <f t="shared" si="93"/>
        <v>112.72999999999999</v>
      </c>
      <c r="N459" s="98">
        <v>100</v>
      </c>
      <c r="O459" s="95">
        <v>10</v>
      </c>
      <c r="P459" s="98">
        <f t="shared" si="84"/>
        <v>11.273</v>
      </c>
      <c r="Q459" s="99">
        <f>IFERROR(VLOOKUP(I459,'Raw material list'!$A$3:$F$695,6,0),"")</f>
        <v>1.2800000000000001E-2</v>
      </c>
      <c r="R459" s="100">
        <f t="shared" si="87"/>
        <v>0.14429439999999999</v>
      </c>
      <c r="S459" s="94">
        <f t="shared" si="88"/>
        <v>1.442944E-2</v>
      </c>
      <c r="T459" s="94">
        <f t="shared" si="89"/>
        <v>0.15872383999999998</v>
      </c>
      <c r="U459" s="93">
        <f t="shared" si="94"/>
        <v>1.5872384E-2</v>
      </c>
      <c r="V459" s="93">
        <f t="shared" si="95"/>
        <v>1.5872383999999998E-3</v>
      </c>
      <c r="W459" s="93">
        <f t="shared" si="96"/>
        <v>1.5872383999999998E-3</v>
      </c>
      <c r="X459" s="93">
        <f t="shared" si="92"/>
        <v>0.17777070079999996</v>
      </c>
      <c r="Y459" s="121"/>
    </row>
    <row r="460" spans="1:25">
      <c r="A460" s="95" t="s">
        <v>1508</v>
      </c>
      <c r="B460" s="95" t="s">
        <v>1631</v>
      </c>
      <c r="C460" s="95" t="s">
        <v>1427</v>
      </c>
      <c r="D460" s="101" t="s">
        <v>1514</v>
      </c>
      <c r="E460" s="101" t="s">
        <v>1510</v>
      </c>
      <c r="F460" s="101" t="s">
        <v>1670</v>
      </c>
      <c r="G460" s="101" t="s">
        <v>1516</v>
      </c>
      <c r="H460" s="97" t="str">
        <f>IFERROR(VLOOKUP(I460,'Raw material list'!$A$3:$C$695,3,0),"")</f>
        <v>DRY1-1717</v>
      </c>
      <c r="I460" s="97" t="s">
        <v>303</v>
      </c>
      <c r="J460" s="101" t="s">
        <v>111</v>
      </c>
      <c r="K460" s="101" t="str">
        <f>IFERROR(VLOOKUP(I460,'Raw material list'!$A$3:$E$695,5,0),"")</f>
        <v xml:space="preserve">Gram </v>
      </c>
      <c r="L460" s="95">
        <v>56.36</v>
      </c>
      <c r="M460" s="98">
        <f t="shared" si="93"/>
        <v>56.36</v>
      </c>
      <c r="N460" s="98">
        <v>100</v>
      </c>
      <c r="O460" s="95">
        <v>10</v>
      </c>
      <c r="P460" s="98">
        <f t="shared" si="84"/>
        <v>5.6360000000000001</v>
      </c>
      <c r="Q460" s="99">
        <f>IFERROR(VLOOKUP(I460,'Raw material list'!$A$3:$F$695,6,0),"")</f>
        <v>3.6999999999999998E-2</v>
      </c>
      <c r="R460" s="100">
        <f t="shared" si="87"/>
        <v>0.208532</v>
      </c>
      <c r="S460" s="94">
        <f t="shared" si="88"/>
        <v>2.0853200000000002E-2</v>
      </c>
      <c r="T460" s="94">
        <f t="shared" si="89"/>
        <v>0.22938520000000001</v>
      </c>
      <c r="U460" s="93">
        <f t="shared" si="94"/>
        <v>2.2938520000000004E-2</v>
      </c>
      <c r="V460" s="93">
        <f t="shared" si="95"/>
        <v>2.2938520000000003E-3</v>
      </c>
      <c r="W460" s="93">
        <f t="shared" si="96"/>
        <v>2.2938520000000003E-3</v>
      </c>
      <c r="X460" s="93">
        <f t="shared" si="92"/>
        <v>0.256911424</v>
      </c>
      <c r="Y460" s="121"/>
    </row>
    <row r="461" spans="1:25">
      <c r="A461" s="95" t="s">
        <v>1508</v>
      </c>
      <c r="B461" s="95" t="s">
        <v>1631</v>
      </c>
      <c r="C461" s="95" t="s">
        <v>1427</v>
      </c>
      <c r="D461" s="101" t="s">
        <v>1514</v>
      </c>
      <c r="E461" s="101" t="s">
        <v>1510</v>
      </c>
      <c r="F461" s="101" t="s">
        <v>1670</v>
      </c>
      <c r="G461" s="101" t="s">
        <v>1516</v>
      </c>
      <c r="H461" s="97" t="str">
        <f>IFERROR(VLOOKUP(I461,'Raw material list'!$A$3:$C$695,3,0),"")</f>
        <v>PRD1-209</v>
      </c>
      <c r="I461" s="97" t="s">
        <v>26</v>
      </c>
      <c r="J461" s="101" t="s">
        <v>111</v>
      </c>
      <c r="K461" s="101" t="str">
        <f>IFERROR(VLOOKUP(I461,'Raw material list'!$A$3:$E$695,5,0),"")</f>
        <v xml:space="preserve">Gram </v>
      </c>
      <c r="L461" s="95">
        <v>1.1200000000000001</v>
      </c>
      <c r="M461" s="98">
        <f t="shared" si="93"/>
        <v>2.9473684210526319</v>
      </c>
      <c r="N461" s="98">
        <v>38</v>
      </c>
      <c r="O461" s="95">
        <v>10</v>
      </c>
      <c r="P461" s="98">
        <f t="shared" si="84"/>
        <v>0.11200000000000002</v>
      </c>
      <c r="Q461" s="99">
        <f>IFERROR(VLOOKUP(I461,'Raw material list'!$A$3:$F$695,6,0),"")</f>
        <v>1.0088272383354351E-2</v>
      </c>
      <c r="R461" s="100">
        <f t="shared" si="87"/>
        <v>1.1298865069356875E-3</v>
      </c>
      <c r="S461" s="94">
        <f t="shared" si="88"/>
        <v>1.1298865069356875E-4</v>
      </c>
      <c r="T461" s="94">
        <f t="shared" si="89"/>
        <v>1.2428751576292563E-3</v>
      </c>
      <c r="U461" s="93">
        <f t="shared" si="94"/>
        <v>1.2428751576292564E-4</v>
      </c>
      <c r="V461" s="93">
        <f t="shared" si="95"/>
        <v>1.2428751576292563E-5</v>
      </c>
      <c r="W461" s="93">
        <f t="shared" si="96"/>
        <v>1.2428751576292563E-5</v>
      </c>
      <c r="X461" s="93">
        <f t="shared" si="92"/>
        <v>1.3920201765447672E-3</v>
      </c>
      <c r="Y461" s="121"/>
    </row>
    <row r="462" spans="1:25">
      <c r="A462" s="95" t="s">
        <v>1508</v>
      </c>
      <c r="B462" s="95" t="s">
        <v>1631</v>
      </c>
      <c r="C462" s="95" t="s">
        <v>1427</v>
      </c>
      <c r="D462" s="101" t="s">
        <v>1514</v>
      </c>
      <c r="E462" s="101" t="s">
        <v>1510</v>
      </c>
      <c r="F462" s="101" t="s">
        <v>1670</v>
      </c>
      <c r="G462" s="101" t="s">
        <v>1516</v>
      </c>
      <c r="H462" s="97" t="str">
        <f>IFERROR(VLOOKUP(I462,'Raw material list'!$A$3:$C$695,3,0),"")</f>
        <v>DRS6-537</v>
      </c>
      <c r="I462" s="97" t="s">
        <v>25</v>
      </c>
      <c r="J462" s="101" t="s">
        <v>111</v>
      </c>
      <c r="K462" s="101" t="str">
        <f>IFERROR(VLOOKUP(I462,'Raw material list'!$A$3:$E$695,5,0),"")</f>
        <v xml:space="preserve">Gram </v>
      </c>
      <c r="L462" s="95">
        <v>0.45</v>
      </c>
      <c r="M462" s="98">
        <f t="shared" si="93"/>
        <v>0.45000000000000007</v>
      </c>
      <c r="N462" s="98">
        <v>100</v>
      </c>
      <c r="O462" s="95">
        <v>10</v>
      </c>
      <c r="P462" s="98">
        <f t="shared" si="84"/>
        <v>4.4999999999999998E-2</v>
      </c>
      <c r="Q462" s="99">
        <f>IFERROR(VLOOKUP(I462,'Raw material list'!$A$3:$F$695,6,0),"")</f>
        <v>3.5000000000000003E-2</v>
      </c>
      <c r="R462" s="100">
        <f t="shared" si="87"/>
        <v>1.575E-3</v>
      </c>
      <c r="S462" s="94">
        <f t="shared" si="88"/>
        <v>1.5750000000000001E-4</v>
      </c>
      <c r="T462" s="94">
        <f t="shared" si="89"/>
        <v>1.7325000000000001E-3</v>
      </c>
      <c r="U462" s="93">
        <f t="shared" si="94"/>
        <v>1.7325000000000001E-4</v>
      </c>
      <c r="V462" s="93">
        <f t="shared" si="95"/>
        <v>1.7325000000000001E-5</v>
      </c>
      <c r="W462" s="93">
        <f t="shared" si="96"/>
        <v>1.7325000000000001E-5</v>
      </c>
      <c r="X462" s="93">
        <f t="shared" si="92"/>
        <v>1.9404000000000001E-3</v>
      </c>
      <c r="Y462" s="121"/>
    </row>
    <row r="463" spans="1:25">
      <c r="A463" s="95" t="s">
        <v>1508</v>
      </c>
      <c r="B463" s="95" t="s">
        <v>1631</v>
      </c>
      <c r="C463" s="95" t="s">
        <v>1427</v>
      </c>
      <c r="D463" s="101" t="s">
        <v>1514</v>
      </c>
      <c r="E463" s="101" t="s">
        <v>1510</v>
      </c>
      <c r="F463" s="101" t="s">
        <v>1670</v>
      </c>
      <c r="G463" s="101" t="s">
        <v>1516</v>
      </c>
      <c r="H463" s="97" t="str">
        <f>IFERROR(VLOOKUP(I463,'Raw material list'!$A$3:$C$695,3,0),"")</f>
        <v>DRS1-114</v>
      </c>
      <c r="I463" s="97" t="s">
        <v>279</v>
      </c>
      <c r="J463" s="101" t="s">
        <v>111</v>
      </c>
      <c r="K463" s="101" t="str">
        <f>IFERROR(VLOOKUP(I463,'Raw material list'!$A$3:$E$695,5,0),"")</f>
        <v xml:space="preserve">Gram </v>
      </c>
      <c r="L463" s="95">
        <v>0.45</v>
      </c>
      <c r="M463" s="98">
        <f t="shared" si="93"/>
        <v>0.45000000000000007</v>
      </c>
      <c r="N463" s="98">
        <v>100</v>
      </c>
      <c r="O463" s="95">
        <v>10</v>
      </c>
      <c r="P463" s="98">
        <f t="shared" si="84"/>
        <v>4.4999999999999998E-2</v>
      </c>
      <c r="Q463" s="99">
        <f>IFERROR(VLOOKUP(I463,'Raw material list'!$A$3:$F$695,6,0),"")</f>
        <v>4.7489823609226586E-3</v>
      </c>
      <c r="R463" s="100">
        <f t="shared" si="87"/>
        <v>2.1370420624151963E-4</v>
      </c>
      <c r="S463" s="94">
        <f t="shared" si="88"/>
        <v>2.1370420624151964E-5</v>
      </c>
      <c r="T463" s="94">
        <f t="shared" si="89"/>
        <v>2.3507462686567159E-4</v>
      </c>
      <c r="U463" s="93">
        <f t="shared" si="94"/>
        <v>2.3507462686567161E-5</v>
      </c>
      <c r="V463" s="93">
        <f t="shared" si="95"/>
        <v>2.350746268656716E-6</v>
      </c>
      <c r="W463" s="93">
        <f t="shared" si="96"/>
        <v>2.350746268656716E-6</v>
      </c>
      <c r="X463" s="93">
        <f t="shared" si="92"/>
        <v>2.6328358208955218E-4</v>
      </c>
      <c r="Y463" s="121"/>
    </row>
    <row r="464" spans="1:25">
      <c r="A464" s="95" t="s">
        <v>1508</v>
      </c>
      <c r="B464" s="95" t="s">
        <v>1631</v>
      </c>
      <c r="C464" s="95" t="s">
        <v>1427</v>
      </c>
      <c r="D464" s="101" t="s">
        <v>1514</v>
      </c>
      <c r="E464" s="101" t="s">
        <v>1510</v>
      </c>
      <c r="F464" s="101" t="s">
        <v>1670</v>
      </c>
      <c r="G464" s="101" t="s">
        <v>1516</v>
      </c>
      <c r="H464" s="97" t="str">
        <f>IFERROR(VLOOKUP(I464,'Raw material list'!$A$3:$C$695,3,0),"")</f>
        <v>WAT-001</v>
      </c>
      <c r="I464" s="97" t="s">
        <v>1406</v>
      </c>
      <c r="J464" s="101" t="s">
        <v>161</v>
      </c>
      <c r="K464" s="101" t="str">
        <f>IFERROR(VLOOKUP(I464,'Raw material list'!$A$3:$E$695,5,0),"")</f>
        <v>Ml</v>
      </c>
      <c r="L464" s="95">
        <v>11.27</v>
      </c>
      <c r="M464" s="98">
        <f t="shared" si="93"/>
        <v>11.27</v>
      </c>
      <c r="N464" s="98">
        <v>100</v>
      </c>
      <c r="O464" s="95">
        <v>10</v>
      </c>
      <c r="P464" s="98">
        <f t="shared" si="84"/>
        <v>1.127</v>
      </c>
      <c r="Q464" s="99">
        <f>IFERROR(VLOOKUP(I464,'Raw material list'!$A$3:$F$695,6,0),"")</f>
        <v>8.0000000000000007E-5</v>
      </c>
      <c r="R464" s="100">
        <f t="shared" si="87"/>
        <v>9.0160000000000004E-5</v>
      </c>
      <c r="S464" s="94">
        <f t="shared" si="88"/>
        <v>9.0160000000000014E-6</v>
      </c>
      <c r="T464" s="94">
        <f t="shared" si="89"/>
        <v>9.9176E-5</v>
      </c>
      <c r="U464" s="93">
        <f t="shared" si="94"/>
        <v>9.9176000000000014E-6</v>
      </c>
      <c r="V464" s="93">
        <f t="shared" si="95"/>
        <v>9.9175999999999993E-7</v>
      </c>
      <c r="W464" s="93">
        <f t="shared" si="96"/>
        <v>9.9175999999999993E-7</v>
      </c>
      <c r="X464" s="93">
        <f t="shared" si="92"/>
        <v>1.1107712000000002E-4</v>
      </c>
      <c r="Y464" s="121"/>
    </row>
    <row r="465" spans="1:25">
      <c r="A465" s="95" t="s">
        <v>1508</v>
      </c>
      <c r="B465" s="95" t="s">
        <v>1631</v>
      </c>
      <c r="C465" s="95" t="s">
        <v>1427</v>
      </c>
      <c r="D465" s="101" t="s">
        <v>1514</v>
      </c>
      <c r="E465" s="101" t="s">
        <v>1510</v>
      </c>
      <c r="F465" s="101" t="s">
        <v>1670</v>
      </c>
      <c r="G465" s="101" t="s">
        <v>1516</v>
      </c>
      <c r="H465" s="97" t="str">
        <f>IFERROR(VLOOKUP(I465,'Raw material list'!$A$3:$C$695,3,0),"")</f>
        <v>DRS1-5273</v>
      </c>
      <c r="I465" s="97" t="s">
        <v>773</v>
      </c>
      <c r="J465" s="101" t="s">
        <v>161</v>
      </c>
      <c r="K465" s="101" t="str">
        <f>IFERROR(VLOOKUP(I465,'Raw material list'!$A$3:$E$695,5,0),"")</f>
        <v>Ml</v>
      </c>
      <c r="L465" s="95">
        <v>2.25</v>
      </c>
      <c r="M465" s="98">
        <f t="shared" si="93"/>
        <v>2.25</v>
      </c>
      <c r="N465" s="98">
        <v>100</v>
      </c>
      <c r="O465" s="95">
        <v>10</v>
      </c>
      <c r="P465" s="98">
        <f t="shared" si="84"/>
        <v>0.22500000000000001</v>
      </c>
      <c r="Q465" s="99">
        <f>IFERROR(VLOOKUP(I465,'Raw material list'!$A$3:$F$695,6,0),"")</f>
        <v>1.8518518518518521E-2</v>
      </c>
      <c r="R465" s="100">
        <f t="shared" si="87"/>
        <v>4.1666666666666675E-3</v>
      </c>
      <c r="S465" s="94">
        <f t="shared" si="88"/>
        <v>4.1666666666666675E-4</v>
      </c>
      <c r="T465" s="94">
        <f t="shared" si="89"/>
        <v>4.5833333333333342E-3</v>
      </c>
      <c r="U465" s="93">
        <f t="shared" si="94"/>
        <v>4.5833333333333343E-4</v>
      </c>
      <c r="V465" s="93">
        <f t="shared" si="95"/>
        <v>4.5833333333333341E-5</v>
      </c>
      <c r="W465" s="93">
        <f t="shared" si="96"/>
        <v>4.5833333333333341E-5</v>
      </c>
      <c r="X465" s="93">
        <f t="shared" si="92"/>
        <v>5.1333333333333344E-3</v>
      </c>
      <c r="Y465" s="121"/>
    </row>
    <row r="466" spans="1:25">
      <c r="A466" s="95" t="s">
        <v>1508</v>
      </c>
      <c r="B466" s="95" t="s">
        <v>1631</v>
      </c>
      <c r="C466" s="95" t="s">
        <v>1427</v>
      </c>
      <c r="D466" s="101" t="s">
        <v>1514</v>
      </c>
      <c r="E466" s="101" t="s">
        <v>1510</v>
      </c>
      <c r="F466" s="101" t="s">
        <v>1670</v>
      </c>
      <c r="G466" s="101" t="s">
        <v>1516</v>
      </c>
      <c r="H466" s="97" t="str">
        <f>IFERROR(VLOOKUP(I466,'Raw material list'!$A$3:$C$695,3,0),"")</f>
        <v>DRS1-5269</v>
      </c>
      <c r="I466" s="97" t="s">
        <v>248</v>
      </c>
      <c r="J466" s="101" t="s">
        <v>161</v>
      </c>
      <c r="K466" s="101" t="str">
        <f>IFERROR(VLOOKUP(I466,'Raw material list'!$A$3:$E$695,5,0),"")</f>
        <v>Ml</v>
      </c>
      <c r="L466" s="95">
        <v>2.25</v>
      </c>
      <c r="M466" s="98">
        <f t="shared" si="93"/>
        <v>2.25</v>
      </c>
      <c r="N466" s="98">
        <v>100</v>
      </c>
      <c r="O466" s="95">
        <v>10</v>
      </c>
      <c r="P466" s="98">
        <f t="shared" si="84"/>
        <v>0.22500000000000001</v>
      </c>
      <c r="Q466" s="99">
        <f>IFERROR(VLOOKUP(I466,'Raw material list'!$A$3:$F$695,6,0),"")</f>
        <v>0.1066666666666667</v>
      </c>
      <c r="R466" s="100">
        <f t="shared" si="87"/>
        <v>2.4000000000000007E-2</v>
      </c>
      <c r="S466" s="94">
        <f t="shared" si="88"/>
        <v>2.4000000000000011E-3</v>
      </c>
      <c r="T466" s="94">
        <f t="shared" si="89"/>
        <v>2.6400000000000007E-2</v>
      </c>
      <c r="U466" s="93">
        <f t="shared" si="94"/>
        <v>2.6400000000000009E-3</v>
      </c>
      <c r="V466" s="93">
        <f t="shared" si="95"/>
        <v>2.6400000000000007E-4</v>
      </c>
      <c r="W466" s="93">
        <f t="shared" si="96"/>
        <v>2.6400000000000007E-4</v>
      </c>
      <c r="X466" s="93">
        <f t="shared" si="92"/>
        <v>2.9568000000000007E-2</v>
      </c>
      <c r="Y466" s="121"/>
    </row>
    <row r="467" spans="1:25">
      <c r="A467" s="95" t="s">
        <v>1508</v>
      </c>
      <c r="B467" s="95" t="s">
        <v>1631</v>
      </c>
      <c r="C467" s="95" t="s">
        <v>1427</v>
      </c>
      <c r="D467" s="101" t="s">
        <v>1514</v>
      </c>
      <c r="E467" s="101" t="s">
        <v>1510</v>
      </c>
      <c r="F467" s="101" t="s">
        <v>1670</v>
      </c>
      <c r="G467" s="101" t="s">
        <v>1516</v>
      </c>
      <c r="H467" s="97" t="str">
        <f>IFERROR(VLOOKUP(I467,'Raw material list'!$A$3:$C$695,3,0),"")</f>
        <v>DRY2-1858</v>
      </c>
      <c r="I467" s="97" t="s">
        <v>42</v>
      </c>
      <c r="J467" s="101" t="s">
        <v>161</v>
      </c>
      <c r="K467" s="101" t="str">
        <f>IFERROR(VLOOKUP(I467,'Raw material list'!$A$3:$E$695,5,0),"")</f>
        <v>Ml</v>
      </c>
      <c r="L467" s="95">
        <v>11.27</v>
      </c>
      <c r="M467" s="98">
        <f t="shared" si="93"/>
        <v>11.27</v>
      </c>
      <c r="N467" s="98">
        <v>100</v>
      </c>
      <c r="O467" s="95">
        <v>10</v>
      </c>
      <c r="P467" s="98">
        <f t="shared" si="84"/>
        <v>1.127</v>
      </c>
      <c r="Q467" s="99">
        <f>IFERROR(VLOOKUP(I467,'Raw material list'!$A$3:$F$695,6,0),"")</f>
        <v>9.8800000000000016E-3</v>
      </c>
      <c r="R467" s="100">
        <f t="shared" si="87"/>
        <v>1.1134760000000002E-2</v>
      </c>
      <c r="S467" s="94">
        <f t="shared" si="88"/>
        <v>1.1134760000000002E-3</v>
      </c>
      <c r="T467" s="94">
        <f t="shared" si="89"/>
        <v>1.2248236000000003E-2</v>
      </c>
      <c r="U467" s="93">
        <f t="shared" si="94"/>
        <v>1.2248236000000003E-3</v>
      </c>
      <c r="V467" s="93">
        <f t="shared" si="95"/>
        <v>1.2248236000000004E-4</v>
      </c>
      <c r="W467" s="93">
        <f t="shared" si="96"/>
        <v>1.2248236000000004E-4</v>
      </c>
      <c r="X467" s="93">
        <f t="shared" si="92"/>
        <v>1.3718024320000004E-2</v>
      </c>
      <c r="Y467" s="121"/>
    </row>
    <row r="468" spans="1:25">
      <c r="A468" s="95" t="s">
        <v>1508</v>
      </c>
      <c r="B468" s="95" t="s">
        <v>1631</v>
      </c>
      <c r="C468" s="95" t="s">
        <v>1427</v>
      </c>
      <c r="D468" s="101" t="s">
        <v>1514</v>
      </c>
      <c r="E468" s="101" t="s">
        <v>1510</v>
      </c>
      <c r="F468" s="101" t="s">
        <v>1670</v>
      </c>
      <c r="G468" s="101" t="s">
        <v>1516</v>
      </c>
      <c r="H468" s="97" t="str">
        <f>IFERROR(VLOOKUP(I468,'Raw material list'!$A$3:$C$695,3,0),"")</f>
        <v>PRD3-3878</v>
      </c>
      <c r="I468" s="97" t="s">
        <v>945</v>
      </c>
      <c r="J468" s="101" t="s">
        <v>111</v>
      </c>
      <c r="K468" s="101" t="str">
        <f>IFERROR(VLOOKUP(I468,'Raw material list'!$A$3:$E$695,5,0),"")</f>
        <v xml:space="preserve">Gram </v>
      </c>
      <c r="L468" s="95">
        <v>1.8</v>
      </c>
      <c r="M468" s="98">
        <f t="shared" si="93"/>
        <v>1.8000000000000003</v>
      </c>
      <c r="N468" s="98">
        <v>100</v>
      </c>
      <c r="O468" s="95">
        <v>10</v>
      </c>
      <c r="P468" s="98">
        <f t="shared" si="84"/>
        <v>0.18</v>
      </c>
      <c r="Q468" s="99">
        <f>IFERROR(VLOOKUP(I468,'Raw material list'!$A$3:$F$695,6,0),"")</f>
        <v>0.03</v>
      </c>
      <c r="R468" s="100">
        <f t="shared" si="87"/>
        <v>5.3999999999999994E-3</v>
      </c>
      <c r="S468" s="94">
        <f t="shared" si="88"/>
        <v>5.4000000000000001E-4</v>
      </c>
      <c r="T468" s="94">
        <f t="shared" si="89"/>
        <v>5.9399999999999991E-3</v>
      </c>
      <c r="U468" s="93">
        <f t="shared" si="94"/>
        <v>5.9399999999999991E-4</v>
      </c>
      <c r="V468" s="93">
        <f t="shared" si="95"/>
        <v>5.9399999999999994E-5</v>
      </c>
      <c r="W468" s="93">
        <f t="shared" si="96"/>
        <v>5.9399999999999994E-5</v>
      </c>
      <c r="X468" s="93">
        <f t="shared" si="92"/>
        <v>6.6527999999999995E-3</v>
      </c>
      <c r="Y468" s="121"/>
    </row>
    <row r="469" spans="1:25">
      <c r="A469" s="95" t="s">
        <v>1508</v>
      </c>
      <c r="B469" s="95" t="s">
        <v>1631</v>
      </c>
      <c r="C469" s="95" t="s">
        <v>1427</v>
      </c>
      <c r="D469" s="101" t="s">
        <v>1514</v>
      </c>
      <c r="E469" s="101" t="s">
        <v>1510</v>
      </c>
      <c r="F469" s="101" t="s">
        <v>1670</v>
      </c>
      <c r="G469" s="101" t="s">
        <v>1515</v>
      </c>
      <c r="H469" s="97" t="str">
        <f>IFERROR(VLOOKUP(I469,'Raw material list'!$A$3:$C$695,3,0),"")</f>
        <v>PRD1-4265</v>
      </c>
      <c r="I469" s="97" t="s">
        <v>10</v>
      </c>
      <c r="J469" s="101" t="s">
        <v>111</v>
      </c>
      <c r="K469" s="101" t="str">
        <f>IFERROR(VLOOKUP(I469,'Raw material list'!$A$3:$E$695,5,0),"")</f>
        <v xml:space="preserve">Gram </v>
      </c>
      <c r="L469" s="95">
        <v>500</v>
      </c>
      <c r="M469" s="98">
        <f t="shared" si="93"/>
        <v>588.23529411764707</v>
      </c>
      <c r="N469" s="98">
        <v>85</v>
      </c>
      <c r="O469" s="95">
        <v>10</v>
      </c>
      <c r="P469" s="98">
        <f t="shared" si="84"/>
        <v>50</v>
      </c>
      <c r="Q469" s="99">
        <f>IFERROR(VLOOKUP(I469,'Raw material list'!$A$3:$F$695,6,0),"")</f>
        <v>3.529411764705882E-3</v>
      </c>
      <c r="R469" s="100">
        <f t="shared" si="87"/>
        <v>0.1764705882352941</v>
      </c>
      <c r="S469" s="94">
        <f t="shared" si="88"/>
        <v>1.7647058823529412E-2</v>
      </c>
      <c r="T469" s="94">
        <f t="shared" si="89"/>
        <v>0.19411764705882351</v>
      </c>
      <c r="U469" s="93">
        <f t="shared" si="94"/>
        <v>1.9411764705882351E-2</v>
      </c>
      <c r="V469" s="93">
        <f t="shared" si="95"/>
        <v>1.941176470588235E-3</v>
      </c>
      <c r="W469" s="93">
        <f t="shared" si="96"/>
        <v>1.941176470588235E-3</v>
      </c>
      <c r="X469" s="93">
        <f t="shared" si="92"/>
        <v>0.2174117647058823</v>
      </c>
      <c r="Y469" s="121"/>
    </row>
    <row r="470" spans="1:25">
      <c r="A470" s="95" t="s">
        <v>1508</v>
      </c>
      <c r="B470" s="95" t="s">
        <v>1631</v>
      </c>
      <c r="C470" s="95" t="s">
        <v>1427</v>
      </c>
      <c r="D470" s="101" t="s">
        <v>1514</v>
      </c>
      <c r="E470" s="101" t="s">
        <v>1510</v>
      </c>
      <c r="F470" s="101" t="s">
        <v>1670</v>
      </c>
      <c r="G470" s="101" t="s">
        <v>1515</v>
      </c>
      <c r="H470" s="97" t="str">
        <f>IFERROR(VLOOKUP(I470,'Raw material list'!$A$3:$C$695,3,0),"")</f>
        <v>DRY2-1008</v>
      </c>
      <c r="I470" s="97" t="s">
        <v>21</v>
      </c>
      <c r="J470" s="101" t="s">
        <v>111</v>
      </c>
      <c r="K470" s="101" t="str">
        <f>IFERROR(VLOOKUP(I470,'Raw material list'!$A$3:$E$695,5,0),"")</f>
        <v xml:space="preserve">Gram </v>
      </c>
      <c r="L470" s="95">
        <v>50</v>
      </c>
      <c r="M470" s="98">
        <f t="shared" si="93"/>
        <v>50</v>
      </c>
      <c r="N470" s="98">
        <v>100</v>
      </c>
      <c r="O470" s="95">
        <v>10</v>
      </c>
      <c r="P470" s="98">
        <f t="shared" si="84"/>
        <v>5</v>
      </c>
      <c r="Q470" s="99">
        <f>IFERROR(VLOOKUP(I470,'Raw material list'!$A$3:$F$695,6,0),"")</f>
        <v>3.7999999999999999E-2</v>
      </c>
      <c r="R470" s="100">
        <f t="shared" si="87"/>
        <v>0.19</v>
      </c>
      <c r="S470" s="94">
        <f t="shared" si="88"/>
        <v>1.9000000000000003E-2</v>
      </c>
      <c r="T470" s="94">
        <f t="shared" si="89"/>
        <v>0.20900000000000002</v>
      </c>
      <c r="U470" s="93">
        <f t="shared" si="94"/>
        <v>2.0900000000000002E-2</v>
      </c>
      <c r="V470" s="93">
        <f t="shared" si="95"/>
        <v>2.0900000000000003E-3</v>
      </c>
      <c r="W470" s="93">
        <f t="shared" si="96"/>
        <v>2.0900000000000003E-3</v>
      </c>
      <c r="X470" s="93">
        <f t="shared" si="92"/>
        <v>0.23408000000000004</v>
      </c>
      <c r="Y470" s="121"/>
    </row>
    <row r="471" spans="1:25">
      <c r="A471" s="95" t="s">
        <v>1508</v>
      </c>
      <c r="B471" s="95" t="s">
        <v>1631</v>
      </c>
      <c r="C471" s="95" t="s">
        <v>1427</v>
      </c>
      <c r="D471" s="101" t="s">
        <v>1514</v>
      </c>
      <c r="E471" s="101" t="s">
        <v>1510</v>
      </c>
      <c r="F471" s="101" t="s">
        <v>1670</v>
      </c>
      <c r="G471" s="101" t="s">
        <v>1515</v>
      </c>
      <c r="H471" s="97" t="str">
        <f>IFERROR(VLOOKUP(I471,'Raw material list'!$A$3:$C$695,3,0),"")</f>
        <v>DRS1-3880</v>
      </c>
      <c r="I471" s="97" t="s">
        <v>1398</v>
      </c>
      <c r="J471" s="101" t="s">
        <v>111</v>
      </c>
      <c r="K471" s="101" t="str">
        <f>IFERROR(VLOOKUP(I471,'Raw material list'!$A$3:$E$695,5,0),"")</f>
        <v xml:space="preserve">Gram </v>
      </c>
      <c r="L471" s="95">
        <v>2</v>
      </c>
      <c r="M471" s="98">
        <f t="shared" si="93"/>
        <v>2</v>
      </c>
      <c r="N471" s="98">
        <v>100</v>
      </c>
      <c r="O471" s="95">
        <v>10</v>
      </c>
      <c r="P471" s="98">
        <f t="shared" si="84"/>
        <v>0.2</v>
      </c>
      <c r="Q471" s="99">
        <f>IFERROR(VLOOKUP(I471,'Raw material list'!$A$3:$F$695,6,0),"")</f>
        <v>5.0000000000000001E-4</v>
      </c>
      <c r="R471" s="100">
        <f t="shared" si="87"/>
        <v>1E-4</v>
      </c>
      <c r="S471" s="94">
        <f t="shared" si="88"/>
        <v>1.0000000000000001E-5</v>
      </c>
      <c r="T471" s="94">
        <f t="shared" si="89"/>
        <v>1.1E-4</v>
      </c>
      <c r="U471" s="93">
        <f t="shared" si="94"/>
        <v>1.1000000000000001E-5</v>
      </c>
      <c r="V471" s="93">
        <f t="shared" si="95"/>
        <v>1.1000000000000001E-6</v>
      </c>
      <c r="W471" s="93">
        <f t="shared" si="96"/>
        <v>1.1000000000000001E-6</v>
      </c>
      <c r="X471" s="93">
        <f t="shared" si="92"/>
        <v>1.2320000000000001E-4</v>
      </c>
      <c r="Y471" s="121"/>
    </row>
    <row r="472" spans="1:25">
      <c r="A472" s="95" t="s">
        <v>1508</v>
      </c>
      <c r="B472" s="95" t="s">
        <v>1631</v>
      </c>
      <c r="C472" s="95" t="s">
        <v>1427</v>
      </c>
      <c r="D472" s="101" t="s">
        <v>1514</v>
      </c>
      <c r="E472" s="101" t="s">
        <v>1510</v>
      </c>
      <c r="F472" s="101" t="s">
        <v>1670</v>
      </c>
      <c r="G472" s="101" t="s">
        <v>1515</v>
      </c>
      <c r="H472" s="97" t="str">
        <f>IFERROR(VLOOKUP(I472,'Raw material list'!$A$3:$C$695,3,0),"")</f>
        <v>DRS6-537</v>
      </c>
      <c r="I472" s="97" t="s">
        <v>25</v>
      </c>
      <c r="J472" s="101" t="s">
        <v>111</v>
      </c>
      <c r="K472" s="101" t="str">
        <f>IFERROR(VLOOKUP(I472,'Raw material list'!$A$3:$E$695,5,0),"")</f>
        <v xml:space="preserve">Gram </v>
      </c>
      <c r="L472" s="95">
        <v>2</v>
      </c>
      <c r="M472" s="98">
        <f t="shared" si="93"/>
        <v>2</v>
      </c>
      <c r="N472" s="98">
        <v>100</v>
      </c>
      <c r="O472" s="95">
        <v>10</v>
      </c>
      <c r="P472" s="98">
        <f t="shared" si="84"/>
        <v>0.2</v>
      </c>
      <c r="Q472" s="99">
        <f>IFERROR(VLOOKUP(I472,'Raw material list'!$A$3:$F$695,6,0),"")</f>
        <v>3.5000000000000003E-2</v>
      </c>
      <c r="R472" s="100">
        <f t="shared" si="87"/>
        <v>7.000000000000001E-3</v>
      </c>
      <c r="S472" s="94">
        <f t="shared" si="88"/>
        <v>7.000000000000001E-4</v>
      </c>
      <c r="T472" s="94">
        <f t="shared" si="89"/>
        <v>7.7000000000000011E-3</v>
      </c>
      <c r="U472" s="93">
        <f t="shared" si="94"/>
        <v>7.7000000000000018E-4</v>
      </c>
      <c r="V472" s="93">
        <f t="shared" si="95"/>
        <v>7.7000000000000015E-5</v>
      </c>
      <c r="W472" s="93">
        <f t="shared" si="96"/>
        <v>7.7000000000000015E-5</v>
      </c>
      <c r="X472" s="93">
        <f t="shared" si="92"/>
        <v>8.6240000000000032E-3</v>
      </c>
      <c r="Y472" s="121"/>
    </row>
    <row r="473" spans="1:25">
      <c r="A473" s="95" t="s">
        <v>1508</v>
      </c>
      <c r="B473" s="95" t="s">
        <v>1631</v>
      </c>
      <c r="C473" s="95" t="s">
        <v>1427</v>
      </c>
      <c r="D473" s="101" t="s">
        <v>1514</v>
      </c>
      <c r="E473" s="101" t="s">
        <v>1510</v>
      </c>
      <c r="F473" s="101" t="s">
        <v>1670</v>
      </c>
      <c r="G473" s="101" t="s">
        <v>1515</v>
      </c>
      <c r="H473" s="97" t="str">
        <f>IFERROR(VLOOKUP(I473,'Raw material list'!$A$3:$C$695,3,0),"")</f>
        <v>WAT-001</v>
      </c>
      <c r="I473" s="97" t="s">
        <v>1406</v>
      </c>
      <c r="J473" s="101" t="s">
        <v>161</v>
      </c>
      <c r="K473" s="101" t="str">
        <f>IFERROR(VLOOKUP(I473,'Raw material list'!$A$3:$E$695,5,0),"")</f>
        <v>Ml</v>
      </c>
      <c r="L473" s="95">
        <v>100</v>
      </c>
      <c r="M473" s="98">
        <f t="shared" si="93"/>
        <v>100</v>
      </c>
      <c r="N473" s="98">
        <v>100</v>
      </c>
      <c r="O473" s="95">
        <v>10</v>
      </c>
      <c r="P473" s="98">
        <f t="shared" si="84"/>
        <v>10</v>
      </c>
      <c r="Q473" s="99">
        <f>IFERROR(VLOOKUP(I473,'Raw material list'!$A$3:$F$695,6,0),"")</f>
        <v>8.0000000000000007E-5</v>
      </c>
      <c r="R473" s="100">
        <f t="shared" si="87"/>
        <v>8.0000000000000004E-4</v>
      </c>
      <c r="S473" s="94">
        <f t="shared" si="88"/>
        <v>8.0000000000000007E-5</v>
      </c>
      <c r="T473" s="94">
        <f t="shared" si="89"/>
        <v>8.8000000000000003E-4</v>
      </c>
      <c r="U473" s="93">
        <f t="shared" si="94"/>
        <v>8.8000000000000011E-5</v>
      </c>
      <c r="V473" s="93">
        <f t="shared" si="95"/>
        <v>8.8000000000000004E-6</v>
      </c>
      <c r="W473" s="93">
        <f t="shared" si="96"/>
        <v>8.8000000000000004E-6</v>
      </c>
      <c r="X473" s="93">
        <f t="shared" si="92"/>
        <v>9.856000000000001E-4</v>
      </c>
      <c r="Y473" s="121"/>
    </row>
    <row r="474" spans="1:25" s="90" customFormat="1">
      <c r="A474" s="95" t="s">
        <v>1611</v>
      </c>
      <c r="B474" s="95" t="s">
        <v>1668</v>
      </c>
      <c r="C474" s="95" t="s">
        <v>1427</v>
      </c>
      <c r="D474" s="101" t="s">
        <v>1517</v>
      </c>
      <c r="E474" s="101" t="s">
        <v>1510</v>
      </c>
      <c r="F474" s="101" t="s">
        <v>1671</v>
      </c>
      <c r="G474" s="101" t="s">
        <v>1617</v>
      </c>
      <c r="H474" s="97" t="str">
        <f>IFERROR(VLOOKUP(I474,'Raw material list'!$A$3:$C$695,3,0),"")</f>
        <v>MET2-1051</v>
      </c>
      <c r="I474" s="97" t="s">
        <v>882</v>
      </c>
      <c r="J474" s="101" t="s">
        <v>111</v>
      </c>
      <c r="K474" s="101" t="str">
        <f>IFERROR(VLOOKUP(I474,'Raw material list'!$A$3:$E$695,5,0),"")</f>
        <v xml:space="preserve">Gram </v>
      </c>
      <c r="L474" s="95">
        <v>1500</v>
      </c>
      <c r="M474" s="98">
        <f t="shared" si="93"/>
        <v>2918.2879377431905</v>
      </c>
      <c r="N474" s="98">
        <v>51.4</v>
      </c>
      <c r="O474" s="95">
        <v>10</v>
      </c>
      <c r="P474" s="98">
        <f t="shared" ref="P474:P520" si="97">IFERROR(L474/O474,0)</f>
        <v>150</v>
      </c>
      <c r="Q474" s="99">
        <f>IFERROR(VLOOKUP(I474,'Raw material list'!$A$3:$F$695,6,0),"")</f>
        <v>8.4705882352941173E-2</v>
      </c>
      <c r="R474" s="100">
        <f t="shared" ref="R474:R520" si="98">IFERROR(Q474*P474,0)</f>
        <v>12.705882352941176</v>
      </c>
      <c r="S474" s="94">
        <f t="shared" ref="S474:S520" si="99">R474*10%</f>
        <v>1.2705882352941176</v>
      </c>
      <c r="T474" s="94">
        <f t="shared" ref="T474:T520" si="100">R474+S474</f>
        <v>13.976470588235294</v>
      </c>
      <c r="U474" s="93">
        <f t="shared" si="94"/>
        <v>1.3976470588235295</v>
      </c>
      <c r="V474" s="93">
        <f t="shared" si="95"/>
        <v>0.13976470588235296</v>
      </c>
      <c r="W474" s="93">
        <f t="shared" si="96"/>
        <v>0.13976470588235296</v>
      </c>
      <c r="X474" s="93">
        <f t="shared" si="92"/>
        <v>15.65364705882353</v>
      </c>
      <c r="Y474" s="127" t="s">
        <v>1679</v>
      </c>
    </row>
    <row r="475" spans="1:25" s="90" customFormat="1">
      <c r="A475" s="95" t="s">
        <v>1611</v>
      </c>
      <c r="B475" s="95" t="s">
        <v>1668</v>
      </c>
      <c r="C475" s="95" t="s">
        <v>1427</v>
      </c>
      <c r="D475" s="101" t="s">
        <v>1517</v>
      </c>
      <c r="E475" s="101" t="s">
        <v>1510</v>
      </c>
      <c r="F475" s="95" t="s">
        <v>1671</v>
      </c>
      <c r="G475" s="101" t="s">
        <v>1617</v>
      </c>
      <c r="H475" s="97" t="str">
        <f>IFERROR(VLOOKUP(I475,'Raw material list'!$A$3:$C$695,3,0),"")</f>
        <v>DRS1-1142</v>
      </c>
      <c r="I475" s="97" t="s">
        <v>775</v>
      </c>
      <c r="J475" s="101" t="s">
        <v>111</v>
      </c>
      <c r="K475" s="101" t="str">
        <f>IFERROR(VLOOKUP(I475,'Raw material list'!$A$3:$E$695,5,0),"")</f>
        <v>Ml</v>
      </c>
      <c r="L475" s="95">
        <v>100</v>
      </c>
      <c r="M475" s="98">
        <f t="shared" si="93"/>
        <v>100</v>
      </c>
      <c r="N475" s="98">
        <v>100</v>
      </c>
      <c r="O475" s="95">
        <v>10</v>
      </c>
      <c r="P475" s="98">
        <f t="shared" ref="P475:P480" si="101">IFERROR(L475/O475,0)</f>
        <v>10</v>
      </c>
      <c r="Q475" s="99">
        <f>IFERROR(VLOOKUP(I475,'Raw material list'!$A$3:$F$695,6,0),"")</f>
        <v>2.358E-2</v>
      </c>
      <c r="R475" s="100">
        <f t="shared" ref="R475:R480" si="102">IFERROR(Q475*P475,0)</f>
        <v>0.23580000000000001</v>
      </c>
      <c r="S475" s="94">
        <f t="shared" si="99"/>
        <v>2.3580000000000004E-2</v>
      </c>
      <c r="T475" s="94">
        <f t="shared" si="100"/>
        <v>0.25938</v>
      </c>
      <c r="U475" s="93">
        <f t="shared" si="94"/>
        <v>2.5938000000000003E-2</v>
      </c>
      <c r="V475" s="93">
        <f t="shared" si="95"/>
        <v>2.5937999999999998E-3</v>
      </c>
      <c r="W475" s="93">
        <f t="shared" si="96"/>
        <v>2.5937999999999998E-3</v>
      </c>
      <c r="X475" s="93">
        <f t="shared" si="92"/>
        <v>0.29050559999999997</v>
      </c>
      <c r="Y475" s="116"/>
    </row>
    <row r="476" spans="1:25" s="90" customFormat="1">
      <c r="A476" s="95" t="s">
        <v>1611</v>
      </c>
      <c r="B476" s="95" t="s">
        <v>1668</v>
      </c>
      <c r="C476" s="95" t="s">
        <v>1427</v>
      </c>
      <c r="D476" s="101" t="s">
        <v>1517</v>
      </c>
      <c r="E476" s="101" t="s">
        <v>1510</v>
      </c>
      <c r="F476" s="101" t="s">
        <v>1671</v>
      </c>
      <c r="G476" s="101" t="s">
        <v>1617</v>
      </c>
      <c r="H476" s="97" t="str">
        <f>IFERROR(VLOOKUP(I476,'Raw material list'!$A$3:$C$695,3,0),"")</f>
        <v>PRD1-4327</v>
      </c>
      <c r="I476" s="97" t="s">
        <v>11</v>
      </c>
      <c r="J476" s="101" t="s">
        <v>111</v>
      </c>
      <c r="K476" s="101" t="str">
        <f>IFERROR(VLOOKUP(I476,'Raw material list'!$A$3:$E$695,5,0),"")</f>
        <v xml:space="preserve">Gram </v>
      </c>
      <c r="L476" s="95">
        <v>10</v>
      </c>
      <c r="M476" s="98">
        <f t="shared" si="93"/>
        <v>12.5</v>
      </c>
      <c r="N476" s="133">
        <v>80</v>
      </c>
      <c r="O476" s="95">
        <v>10</v>
      </c>
      <c r="P476" s="98">
        <f t="shared" si="101"/>
        <v>1</v>
      </c>
      <c r="Q476" s="99">
        <f>IFERROR(VLOOKUP(I476,'Raw material list'!$A$3:$F$695,6,0),"")</f>
        <v>1.2999999999999999E-2</v>
      </c>
      <c r="R476" s="100">
        <f t="shared" si="102"/>
        <v>1.2999999999999999E-2</v>
      </c>
      <c r="S476" s="94">
        <f t="shared" si="99"/>
        <v>1.2999999999999999E-3</v>
      </c>
      <c r="T476" s="94">
        <f t="shared" si="100"/>
        <v>1.43E-2</v>
      </c>
      <c r="U476" s="93">
        <f t="shared" si="94"/>
        <v>1.4300000000000001E-3</v>
      </c>
      <c r="V476" s="93">
        <f t="shared" si="95"/>
        <v>1.4300000000000001E-4</v>
      </c>
      <c r="W476" s="93">
        <f t="shared" si="96"/>
        <v>1.4300000000000001E-4</v>
      </c>
      <c r="X476" s="93">
        <f t="shared" si="92"/>
        <v>1.6016000000000002E-2</v>
      </c>
      <c r="Y476" s="116"/>
    </row>
    <row r="477" spans="1:25" s="90" customFormat="1">
      <c r="A477" s="95" t="s">
        <v>1611</v>
      </c>
      <c r="B477" s="95" t="s">
        <v>1668</v>
      </c>
      <c r="C477" s="95" t="s">
        <v>1427</v>
      </c>
      <c r="D477" s="101" t="s">
        <v>1517</v>
      </c>
      <c r="E477" s="101" t="s">
        <v>1510</v>
      </c>
      <c r="F477" s="101" t="s">
        <v>1671</v>
      </c>
      <c r="G477" s="101" t="s">
        <v>1617</v>
      </c>
      <c r="H477" s="97" t="str">
        <f>IFERROR(VLOOKUP(I477,'Raw material list'!$A$3:$C$695,3,0),"")</f>
        <v>PRD1-209</v>
      </c>
      <c r="I477" s="97" t="s">
        <v>26</v>
      </c>
      <c r="J477" s="101" t="s">
        <v>111</v>
      </c>
      <c r="K477" s="101" t="str">
        <f>IFERROR(VLOOKUP(I477,'Raw material list'!$A$3:$E$695,5,0),"")</f>
        <v xml:space="preserve">Gram </v>
      </c>
      <c r="L477" s="95">
        <v>15</v>
      </c>
      <c r="M477" s="98">
        <f t="shared" si="93"/>
        <v>39.473684210526315</v>
      </c>
      <c r="N477" s="98">
        <v>38</v>
      </c>
      <c r="O477" s="95">
        <v>10</v>
      </c>
      <c r="P477" s="98">
        <f t="shared" si="101"/>
        <v>1.5</v>
      </c>
      <c r="Q477" s="99">
        <f>IFERROR(VLOOKUP(I477,'Raw material list'!$A$3:$F$695,6,0),"")</f>
        <v>1.0088272383354351E-2</v>
      </c>
      <c r="R477" s="100">
        <f t="shared" si="102"/>
        <v>1.5132408575031526E-2</v>
      </c>
      <c r="S477" s="94">
        <f t="shared" si="99"/>
        <v>1.5132408575031526E-3</v>
      </c>
      <c r="T477" s="94">
        <f t="shared" si="100"/>
        <v>1.664564943253468E-2</v>
      </c>
      <c r="U477" s="93">
        <f t="shared" si="94"/>
        <v>1.6645649432534681E-3</v>
      </c>
      <c r="V477" s="93">
        <f t="shared" si="95"/>
        <v>1.6645649432534682E-4</v>
      </c>
      <c r="W477" s="93">
        <f t="shared" si="96"/>
        <v>1.6645649432534682E-4</v>
      </c>
      <c r="X477" s="93">
        <f t="shared" si="92"/>
        <v>1.8643127364438843E-2</v>
      </c>
      <c r="Y477" s="116"/>
    </row>
    <row r="478" spans="1:25" s="90" customFormat="1">
      <c r="A478" s="95" t="s">
        <v>1611</v>
      </c>
      <c r="B478" s="95" t="s">
        <v>1668</v>
      </c>
      <c r="C478" s="95" t="s">
        <v>1427</v>
      </c>
      <c r="D478" s="101" t="s">
        <v>1517</v>
      </c>
      <c r="E478" s="101" t="s">
        <v>1510</v>
      </c>
      <c r="F478" s="101" t="s">
        <v>1671</v>
      </c>
      <c r="G478" s="101" t="s">
        <v>1617</v>
      </c>
      <c r="H478" s="97" t="str">
        <f>IFERROR(VLOOKUP(I478,'Raw material list'!$A$3:$C$695,3,0),"")</f>
        <v>DRS6-537</v>
      </c>
      <c r="I478" s="97" t="s">
        <v>25</v>
      </c>
      <c r="J478" s="101" t="s">
        <v>111</v>
      </c>
      <c r="K478" s="101" t="str">
        <f>IFERROR(VLOOKUP(I478,'Raw material list'!$A$3:$E$695,5,0),"")</f>
        <v xml:space="preserve">Gram </v>
      </c>
      <c r="L478" s="95">
        <v>1</v>
      </c>
      <c r="M478" s="98">
        <f t="shared" si="93"/>
        <v>1</v>
      </c>
      <c r="N478" s="98">
        <v>100</v>
      </c>
      <c r="O478" s="95">
        <v>10</v>
      </c>
      <c r="P478" s="98">
        <f t="shared" si="101"/>
        <v>0.1</v>
      </c>
      <c r="Q478" s="99">
        <f>IFERROR(VLOOKUP(I478,'Raw material list'!$A$3:$F$695,6,0),"")</f>
        <v>3.5000000000000003E-2</v>
      </c>
      <c r="R478" s="100">
        <f t="shared" si="102"/>
        <v>3.5000000000000005E-3</v>
      </c>
      <c r="S478" s="94">
        <f t="shared" si="99"/>
        <v>3.5000000000000005E-4</v>
      </c>
      <c r="T478" s="94">
        <f t="shared" si="100"/>
        <v>3.8500000000000006E-3</v>
      </c>
      <c r="U478" s="93">
        <f t="shared" si="94"/>
        <v>3.8500000000000009E-4</v>
      </c>
      <c r="V478" s="93">
        <f t="shared" si="95"/>
        <v>3.8500000000000007E-5</v>
      </c>
      <c r="W478" s="93">
        <f t="shared" si="96"/>
        <v>3.8500000000000007E-5</v>
      </c>
      <c r="X478" s="93">
        <f t="shared" si="92"/>
        <v>4.3120000000000016E-3</v>
      </c>
      <c r="Y478" s="116"/>
    </row>
    <row r="479" spans="1:25" s="90" customFormat="1">
      <c r="A479" s="95" t="s">
        <v>1611</v>
      </c>
      <c r="B479" s="95" t="s">
        <v>1668</v>
      </c>
      <c r="C479" s="95" t="s">
        <v>1427</v>
      </c>
      <c r="D479" s="101" t="s">
        <v>1517</v>
      </c>
      <c r="E479" s="101" t="s">
        <v>1510</v>
      </c>
      <c r="F479" s="101" t="s">
        <v>1671</v>
      </c>
      <c r="G479" s="101" t="s">
        <v>1617</v>
      </c>
      <c r="H479" s="97" t="str">
        <f>IFERROR(VLOOKUP(I479,'Raw material list'!$A$3:$C$695,3,0),"")</f>
        <v>WAT-001</v>
      </c>
      <c r="I479" s="97" t="s">
        <v>1406</v>
      </c>
      <c r="J479" s="101" t="s">
        <v>111</v>
      </c>
      <c r="K479" s="101" t="str">
        <f>IFERROR(VLOOKUP(I479,'Raw material list'!$A$3:$E$695,5,0),"")</f>
        <v>Ml</v>
      </c>
      <c r="L479" s="95">
        <v>100</v>
      </c>
      <c r="M479" s="98">
        <f t="shared" si="93"/>
        <v>100</v>
      </c>
      <c r="N479" s="98">
        <v>100</v>
      </c>
      <c r="O479" s="95">
        <v>10</v>
      </c>
      <c r="P479" s="98">
        <f t="shared" si="101"/>
        <v>10</v>
      </c>
      <c r="Q479" s="99">
        <f>IFERROR(VLOOKUP(I479,'Raw material list'!$A$3:$F$695,6,0),"")</f>
        <v>8.0000000000000007E-5</v>
      </c>
      <c r="R479" s="100">
        <f t="shared" si="102"/>
        <v>8.0000000000000004E-4</v>
      </c>
      <c r="S479" s="94">
        <f t="shared" si="99"/>
        <v>8.0000000000000007E-5</v>
      </c>
      <c r="T479" s="94">
        <f t="shared" si="100"/>
        <v>8.8000000000000003E-4</v>
      </c>
      <c r="U479" s="93">
        <f t="shared" si="94"/>
        <v>8.8000000000000011E-5</v>
      </c>
      <c r="V479" s="93">
        <f t="shared" si="95"/>
        <v>8.8000000000000004E-6</v>
      </c>
      <c r="W479" s="93">
        <f t="shared" si="96"/>
        <v>8.8000000000000004E-6</v>
      </c>
      <c r="X479" s="93">
        <f t="shared" si="92"/>
        <v>9.856000000000001E-4</v>
      </c>
      <c r="Y479" s="116"/>
    </row>
    <row r="480" spans="1:25" s="90" customFormat="1">
      <c r="A480" s="95" t="s">
        <v>1611</v>
      </c>
      <c r="B480" s="95" t="s">
        <v>1668</v>
      </c>
      <c r="C480" s="95" t="s">
        <v>1427</v>
      </c>
      <c r="D480" s="101" t="s">
        <v>1517</v>
      </c>
      <c r="E480" s="101" t="s">
        <v>1510</v>
      </c>
      <c r="F480" s="101" t="s">
        <v>1671</v>
      </c>
      <c r="G480" s="101" t="s">
        <v>1617</v>
      </c>
      <c r="H480" s="97" t="str">
        <f>IFERROR(VLOOKUP(I480,'Raw material list'!$A$3:$C$695,3,0),"")</f>
        <v>PRD1-573</v>
      </c>
      <c r="I480" s="97" t="s">
        <v>1059</v>
      </c>
      <c r="J480" s="101" t="s">
        <v>111</v>
      </c>
      <c r="K480" s="101" t="str">
        <f>IFERROR(VLOOKUP(I480,'Raw material list'!$A$3:$E$695,5,0),"")</f>
        <v xml:space="preserve">Gram </v>
      </c>
      <c r="L480" s="95">
        <v>10</v>
      </c>
      <c r="M480" s="98">
        <f t="shared" si="93"/>
        <v>13.698630136986301</v>
      </c>
      <c r="N480" s="98">
        <v>73</v>
      </c>
      <c r="O480" s="95">
        <v>10</v>
      </c>
      <c r="P480" s="98">
        <f t="shared" si="101"/>
        <v>1</v>
      </c>
      <c r="Q480" s="99">
        <f>IFERROR(VLOOKUP(I480,'Raw material list'!$A$3:$F$695,6,0),"")</f>
        <v>5.4794520547945206E-3</v>
      </c>
      <c r="R480" s="100">
        <f t="shared" si="102"/>
        <v>5.4794520547945206E-3</v>
      </c>
      <c r="S480" s="94">
        <f t="shared" si="99"/>
        <v>5.4794520547945212E-4</v>
      </c>
      <c r="T480" s="94">
        <f t="shared" si="100"/>
        <v>6.0273972602739728E-3</v>
      </c>
      <c r="U480" s="93">
        <f t="shared" si="94"/>
        <v>6.027397260273973E-4</v>
      </c>
      <c r="V480" s="93">
        <f t="shared" si="95"/>
        <v>6.027397260273973E-5</v>
      </c>
      <c r="W480" s="93">
        <f t="shared" si="96"/>
        <v>6.027397260273973E-5</v>
      </c>
      <c r="X480" s="93">
        <f t="shared" si="92"/>
        <v>6.7506849315068507E-3</v>
      </c>
      <c r="Y480" s="116"/>
    </row>
    <row r="481" spans="1:25" s="90" customFormat="1">
      <c r="A481" s="95" t="s">
        <v>1611</v>
      </c>
      <c r="B481" s="95" t="s">
        <v>1668</v>
      </c>
      <c r="C481" s="95" t="s">
        <v>1427</v>
      </c>
      <c r="D481" s="101" t="s">
        <v>1517</v>
      </c>
      <c r="E481" s="101" t="s">
        <v>1510</v>
      </c>
      <c r="F481" s="101" t="s">
        <v>1670</v>
      </c>
      <c r="G481" s="97" t="s">
        <v>1426</v>
      </c>
      <c r="H481" s="97" t="str">
        <f>IFERROR(VLOOKUP(I481,'Raw material list'!$A$3:$C$695,3,0),"")</f>
        <v>PRD1-235</v>
      </c>
      <c r="I481" s="97" t="s">
        <v>1048</v>
      </c>
      <c r="J481" s="101" t="s">
        <v>111</v>
      </c>
      <c r="K481" s="101" t="str">
        <f>IFERROR(VLOOKUP(I481,'Raw material list'!$A$3:$E$695,5,0),"")</f>
        <v xml:space="preserve">Gram </v>
      </c>
      <c r="L481" s="95">
        <v>100</v>
      </c>
      <c r="M481" s="98">
        <f t="shared" si="93"/>
        <v>309.27835051546396</v>
      </c>
      <c r="N481" s="98">
        <v>32.333333333333329</v>
      </c>
      <c r="O481" s="95">
        <v>10</v>
      </c>
      <c r="P481" s="98">
        <f t="shared" si="97"/>
        <v>10</v>
      </c>
      <c r="Q481" s="99">
        <f>IFERROR(VLOOKUP(I481,'Raw material list'!$A$3:$F$695,6,0),"")</f>
        <v>1.238390092879257E-2</v>
      </c>
      <c r="R481" s="100">
        <f t="shared" si="98"/>
        <v>0.12383900928792571</v>
      </c>
      <c r="S481" s="94">
        <f t="shared" si="99"/>
        <v>1.2383900928792572E-2</v>
      </c>
      <c r="T481" s="94">
        <f t="shared" si="100"/>
        <v>0.13622291021671828</v>
      </c>
      <c r="U481" s="93">
        <f t="shared" si="94"/>
        <v>1.3622291021671829E-2</v>
      </c>
      <c r="V481" s="93">
        <f t="shared" si="95"/>
        <v>1.3622291021671829E-3</v>
      </c>
      <c r="W481" s="93">
        <f t="shared" si="96"/>
        <v>1.3622291021671829E-3</v>
      </c>
      <c r="X481" s="93">
        <f t="shared" si="92"/>
        <v>0.15256965944272449</v>
      </c>
      <c r="Y481" s="117"/>
    </row>
    <row r="482" spans="1:25" s="90" customFormat="1">
      <c r="A482" s="95" t="s">
        <v>1611</v>
      </c>
      <c r="B482" s="95" t="s">
        <v>1668</v>
      </c>
      <c r="C482" s="95" t="s">
        <v>1427</v>
      </c>
      <c r="D482" s="101" t="s">
        <v>1517</v>
      </c>
      <c r="E482" s="101" t="s">
        <v>1510</v>
      </c>
      <c r="F482" s="101" t="s">
        <v>1670</v>
      </c>
      <c r="G482" s="97" t="s">
        <v>1426</v>
      </c>
      <c r="H482" s="97" t="str">
        <f>IFERROR(VLOOKUP(I482,'Raw material list'!$A$3:$C$695,3,0),"")</f>
        <v>PRD1-245</v>
      </c>
      <c r="I482" s="97" t="s">
        <v>989</v>
      </c>
      <c r="J482" s="101" t="s">
        <v>111</v>
      </c>
      <c r="K482" s="101" t="str">
        <f>IFERROR(VLOOKUP(I482,'Raw material list'!$A$3:$E$695,5,0),"")</f>
        <v xml:space="preserve">Gram </v>
      </c>
      <c r="L482" s="95">
        <v>250</v>
      </c>
      <c r="M482" s="98">
        <f t="shared" si="93"/>
        <v>250</v>
      </c>
      <c r="N482" s="98">
        <v>100</v>
      </c>
      <c r="O482" s="95">
        <v>10</v>
      </c>
      <c r="P482" s="98">
        <f t="shared" si="97"/>
        <v>25</v>
      </c>
      <c r="Q482" s="99">
        <f>IFERROR(VLOOKUP(I482,'Raw material list'!$A$3:$F$695,6,0),"")</f>
        <v>1.4E-2</v>
      </c>
      <c r="R482" s="100">
        <f t="shared" si="98"/>
        <v>0.35000000000000003</v>
      </c>
      <c r="S482" s="94">
        <f t="shared" si="99"/>
        <v>3.5000000000000003E-2</v>
      </c>
      <c r="T482" s="94">
        <f t="shared" si="100"/>
        <v>0.38500000000000001</v>
      </c>
      <c r="U482" s="93">
        <f t="shared" si="94"/>
        <v>3.8500000000000006E-2</v>
      </c>
      <c r="V482" s="93">
        <f t="shared" si="95"/>
        <v>3.8500000000000001E-3</v>
      </c>
      <c r="W482" s="93">
        <f t="shared" si="96"/>
        <v>3.8500000000000001E-3</v>
      </c>
      <c r="X482" s="93">
        <f t="shared" si="92"/>
        <v>0.43120000000000003</v>
      </c>
      <c r="Y482" s="117"/>
    </row>
    <row r="483" spans="1:25" s="90" customFormat="1">
      <c r="A483" s="95" t="s">
        <v>1611</v>
      </c>
      <c r="B483" s="95" t="s">
        <v>1668</v>
      </c>
      <c r="C483" s="95" t="s">
        <v>1427</v>
      </c>
      <c r="D483" s="101" t="s">
        <v>1517</v>
      </c>
      <c r="E483" s="101" t="s">
        <v>1510</v>
      </c>
      <c r="F483" s="101" t="s">
        <v>1670</v>
      </c>
      <c r="G483" s="97" t="s">
        <v>1426</v>
      </c>
      <c r="H483" s="97" t="str">
        <f>IFERROR(VLOOKUP(I483,'Raw material list'!$A$3:$C$695,3,0),"")</f>
        <v>PRD1-194</v>
      </c>
      <c r="I483" s="97" t="s">
        <v>991</v>
      </c>
      <c r="J483" s="101" t="s">
        <v>111</v>
      </c>
      <c r="K483" s="101" t="str">
        <f>IFERROR(VLOOKUP(I483,'Raw material list'!$A$3:$E$695,5,0),"")</f>
        <v xml:space="preserve">Gram </v>
      </c>
      <c r="L483" s="95">
        <v>10</v>
      </c>
      <c r="M483" s="98">
        <f t="shared" si="93"/>
        <v>10.869565217391305</v>
      </c>
      <c r="N483" s="133">
        <v>92</v>
      </c>
      <c r="O483" s="95">
        <v>10</v>
      </c>
      <c r="P483" s="98">
        <f t="shared" si="97"/>
        <v>1</v>
      </c>
      <c r="Q483" s="99">
        <f>IFERROR(VLOOKUP(I483,'Raw material list'!$A$3:$F$695,6,0),"")</f>
        <v>0.11</v>
      </c>
      <c r="R483" s="100">
        <f t="shared" si="98"/>
        <v>0.11</v>
      </c>
      <c r="S483" s="94">
        <f t="shared" si="99"/>
        <v>1.1000000000000001E-2</v>
      </c>
      <c r="T483" s="94">
        <f t="shared" si="100"/>
        <v>0.121</v>
      </c>
      <c r="U483" s="93">
        <f t="shared" si="94"/>
        <v>1.21E-2</v>
      </c>
      <c r="V483" s="93">
        <f t="shared" si="95"/>
        <v>1.2099999999999999E-3</v>
      </c>
      <c r="W483" s="93">
        <f t="shared" si="96"/>
        <v>1.2099999999999999E-3</v>
      </c>
      <c r="X483" s="93">
        <f t="shared" si="92"/>
        <v>0.13551999999999997</v>
      </c>
      <c r="Y483" s="117"/>
    </row>
    <row r="484" spans="1:25" s="90" customFormat="1">
      <c r="A484" s="95" t="s">
        <v>1611</v>
      </c>
      <c r="B484" s="95" t="s">
        <v>1668</v>
      </c>
      <c r="C484" s="95" t="s">
        <v>1427</v>
      </c>
      <c r="D484" s="101" t="s">
        <v>1517</v>
      </c>
      <c r="E484" s="101" t="s">
        <v>1510</v>
      </c>
      <c r="F484" s="101" t="s">
        <v>1670</v>
      </c>
      <c r="G484" s="101" t="s">
        <v>1518</v>
      </c>
      <c r="H484" s="97" t="str">
        <f>IFERROR(VLOOKUP(I484,'Raw material list'!$A$3:$C$695,3,0),"")</f>
        <v>PRD1-4265</v>
      </c>
      <c r="I484" s="97" t="s">
        <v>10</v>
      </c>
      <c r="J484" s="101" t="s">
        <v>111</v>
      </c>
      <c r="K484" s="101" t="str">
        <f>IFERROR(VLOOKUP(I484,'Raw material list'!$A$3:$E$695,5,0),"")</f>
        <v xml:space="preserve">Gram </v>
      </c>
      <c r="L484" s="95">
        <v>80</v>
      </c>
      <c r="M484" s="98">
        <f t="shared" si="93"/>
        <v>94.117647058823522</v>
      </c>
      <c r="N484" s="98">
        <v>85</v>
      </c>
      <c r="O484" s="95">
        <v>10</v>
      </c>
      <c r="P484" s="98">
        <f t="shared" si="97"/>
        <v>8</v>
      </c>
      <c r="Q484" s="99">
        <f>IFERROR(VLOOKUP(I484,'Raw material list'!$A$3:$F$695,6,0),"")</f>
        <v>3.529411764705882E-3</v>
      </c>
      <c r="R484" s="100">
        <f t="shared" si="98"/>
        <v>2.8235294117647056E-2</v>
      </c>
      <c r="S484" s="94">
        <f t="shared" si="99"/>
        <v>2.8235294117647056E-3</v>
      </c>
      <c r="T484" s="94">
        <f t="shared" si="100"/>
        <v>3.1058823529411764E-2</v>
      </c>
      <c r="U484" s="93">
        <f t="shared" si="94"/>
        <v>3.1058823529411766E-3</v>
      </c>
      <c r="V484" s="93">
        <f t="shared" si="95"/>
        <v>3.1058823529411762E-4</v>
      </c>
      <c r="W484" s="93">
        <f t="shared" si="96"/>
        <v>3.1058823529411762E-4</v>
      </c>
      <c r="X484" s="93">
        <f t="shared" si="92"/>
        <v>3.4785882352941173E-2</v>
      </c>
      <c r="Y484" s="117"/>
    </row>
    <row r="485" spans="1:25" s="90" customFormat="1">
      <c r="A485" s="95" t="s">
        <v>1611</v>
      </c>
      <c r="B485" s="95" t="s">
        <v>1668</v>
      </c>
      <c r="C485" s="95" t="s">
        <v>1427</v>
      </c>
      <c r="D485" s="101" t="s">
        <v>1517</v>
      </c>
      <c r="E485" s="101" t="s">
        <v>1510</v>
      </c>
      <c r="F485" s="101" t="s">
        <v>1670</v>
      </c>
      <c r="G485" s="101" t="s">
        <v>1518</v>
      </c>
      <c r="H485" s="97" t="str">
        <f>IFERROR(VLOOKUP(I485,'Raw material list'!$A$3:$C$695,3,0),"")</f>
        <v>PRD1-4327</v>
      </c>
      <c r="I485" s="97" t="s">
        <v>11</v>
      </c>
      <c r="J485" s="101" t="s">
        <v>111</v>
      </c>
      <c r="K485" s="101" t="str">
        <f>IFERROR(VLOOKUP(I485,'Raw material list'!$A$3:$E$695,5,0),"")</f>
        <v xml:space="preserve">Gram </v>
      </c>
      <c r="L485" s="95">
        <v>20</v>
      </c>
      <c r="M485" s="98">
        <f t="shared" si="93"/>
        <v>25</v>
      </c>
      <c r="N485" s="133">
        <v>80</v>
      </c>
      <c r="O485" s="95">
        <v>10</v>
      </c>
      <c r="P485" s="98">
        <f t="shared" si="97"/>
        <v>2</v>
      </c>
      <c r="Q485" s="99">
        <f>IFERROR(VLOOKUP(I485,'Raw material list'!$A$3:$F$695,6,0),"")</f>
        <v>1.2999999999999999E-2</v>
      </c>
      <c r="R485" s="100">
        <f t="shared" si="98"/>
        <v>2.5999999999999999E-2</v>
      </c>
      <c r="S485" s="94">
        <f t="shared" si="99"/>
        <v>2.5999999999999999E-3</v>
      </c>
      <c r="T485" s="94">
        <f t="shared" si="100"/>
        <v>2.86E-2</v>
      </c>
      <c r="U485" s="93">
        <f t="shared" si="94"/>
        <v>2.8600000000000001E-3</v>
      </c>
      <c r="V485" s="93">
        <f t="shared" si="95"/>
        <v>2.8600000000000001E-4</v>
      </c>
      <c r="W485" s="93">
        <f t="shared" si="96"/>
        <v>2.8600000000000001E-4</v>
      </c>
      <c r="X485" s="93">
        <f t="shared" si="92"/>
        <v>3.2032000000000005E-2</v>
      </c>
      <c r="Y485" s="117"/>
    </row>
    <row r="486" spans="1:25" s="90" customFormat="1">
      <c r="A486" s="95" t="s">
        <v>1611</v>
      </c>
      <c r="B486" s="95" t="s">
        <v>1668</v>
      </c>
      <c r="C486" s="95" t="s">
        <v>1427</v>
      </c>
      <c r="D486" s="101" t="s">
        <v>1517</v>
      </c>
      <c r="E486" s="101" t="s">
        <v>1510</v>
      </c>
      <c r="F486" s="101" t="s">
        <v>1670</v>
      </c>
      <c r="G486" s="101" t="s">
        <v>1518</v>
      </c>
      <c r="H486" s="97" t="str">
        <f>IFERROR(VLOOKUP(I486,'Raw material list'!$A$3:$C$695,3,0),"")</f>
        <v>PRD1-3182</v>
      </c>
      <c r="I486" s="97" t="s">
        <v>1028</v>
      </c>
      <c r="J486" s="101" t="s">
        <v>111</v>
      </c>
      <c r="K486" s="101" t="str">
        <f>IFERROR(VLOOKUP(I486,'Raw material list'!$A$3:$E$695,5,0),"")</f>
        <v xml:space="preserve">Gram </v>
      </c>
      <c r="L486" s="95">
        <v>500</v>
      </c>
      <c r="M486" s="98">
        <f t="shared" si="93"/>
        <v>526.31578947368428</v>
      </c>
      <c r="N486" s="98">
        <v>95</v>
      </c>
      <c r="O486" s="95">
        <v>10</v>
      </c>
      <c r="P486" s="98">
        <f t="shared" si="97"/>
        <v>50</v>
      </c>
      <c r="Q486" s="99">
        <f>IFERROR(VLOOKUP(I486,'Raw material list'!$A$3:$F$695,6,0),"")</f>
        <v>3.3684210526315803E-2</v>
      </c>
      <c r="R486" s="100">
        <f t="shared" si="98"/>
        <v>1.68421052631579</v>
      </c>
      <c r="S486" s="94">
        <f t="shared" si="99"/>
        <v>0.16842105263157903</v>
      </c>
      <c r="T486" s="94">
        <f t="shared" si="100"/>
        <v>1.8526315789473691</v>
      </c>
      <c r="U486" s="93">
        <f t="shared" si="94"/>
        <v>0.18526315789473691</v>
      </c>
      <c r="V486" s="93">
        <f t="shared" si="95"/>
        <v>1.8526315789473693E-2</v>
      </c>
      <c r="W486" s="93">
        <f t="shared" si="96"/>
        <v>1.8526315789473693E-2</v>
      </c>
      <c r="X486" s="93">
        <f t="shared" si="92"/>
        <v>2.0749473684210535</v>
      </c>
      <c r="Y486" s="117"/>
    </row>
    <row r="487" spans="1:25" s="90" customFormat="1">
      <c r="A487" s="95" t="s">
        <v>1611</v>
      </c>
      <c r="B487" s="95" t="s">
        <v>1668</v>
      </c>
      <c r="C487" s="95" t="s">
        <v>1427</v>
      </c>
      <c r="D487" s="101" t="s">
        <v>1517</v>
      </c>
      <c r="E487" s="101" t="s">
        <v>1510</v>
      </c>
      <c r="F487" s="101" t="s">
        <v>1670</v>
      </c>
      <c r="G487" s="101" t="s">
        <v>1518</v>
      </c>
      <c r="H487" s="97" t="str">
        <f>IFERROR(VLOOKUP(I487,'Raw material list'!$A$3:$C$695,3,0),"")</f>
        <v>DRS1-114</v>
      </c>
      <c r="I487" s="97" t="s">
        <v>279</v>
      </c>
      <c r="J487" s="101" t="s">
        <v>111</v>
      </c>
      <c r="K487" s="101" t="str">
        <f>IFERROR(VLOOKUP(I487,'Raw material list'!$A$3:$E$695,5,0),"")</f>
        <v xml:space="preserve">Gram </v>
      </c>
      <c r="L487" s="95">
        <v>14</v>
      </c>
      <c r="M487" s="98">
        <f t="shared" si="93"/>
        <v>14.000000000000002</v>
      </c>
      <c r="N487" s="98">
        <v>100</v>
      </c>
      <c r="O487" s="95">
        <v>10</v>
      </c>
      <c r="P487" s="98">
        <f t="shared" si="97"/>
        <v>1.4</v>
      </c>
      <c r="Q487" s="99">
        <f>IFERROR(VLOOKUP(I487,'Raw material list'!$A$3:$F$695,6,0),"")</f>
        <v>4.7489823609226586E-3</v>
      </c>
      <c r="R487" s="100">
        <f t="shared" si="98"/>
        <v>6.6485753052917219E-3</v>
      </c>
      <c r="S487" s="94">
        <f t="shared" si="99"/>
        <v>6.6485753052917228E-4</v>
      </c>
      <c r="T487" s="94">
        <f t="shared" si="100"/>
        <v>7.3134328358208942E-3</v>
      </c>
      <c r="U487" s="93">
        <f t="shared" si="94"/>
        <v>7.3134328358208942E-4</v>
      </c>
      <c r="V487" s="93">
        <f t="shared" si="95"/>
        <v>7.3134328358208945E-5</v>
      </c>
      <c r="W487" s="93">
        <f t="shared" si="96"/>
        <v>7.3134328358208945E-5</v>
      </c>
      <c r="X487" s="93">
        <f t="shared" si="92"/>
        <v>8.1910447761194029E-3</v>
      </c>
      <c r="Y487" s="117"/>
    </row>
    <row r="488" spans="1:25" s="90" customFormat="1">
      <c r="A488" s="95" t="s">
        <v>1611</v>
      </c>
      <c r="B488" s="95" t="s">
        <v>1668</v>
      </c>
      <c r="C488" s="95" t="s">
        <v>1427</v>
      </c>
      <c r="D488" s="101" t="s">
        <v>1517</v>
      </c>
      <c r="E488" s="101" t="s">
        <v>1510</v>
      </c>
      <c r="F488" s="101" t="s">
        <v>1670</v>
      </c>
      <c r="G488" s="101" t="s">
        <v>1518</v>
      </c>
      <c r="H488" s="97" t="str">
        <f>IFERROR(VLOOKUP(I488,'Raw material list'!$A$3:$C$695,3,0),"")</f>
        <v>DRS6-537</v>
      </c>
      <c r="I488" s="97" t="s">
        <v>25</v>
      </c>
      <c r="J488" s="101" t="s">
        <v>111</v>
      </c>
      <c r="K488" s="101" t="str">
        <f>IFERROR(VLOOKUP(I488,'Raw material list'!$A$3:$E$695,5,0),"")</f>
        <v xml:space="preserve">Gram </v>
      </c>
      <c r="L488" s="95">
        <v>2</v>
      </c>
      <c r="M488" s="98">
        <f t="shared" si="93"/>
        <v>2</v>
      </c>
      <c r="N488" s="98">
        <v>100</v>
      </c>
      <c r="O488" s="95">
        <v>10</v>
      </c>
      <c r="P488" s="98">
        <f t="shared" si="97"/>
        <v>0.2</v>
      </c>
      <c r="Q488" s="99">
        <f>IFERROR(VLOOKUP(I488,'Raw material list'!$A$3:$F$695,6,0),"")</f>
        <v>3.5000000000000003E-2</v>
      </c>
      <c r="R488" s="100">
        <f t="shared" si="98"/>
        <v>7.000000000000001E-3</v>
      </c>
      <c r="S488" s="94">
        <f t="shared" si="99"/>
        <v>7.000000000000001E-4</v>
      </c>
      <c r="T488" s="94">
        <f t="shared" si="100"/>
        <v>7.7000000000000011E-3</v>
      </c>
      <c r="U488" s="93">
        <f t="shared" si="94"/>
        <v>7.7000000000000018E-4</v>
      </c>
      <c r="V488" s="93">
        <f t="shared" si="95"/>
        <v>7.7000000000000015E-5</v>
      </c>
      <c r="W488" s="93">
        <f t="shared" si="96"/>
        <v>7.7000000000000015E-5</v>
      </c>
      <c r="X488" s="93">
        <f t="shared" si="92"/>
        <v>8.6240000000000032E-3</v>
      </c>
      <c r="Y488" s="117"/>
    </row>
    <row r="489" spans="1:25" s="90" customFormat="1">
      <c r="A489" s="95" t="s">
        <v>1611</v>
      </c>
      <c r="B489" s="95" t="s">
        <v>1668</v>
      </c>
      <c r="C489" s="95" t="s">
        <v>1427</v>
      </c>
      <c r="D489" s="101" t="s">
        <v>1517</v>
      </c>
      <c r="E489" s="101" t="s">
        <v>1510</v>
      </c>
      <c r="F489" s="101" t="s">
        <v>1670</v>
      </c>
      <c r="G489" s="101" t="s">
        <v>1518</v>
      </c>
      <c r="H489" s="97" t="str">
        <f>IFERROR(VLOOKUP(I489,'Raw material list'!$A$3:$C$695,3,0),"")</f>
        <v>DRS1-5339</v>
      </c>
      <c r="I489" s="97" t="s">
        <v>905</v>
      </c>
      <c r="J489" s="101" t="s">
        <v>111</v>
      </c>
      <c r="K489" s="101" t="str">
        <f>IFERROR(VLOOKUP(I489,'Raw material list'!$A$3:$E$695,5,0),"")</f>
        <v xml:space="preserve">Gram </v>
      </c>
      <c r="L489" s="95">
        <v>2</v>
      </c>
      <c r="M489" s="98">
        <f t="shared" si="93"/>
        <v>2</v>
      </c>
      <c r="N489" s="98">
        <v>100</v>
      </c>
      <c r="O489" s="95">
        <v>10</v>
      </c>
      <c r="P489" s="98">
        <f t="shared" si="97"/>
        <v>0.2</v>
      </c>
      <c r="Q489" s="99">
        <f>IFERROR(VLOOKUP(I489,'Raw material list'!$A$3:$F$695,6,0),"")</f>
        <v>0.03</v>
      </c>
      <c r="R489" s="100">
        <f t="shared" si="98"/>
        <v>6.0000000000000001E-3</v>
      </c>
      <c r="S489" s="94">
        <f t="shared" si="99"/>
        <v>6.0000000000000006E-4</v>
      </c>
      <c r="T489" s="94">
        <f t="shared" si="100"/>
        <v>6.6E-3</v>
      </c>
      <c r="U489" s="93">
        <f t="shared" si="94"/>
        <v>6.6E-4</v>
      </c>
      <c r="V489" s="93">
        <f t="shared" si="95"/>
        <v>6.6000000000000005E-5</v>
      </c>
      <c r="W489" s="93">
        <f t="shared" si="96"/>
        <v>6.6000000000000005E-5</v>
      </c>
      <c r="X489" s="93">
        <f t="shared" si="92"/>
        <v>7.3920000000000001E-3</v>
      </c>
      <c r="Y489" s="117"/>
    </row>
    <row r="490" spans="1:25" s="90" customFormat="1">
      <c r="A490" s="95" t="s">
        <v>1611</v>
      </c>
      <c r="B490" s="95" t="s">
        <v>1668</v>
      </c>
      <c r="C490" s="95" t="s">
        <v>1427</v>
      </c>
      <c r="D490" s="101" t="s">
        <v>1517</v>
      </c>
      <c r="E490" s="101" t="s">
        <v>1510</v>
      </c>
      <c r="F490" s="101" t="s">
        <v>1670</v>
      </c>
      <c r="G490" s="101" t="s">
        <v>1518</v>
      </c>
      <c r="H490" s="97" t="str">
        <f>IFERROR(VLOOKUP(I490,'Raw material list'!$A$3:$C$695,3,0),"")</f>
        <v>DRS6-5376</v>
      </c>
      <c r="I490" s="97" t="s">
        <v>55</v>
      </c>
      <c r="J490" s="101" t="s">
        <v>111</v>
      </c>
      <c r="K490" s="101" t="str">
        <f>IFERROR(VLOOKUP(I490,'Raw material list'!$A$3:$E$695,5,0),"")</f>
        <v xml:space="preserve">Gram </v>
      </c>
      <c r="L490" s="95">
        <v>2</v>
      </c>
      <c r="M490" s="98">
        <f t="shared" si="93"/>
        <v>2</v>
      </c>
      <c r="N490" s="98">
        <v>100</v>
      </c>
      <c r="O490" s="95">
        <v>10</v>
      </c>
      <c r="P490" s="98">
        <f t="shared" si="97"/>
        <v>0.2</v>
      </c>
      <c r="Q490" s="99">
        <f>IFERROR(VLOOKUP(I490,'Raw material list'!$A$3:$F$695,6,0),"")</f>
        <v>2.8000000000000001E-2</v>
      </c>
      <c r="R490" s="100">
        <f t="shared" si="98"/>
        <v>5.6000000000000008E-3</v>
      </c>
      <c r="S490" s="94">
        <f t="shared" si="99"/>
        <v>5.6000000000000006E-4</v>
      </c>
      <c r="T490" s="94">
        <f t="shared" si="100"/>
        <v>6.1600000000000005E-3</v>
      </c>
      <c r="U490" s="93">
        <f t="shared" si="94"/>
        <v>6.1600000000000012E-4</v>
      </c>
      <c r="V490" s="93">
        <f t="shared" si="95"/>
        <v>6.1600000000000007E-5</v>
      </c>
      <c r="W490" s="93">
        <f t="shared" si="96"/>
        <v>6.1600000000000007E-5</v>
      </c>
      <c r="X490" s="93">
        <f t="shared" si="92"/>
        <v>6.8992000000000012E-3</v>
      </c>
      <c r="Y490" s="117"/>
    </row>
    <row r="491" spans="1:25" s="90" customFormat="1">
      <c r="A491" s="95" t="s">
        <v>1611</v>
      </c>
      <c r="B491" s="95" t="s">
        <v>1668</v>
      </c>
      <c r="C491" s="95" t="s">
        <v>1427</v>
      </c>
      <c r="D491" s="101" t="s">
        <v>1517</v>
      </c>
      <c r="E491" s="101" t="s">
        <v>1510</v>
      </c>
      <c r="F491" s="101" t="s">
        <v>1670</v>
      </c>
      <c r="G491" s="101" t="s">
        <v>1518</v>
      </c>
      <c r="H491" s="97" t="str">
        <f>IFERROR(VLOOKUP(I491,'Raw material list'!$A$3:$C$695,3,0),"")</f>
        <v>DRY2-1858</v>
      </c>
      <c r="I491" s="97" t="s">
        <v>42</v>
      </c>
      <c r="J491" s="101" t="s">
        <v>161</v>
      </c>
      <c r="K491" s="101" t="str">
        <f>IFERROR(VLOOKUP(I491,'Raw material list'!$A$3:$E$695,5,0),"")</f>
        <v>Ml</v>
      </c>
      <c r="L491" s="95">
        <v>900</v>
      </c>
      <c r="M491" s="98">
        <f t="shared" si="93"/>
        <v>900</v>
      </c>
      <c r="N491" s="98">
        <v>100</v>
      </c>
      <c r="O491" s="95">
        <v>10</v>
      </c>
      <c r="P491" s="98">
        <f t="shared" si="97"/>
        <v>90</v>
      </c>
      <c r="Q491" s="99">
        <f>IFERROR(VLOOKUP(I491,'Raw material list'!$A$3:$F$695,6,0),"")</f>
        <v>9.8800000000000016E-3</v>
      </c>
      <c r="R491" s="100">
        <f t="shared" si="98"/>
        <v>0.8892000000000001</v>
      </c>
      <c r="S491" s="94">
        <f t="shared" si="99"/>
        <v>8.8920000000000013E-2</v>
      </c>
      <c r="T491" s="94">
        <f t="shared" si="100"/>
        <v>0.9781200000000001</v>
      </c>
      <c r="U491" s="93">
        <f t="shared" si="94"/>
        <v>9.781200000000001E-2</v>
      </c>
      <c r="V491" s="93">
        <f t="shared" si="95"/>
        <v>9.781200000000002E-3</v>
      </c>
      <c r="W491" s="93">
        <f t="shared" si="96"/>
        <v>9.781200000000002E-3</v>
      </c>
      <c r="X491" s="93">
        <f t="shared" si="92"/>
        <v>1.0954944</v>
      </c>
      <c r="Y491" s="117"/>
    </row>
    <row r="492" spans="1:25" s="90" customFormat="1">
      <c r="A492" s="95" t="s">
        <v>1611</v>
      </c>
      <c r="B492" s="95" t="s">
        <v>1668</v>
      </c>
      <c r="C492" s="95" t="s">
        <v>1427</v>
      </c>
      <c r="D492" s="101" t="s">
        <v>1517</v>
      </c>
      <c r="E492" s="101" t="s">
        <v>1510</v>
      </c>
      <c r="F492" s="101" t="s">
        <v>1670</v>
      </c>
      <c r="G492" s="101" t="s">
        <v>1518</v>
      </c>
      <c r="H492" s="97" t="str">
        <f>IFERROR(VLOOKUP(I492,'Raw material list'!$A$3:$C$695,3,0),"")</f>
        <v>DRS3-1615</v>
      </c>
      <c r="I492" s="97" t="s">
        <v>24</v>
      </c>
      <c r="J492" s="101" t="s">
        <v>161</v>
      </c>
      <c r="K492" s="101" t="str">
        <f>IFERROR(VLOOKUP(I492,'Raw material list'!$A$3:$E$695,5,0),"")</f>
        <v>Ml</v>
      </c>
      <c r="L492" s="95">
        <v>40</v>
      </c>
      <c r="M492" s="98">
        <f t="shared" si="93"/>
        <v>40</v>
      </c>
      <c r="N492" s="98">
        <v>100</v>
      </c>
      <c r="O492" s="95">
        <v>10</v>
      </c>
      <c r="P492" s="98">
        <f t="shared" si="97"/>
        <v>4</v>
      </c>
      <c r="Q492" s="99">
        <f>IFERROR(VLOOKUP(I492,'Raw material list'!$A$3:$F$695,6,0),"")</f>
        <v>1.2E-2</v>
      </c>
      <c r="R492" s="100">
        <f t="shared" si="98"/>
        <v>4.8000000000000001E-2</v>
      </c>
      <c r="S492" s="94">
        <f t="shared" si="99"/>
        <v>4.8000000000000004E-3</v>
      </c>
      <c r="T492" s="94">
        <f t="shared" si="100"/>
        <v>5.28E-2</v>
      </c>
      <c r="U492" s="93">
        <f t="shared" si="94"/>
        <v>5.28E-3</v>
      </c>
      <c r="V492" s="93">
        <f t="shared" si="95"/>
        <v>5.2800000000000004E-4</v>
      </c>
      <c r="W492" s="93">
        <f t="shared" si="96"/>
        <v>5.2800000000000004E-4</v>
      </c>
      <c r="X492" s="93">
        <f t="shared" si="92"/>
        <v>5.9136000000000001E-2</v>
      </c>
      <c r="Y492" s="117"/>
    </row>
    <row r="493" spans="1:25" s="90" customFormat="1">
      <c r="A493" s="95" t="s">
        <v>1611</v>
      </c>
      <c r="B493" s="95" t="s">
        <v>1668</v>
      </c>
      <c r="C493" s="95" t="s">
        <v>1427</v>
      </c>
      <c r="D493" s="101" t="s">
        <v>1517</v>
      </c>
      <c r="E493" s="101" t="s">
        <v>1510</v>
      </c>
      <c r="F493" s="101" t="s">
        <v>1670</v>
      </c>
      <c r="G493" s="101" t="s">
        <v>1518</v>
      </c>
      <c r="H493" s="97" t="str">
        <f>IFERROR(VLOOKUP(I493,'Raw material list'!$A$3:$C$695,3,0),"")</f>
        <v>WAT-001</v>
      </c>
      <c r="I493" s="97" t="s">
        <v>1406</v>
      </c>
      <c r="J493" s="101" t="s">
        <v>161</v>
      </c>
      <c r="K493" s="101" t="str">
        <f>IFERROR(VLOOKUP(I493,'Raw material list'!$A$3:$E$695,5,0),"")</f>
        <v>Ml</v>
      </c>
      <c r="L493" s="95">
        <v>300</v>
      </c>
      <c r="M493" s="98">
        <f t="shared" si="93"/>
        <v>300</v>
      </c>
      <c r="N493" s="98">
        <v>100</v>
      </c>
      <c r="O493" s="95">
        <v>10</v>
      </c>
      <c r="P493" s="98">
        <f t="shared" si="97"/>
        <v>30</v>
      </c>
      <c r="Q493" s="99">
        <f>IFERROR(VLOOKUP(I493,'Raw material list'!$A$3:$F$695,6,0),"")</f>
        <v>8.0000000000000007E-5</v>
      </c>
      <c r="R493" s="100">
        <f t="shared" si="98"/>
        <v>2.4000000000000002E-3</v>
      </c>
      <c r="S493" s="94">
        <f t="shared" si="99"/>
        <v>2.4000000000000003E-4</v>
      </c>
      <c r="T493" s="94">
        <f t="shared" si="100"/>
        <v>2.6400000000000004E-3</v>
      </c>
      <c r="U493" s="93">
        <f t="shared" si="94"/>
        <v>2.6400000000000007E-4</v>
      </c>
      <c r="V493" s="93">
        <f t="shared" si="95"/>
        <v>2.6400000000000005E-5</v>
      </c>
      <c r="W493" s="93">
        <f t="shared" si="96"/>
        <v>2.6400000000000005E-5</v>
      </c>
      <c r="X493" s="93">
        <f t="shared" si="92"/>
        <v>2.9568000000000007E-3</v>
      </c>
      <c r="Y493" s="117"/>
    </row>
    <row r="494" spans="1:25" s="90" customFormat="1">
      <c r="A494" s="95" t="s">
        <v>1611</v>
      </c>
      <c r="B494" s="95" t="s">
        <v>1668</v>
      </c>
      <c r="C494" s="95" t="s">
        <v>1427</v>
      </c>
      <c r="D494" s="101" t="s">
        <v>1517</v>
      </c>
      <c r="E494" s="101" t="s">
        <v>1510</v>
      </c>
      <c r="F494" s="101" t="s">
        <v>1670</v>
      </c>
      <c r="G494" s="101" t="s">
        <v>1495</v>
      </c>
      <c r="H494" s="97" t="str">
        <f>IFERROR(VLOOKUP(I494,'Raw material list'!$A$3:$C$695,3,0),"")</f>
        <v>PRD1-230</v>
      </c>
      <c r="I494" s="97" t="s">
        <v>40</v>
      </c>
      <c r="J494" s="101" t="s">
        <v>111</v>
      </c>
      <c r="K494" s="101" t="str">
        <f>IFERROR(VLOOKUP(I494,'Raw material list'!$A$3:$E$695,5,0),"")</f>
        <v xml:space="preserve">Gram </v>
      </c>
      <c r="L494" s="95">
        <v>1200</v>
      </c>
      <c r="M494" s="98">
        <f t="shared" si="93"/>
        <v>1619.4331983805669</v>
      </c>
      <c r="N494" s="98">
        <v>74.099999999999994</v>
      </c>
      <c r="O494" s="95">
        <v>10</v>
      </c>
      <c r="P494" s="98">
        <f t="shared" si="97"/>
        <v>120</v>
      </c>
      <c r="Q494" s="99">
        <f>IFERROR(VLOOKUP(I494,'Raw material list'!$A$3:$F$695,6,0),"")</f>
        <v>3.3738191632928468E-3</v>
      </c>
      <c r="R494" s="100">
        <f t="shared" si="98"/>
        <v>0.40485829959514164</v>
      </c>
      <c r="S494" s="94">
        <f t="shared" si="99"/>
        <v>4.0485829959514164E-2</v>
      </c>
      <c r="T494" s="94">
        <f t="shared" si="100"/>
        <v>0.4453441295546558</v>
      </c>
      <c r="U494" s="93">
        <f t="shared" si="94"/>
        <v>4.4534412955465584E-2</v>
      </c>
      <c r="V494" s="93">
        <f t="shared" si="95"/>
        <v>4.4534412955465584E-3</v>
      </c>
      <c r="W494" s="93">
        <f t="shared" si="96"/>
        <v>4.4534412955465584E-3</v>
      </c>
      <c r="X494" s="93">
        <f t="shared" si="92"/>
        <v>0.49878542510121443</v>
      </c>
      <c r="Y494" s="117"/>
    </row>
    <row r="495" spans="1:25" s="90" customFormat="1">
      <c r="A495" s="95" t="s">
        <v>1611</v>
      </c>
      <c r="B495" s="95" t="s">
        <v>1668</v>
      </c>
      <c r="C495" s="95" t="s">
        <v>1427</v>
      </c>
      <c r="D495" s="101" t="s">
        <v>1517</v>
      </c>
      <c r="E495" s="101" t="s">
        <v>1510</v>
      </c>
      <c r="F495" s="101" t="s">
        <v>1670</v>
      </c>
      <c r="G495" s="101" t="s">
        <v>1495</v>
      </c>
      <c r="H495" s="97" t="str">
        <f>IFERROR(VLOOKUP(I495,'Raw material list'!$A$3:$C$695,3,0),"")</f>
        <v>DRS1-114</v>
      </c>
      <c r="I495" s="97" t="s">
        <v>279</v>
      </c>
      <c r="J495" s="101" t="s">
        <v>111</v>
      </c>
      <c r="K495" s="101" t="str">
        <f>IFERROR(VLOOKUP(I495,'Raw material list'!$A$3:$E$695,5,0),"")</f>
        <v xml:space="preserve">Gram </v>
      </c>
      <c r="L495" s="95">
        <v>8</v>
      </c>
      <c r="M495" s="98">
        <f t="shared" si="93"/>
        <v>8</v>
      </c>
      <c r="N495" s="98">
        <v>100</v>
      </c>
      <c r="O495" s="95">
        <v>10</v>
      </c>
      <c r="P495" s="98">
        <f t="shared" si="97"/>
        <v>0.8</v>
      </c>
      <c r="Q495" s="99">
        <f>IFERROR(VLOOKUP(I495,'Raw material list'!$A$3:$F$695,6,0),"")</f>
        <v>4.7489823609226586E-3</v>
      </c>
      <c r="R495" s="100">
        <f t="shared" si="98"/>
        <v>3.799185888738127E-3</v>
      </c>
      <c r="S495" s="94">
        <f t="shared" si="99"/>
        <v>3.799185888738127E-4</v>
      </c>
      <c r="T495" s="94">
        <f t="shared" si="100"/>
        <v>4.1791044776119399E-3</v>
      </c>
      <c r="U495" s="93">
        <f t="shared" si="94"/>
        <v>4.1791044776119402E-4</v>
      </c>
      <c r="V495" s="93">
        <f t="shared" si="95"/>
        <v>4.1791044776119397E-5</v>
      </c>
      <c r="W495" s="93">
        <f t="shared" si="96"/>
        <v>4.1791044776119397E-5</v>
      </c>
      <c r="X495" s="93">
        <f t="shared" si="92"/>
        <v>4.6805970149253733E-3</v>
      </c>
      <c r="Y495" s="117"/>
    </row>
    <row r="496" spans="1:25" s="90" customFormat="1">
      <c r="A496" s="95" t="s">
        <v>1611</v>
      </c>
      <c r="B496" s="95" t="s">
        <v>1668</v>
      </c>
      <c r="C496" s="95" t="s">
        <v>1427</v>
      </c>
      <c r="D496" s="101" t="s">
        <v>1517</v>
      </c>
      <c r="E496" s="101" t="s">
        <v>1510</v>
      </c>
      <c r="F496" s="101" t="s">
        <v>1670</v>
      </c>
      <c r="G496" s="101" t="s">
        <v>1495</v>
      </c>
      <c r="H496" s="97" t="str">
        <f>IFERROR(VLOOKUP(I496,'Raw material list'!$A$3:$C$695,3,0),"")</f>
        <v>DRS6-537</v>
      </c>
      <c r="I496" s="97" t="s">
        <v>25</v>
      </c>
      <c r="J496" s="101" t="s">
        <v>111</v>
      </c>
      <c r="K496" s="101" t="str">
        <f>IFERROR(VLOOKUP(I496,'Raw material list'!$A$3:$E$695,5,0),"")</f>
        <v xml:space="preserve">Gram </v>
      </c>
      <c r="L496" s="95">
        <v>2</v>
      </c>
      <c r="M496" s="98">
        <f t="shared" si="93"/>
        <v>2</v>
      </c>
      <c r="N496" s="98">
        <v>100</v>
      </c>
      <c r="O496" s="95">
        <v>10</v>
      </c>
      <c r="P496" s="98">
        <f t="shared" si="97"/>
        <v>0.2</v>
      </c>
      <c r="Q496" s="99">
        <f>IFERROR(VLOOKUP(I496,'Raw material list'!$A$3:$F$695,6,0),"")</f>
        <v>3.5000000000000003E-2</v>
      </c>
      <c r="R496" s="100">
        <f t="shared" si="98"/>
        <v>7.000000000000001E-3</v>
      </c>
      <c r="S496" s="94">
        <f t="shared" si="99"/>
        <v>7.000000000000001E-4</v>
      </c>
      <c r="T496" s="94">
        <f t="shared" si="100"/>
        <v>7.7000000000000011E-3</v>
      </c>
      <c r="U496" s="93">
        <f t="shared" si="94"/>
        <v>7.7000000000000018E-4</v>
      </c>
      <c r="V496" s="93">
        <f t="shared" si="95"/>
        <v>7.7000000000000015E-5</v>
      </c>
      <c r="W496" s="93">
        <f t="shared" si="96"/>
        <v>7.7000000000000015E-5</v>
      </c>
      <c r="X496" s="93">
        <f t="shared" si="92"/>
        <v>8.6240000000000032E-3</v>
      </c>
      <c r="Y496" s="117"/>
    </row>
    <row r="497" spans="1:25" s="90" customFormat="1">
      <c r="A497" s="95" t="s">
        <v>1611</v>
      </c>
      <c r="B497" s="95" t="s">
        <v>1668</v>
      </c>
      <c r="C497" s="95" t="s">
        <v>1427</v>
      </c>
      <c r="D497" s="101" t="s">
        <v>1517</v>
      </c>
      <c r="E497" s="101" t="s">
        <v>1510</v>
      </c>
      <c r="F497" s="101" t="s">
        <v>1670</v>
      </c>
      <c r="G497" s="101" t="s">
        <v>1495</v>
      </c>
      <c r="H497" s="97" t="str">
        <f>IFERROR(VLOOKUP(I497,'Raw material list'!$A$3:$C$695,3,0),"")</f>
        <v>DRY2-1858</v>
      </c>
      <c r="I497" s="97" t="s">
        <v>42</v>
      </c>
      <c r="J497" s="101" t="s">
        <v>161</v>
      </c>
      <c r="K497" s="101" t="str">
        <f>IFERROR(VLOOKUP(I497,'Raw material list'!$A$3:$E$695,5,0),"")</f>
        <v>Ml</v>
      </c>
      <c r="L497" s="95">
        <v>200</v>
      </c>
      <c r="M497" s="98">
        <f t="shared" si="93"/>
        <v>200</v>
      </c>
      <c r="N497" s="98">
        <v>100</v>
      </c>
      <c r="O497" s="95">
        <v>10</v>
      </c>
      <c r="P497" s="98">
        <f t="shared" si="97"/>
        <v>20</v>
      </c>
      <c r="Q497" s="99">
        <f>IFERROR(VLOOKUP(I497,'Raw material list'!$A$3:$F$695,6,0),"")</f>
        <v>9.8800000000000016E-3</v>
      </c>
      <c r="R497" s="100">
        <f t="shared" si="98"/>
        <v>0.19760000000000003</v>
      </c>
      <c r="S497" s="94">
        <f t="shared" si="99"/>
        <v>1.9760000000000003E-2</v>
      </c>
      <c r="T497" s="94">
        <f t="shared" si="100"/>
        <v>0.21736000000000003</v>
      </c>
      <c r="U497" s="93">
        <f t="shared" si="94"/>
        <v>2.1736000000000005E-2</v>
      </c>
      <c r="V497" s="93">
        <f t="shared" si="95"/>
        <v>2.1736000000000004E-3</v>
      </c>
      <c r="W497" s="93">
        <f t="shared" si="96"/>
        <v>2.1736000000000004E-3</v>
      </c>
      <c r="X497" s="93">
        <f t="shared" si="92"/>
        <v>0.24344320000000003</v>
      </c>
      <c r="Y497" s="117"/>
    </row>
    <row r="498" spans="1:25" s="90" customFormat="1">
      <c r="A498" s="95" t="s">
        <v>1611</v>
      </c>
      <c r="B498" s="95" t="s">
        <v>1668</v>
      </c>
      <c r="C498" s="95" t="s">
        <v>1427</v>
      </c>
      <c r="D498" s="101" t="s">
        <v>1517</v>
      </c>
      <c r="E498" s="101" t="s">
        <v>1510</v>
      </c>
      <c r="F498" s="101" t="s">
        <v>1670</v>
      </c>
      <c r="G498" s="101" t="s">
        <v>1495</v>
      </c>
      <c r="H498" s="97" t="str">
        <f>IFERROR(VLOOKUP(I498,'Raw material list'!$A$3:$C$695,3,0),"")</f>
        <v>DRY2-1008</v>
      </c>
      <c r="I498" s="97" t="s">
        <v>21</v>
      </c>
      <c r="J498" s="101" t="s">
        <v>111</v>
      </c>
      <c r="K498" s="101" t="str">
        <f>IFERROR(VLOOKUP(I498,'Raw material list'!$A$3:$E$695,5,0),"")</f>
        <v xml:space="preserve">Gram </v>
      </c>
      <c r="L498" s="95">
        <v>40</v>
      </c>
      <c r="M498" s="98">
        <f t="shared" si="93"/>
        <v>40</v>
      </c>
      <c r="N498" s="98">
        <v>100</v>
      </c>
      <c r="O498" s="95">
        <v>10</v>
      </c>
      <c r="P498" s="98">
        <f t="shared" si="97"/>
        <v>4</v>
      </c>
      <c r="Q498" s="99">
        <f>IFERROR(VLOOKUP(I498,'Raw material list'!$A$3:$F$695,6,0),"")</f>
        <v>3.7999999999999999E-2</v>
      </c>
      <c r="R498" s="100">
        <f t="shared" si="98"/>
        <v>0.152</v>
      </c>
      <c r="S498" s="94">
        <f t="shared" si="99"/>
        <v>1.52E-2</v>
      </c>
      <c r="T498" s="94">
        <f t="shared" si="100"/>
        <v>0.16719999999999999</v>
      </c>
      <c r="U498" s="93">
        <f t="shared" si="94"/>
        <v>1.6719999999999999E-2</v>
      </c>
      <c r="V498" s="93">
        <f t="shared" si="95"/>
        <v>1.6719999999999999E-3</v>
      </c>
      <c r="W498" s="93">
        <f t="shared" si="96"/>
        <v>1.6719999999999999E-3</v>
      </c>
      <c r="X498" s="93">
        <f t="shared" si="92"/>
        <v>0.18726399999999999</v>
      </c>
      <c r="Y498" s="117"/>
    </row>
    <row r="499" spans="1:25" s="90" customFormat="1">
      <c r="A499" s="95" t="s">
        <v>1611</v>
      </c>
      <c r="B499" s="95" t="s">
        <v>1668</v>
      </c>
      <c r="C499" s="95" t="s">
        <v>1427</v>
      </c>
      <c r="D499" s="101" t="s">
        <v>1517</v>
      </c>
      <c r="E499" s="101" t="s">
        <v>1510</v>
      </c>
      <c r="F499" s="101" t="s">
        <v>1670</v>
      </c>
      <c r="G499" s="101" t="s">
        <v>1519</v>
      </c>
      <c r="H499" s="97" t="str">
        <f>IFERROR(VLOOKUP(I499,'Raw material list'!$A$3:$C$695,3,0),"")</f>
        <v>DRS3-1813</v>
      </c>
      <c r="I499" s="97" t="s">
        <v>39</v>
      </c>
      <c r="J499" s="101" t="s">
        <v>161</v>
      </c>
      <c r="K499" s="101" t="str">
        <f>IFERROR(VLOOKUP(I499,'Raw material list'!$A$3:$E$695,5,0),"")</f>
        <v>Ml</v>
      </c>
      <c r="L499" s="95">
        <v>25</v>
      </c>
      <c r="M499" s="98">
        <f t="shared" si="93"/>
        <v>25</v>
      </c>
      <c r="N499" s="98">
        <v>100</v>
      </c>
      <c r="O499" s="95">
        <v>10</v>
      </c>
      <c r="P499" s="98">
        <f t="shared" si="97"/>
        <v>2.5</v>
      </c>
      <c r="Q499" s="99">
        <f>IFERROR(VLOOKUP(I499,'Raw material list'!$A$3:$F$695,6,0),"")</f>
        <v>8.0555555555555554E-3</v>
      </c>
      <c r="R499" s="100">
        <f t="shared" si="98"/>
        <v>2.0138888888888887E-2</v>
      </c>
      <c r="S499" s="94">
        <f t="shared" si="99"/>
        <v>2.0138888888888888E-3</v>
      </c>
      <c r="T499" s="94">
        <f t="shared" si="100"/>
        <v>2.2152777777777775E-2</v>
      </c>
      <c r="U499" s="93">
        <f t="shared" si="94"/>
        <v>2.2152777777777774E-3</v>
      </c>
      <c r="V499" s="93">
        <f t="shared" si="95"/>
        <v>2.2152777777777774E-4</v>
      </c>
      <c r="W499" s="93">
        <f t="shared" si="96"/>
        <v>2.2152777777777774E-4</v>
      </c>
      <c r="X499" s="93">
        <f t="shared" si="92"/>
        <v>2.481111111111111E-2</v>
      </c>
      <c r="Y499" s="117"/>
    </row>
    <row r="500" spans="1:25" s="90" customFormat="1">
      <c r="A500" s="95" t="s">
        <v>1611</v>
      </c>
      <c r="B500" s="95" t="s">
        <v>1668</v>
      </c>
      <c r="C500" s="95" t="s">
        <v>1427</v>
      </c>
      <c r="D500" s="101" t="s">
        <v>1517</v>
      </c>
      <c r="E500" s="101" t="s">
        <v>1510</v>
      </c>
      <c r="F500" s="101" t="s">
        <v>1670</v>
      </c>
      <c r="G500" s="101" t="s">
        <v>1519</v>
      </c>
      <c r="H500" s="97" t="str">
        <f>IFERROR(VLOOKUP(I500,'Raw material list'!$A$3:$C$695,3,0),"")</f>
        <v>PRD1-3182</v>
      </c>
      <c r="I500" s="97" t="s">
        <v>1028</v>
      </c>
      <c r="J500" s="101" t="s">
        <v>111</v>
      </c>
      <c r="K500" s="101" t="str">
        <f>IFERROR(VLOOKUP(I500,'Raw material list'!$A$3:$E$695,5,0),"")</f>
        <v xml:space="preserve">Gram </v>
      </c>
      <c r="L500" s="95">
        <v>125</v>
      </c>
      <c r="M500" s="98">
        <f t="shared" si="93"/>
        <v>131.57894736842107</v>
      </c>
      <c r="N500" s="98">
        <v>95</v>
      </c>
      <c r="O500" s="95">
        <v>10</v>
      </c>
      <c r="P500" s="98">
        <f t="shared" si="97"/>
        <v>12.5</v>
      </c>
      <c r="Q500" s="99">
        <f>IFERROR(VLOOKUP(I500,'Raw material list'!$A$3:$F$695,6,0),"")</f>
        <v>3.3684210526315803E-2</v>
      </c>
      <c r="R500" s="100">
        <f t="shared" si="98"/>
        <v>0.42105263157894751</v>
      </c>
      <c r="S500" s="94">
        <f t="shared" si="99"/>
        <v>4.2105263157894757E-2</v>
      </c>
      <c r="T500" s="94">
        <f t="shared" si="100"/>
        <v>0.46315789473684227</v>
      </c>
      <c r="U500" s="93">
        <f t="shared" si="94"/>
        <v>4.6315789473684227E-2</v>
      </c>
      <c r="V500" s="93">
        <f t="shared" si="95"/>
        <v>4.6315789473684232E-3</v>
      </c>
      <c r="W500" s="93">
        <f t="shared" si="96"/>
        <v>4.6315789473684232E-3</v>
      </c>
      <c r="X500" s="93">
        <f t="shared" si="92"/>
        <v>0.51873684210526338</v>
      </c>
      <c r="Y500" s="117"/>
    </row>
    <row r="501" spans="1:25" s="90" customFormat="1">
      <c r="A501" s="95" t="s">
        <v>1611</v>
      </c>
      <c r="B501" s="95" t="s">
        <v>1668</v>
      </c>
      <c r="C501" s="95" t="s">
        <v>1427</v>
      </c>
      <c r="D501" s="101" t="s">
        <v>1517</v>
      </c>
      <c r="E501" s="101" t="s">
        <v>1510</v>
      </c>
      <c r="F501" s="101" t="s">
        <v>1670</v>
      </c>
      <c r="G501" s="101" t="s">
        <v>1519</v>
      </c>
      <c r="H501" s="97" t="str">
        <f>IFERROR(VLOOKUP(I501,'Raw material list'!$A$3:$C$695,3,0),"")</f>
        <v>DRS1-3880</v>
      </c>
      <c r="I501" s="97" t="s">
        <v>1398</v>
      </c>
      <c r="J501" s="101" t="s">
        <v>111</v>
      </c>
      <c r="K501" s="101" t="str">
        <f>IFERROR(VLOOKUP(I501,'Raw material list'!$A$3:$E$695,5,0),"")</f>
        <v xml:space="preserve">Gram </v>
      </c>
      <c r="L501" s="95">
        <v>1</v>
      </c>
      <c r="M501" s="98">
        <f t="shared" si="93"/>
        <v>1</v>
      </c>
      <c r="N501" s="98">
        <v>100</v>
      </c>
      <c r="O501" s="95">
        <v>10</v>
      </c>
      <c r="P501" s="98">
        <f t="shared" si="97"/>
        <v>0.1</v>
      </c>
      <c r="Q501" s="99">
        <f>IFERROR(VLOOKUP(I501,'Raw material list'!$A$3:$F$695,6,0),"")</f>
        <v>5.0000000000000001E-4</v>
      </c>
      <c r="R501" s="100">
        <f t="shared" si="98"/>
        <v>5.0000000000000002E-5</v>
      </c>
      <c r="S501" s="94">
        <f t="shared" si="99"/>
        <v>5.0000000000000004E-6</v>
      </c>
      <c r="T501" s="94">
        <f t="shared" si="100"/>
        <v>5.5000000000000002E-5</v>
      </c>
      <c r="U501" s="93">
        <f t="shared" si="94"/>
        <v>5.5000000000000007E-6</v>
      </c>
      <c r="V501" s="93">
        <f t="shared" si="95"/>
        <v>5.5000000000000003E-7</v>
      </c>
      <c r="W501" s="93">
        <f t="shared" si="96"/>
        <v>5.5000000000000003E-7</v>
      </c>
      <c r="X501" s="93">
        <f t="shared" si="92"/>
        <v>6.1600000000000007E-5</v>
      </c>
      <c r="Y501" s="117"/>
    </row>
    <row r="502" spans="1:25" s="90" customFormat="1">
      <c r="A502" s="95" t="s">
        <v>1509</v>
      </c>
      <c r="B502" s="95" t="s">
        <v>1631</v>
      </c>
      <c r="C502" s="95" t="s">
        <v>1427</v>
      </c>
      <c r="D502" s="101" t="s">
        <v>1520</v>
      </c>
      <c r="E502" s="101" t="s">
        <v>1510</v>
      </c>
      <c r="F502" s="101" t="s">
        <v>1669</v>
      </c>
      <c r="G502" s="101"/>
      <c r="H502" s="97" t="str">
        <f>IFERROR(VLOOKUP(I502,'Raw material list'!$A$3:$C$695,3,0),"")</f>
        <v>BKR1-1327</v>
      </c>
      <c r="I502" s="97" t="s">
        <v>118</v>
      </c>
      <c r="J502" s="101" t="s">
        <v>120</v>
      </c>
      <c r="K502" s="101" t="str">
        <f>IFERROR(VLOOKUP(I502,'Raw material list'!$A$3:$E$695,5,0),"")</f>
        <v>Slice</v>
      </c>
      <c r="L502" s="95">
        <v>10</v>
      </c>
      <c r="M502" s="98">
        <f t="shared" si="93"/>
        <v>10</v>
      </c>
      <c r="N502" s="98">
        <v>100</v>
      </c>
      <c r="O502" s="95">
        <v>10</v>
      </c>
      <c r="P502" s="98">
        <f t="shared" si="97"/>
        <v>1</v>
      </c>
      <c r="Q502" s="99">
        <f>IFERROR(VLOOKUP(I502,'Raw material list'!$A$3:$F$695,6,0),"")</f>
        <v>0.22222222222222221</v>
      </c>
      <c r="R502" s="100">
        <f t="shared" si="98"/>
        <v>0.22222222222222221</v>
      </c>
      <c r="S502" s="94">
        <f t="shared" si="99"/>
        <v>2.2222222222222223E-2</v>
      </c>
      <c r="T502" s="94">
        <f t="shared" si="100"/>
        <v>0.24444444444444444</v>
      </c>
      <c r="U502" s="93">
        <f t="shared" si="94"/>
        <v>2.4444444444444446E-2</v>
      </c>
      <c r="V502" s="93">
        <f t="shared" si="95"/>
        <v>2.4444444444444444E-3</v>
      </c>
      <c r="W502" s="93">
        <f t="shared" si="96"/>
        <v>2.4444444444444444E-3</v>
      </c>
      <c r="X502" s="93">
        <f t="shared" si="92"/>
        <v>0.27377777777777784</v>
      </c>
      <c r="Y502" s="122"/>
    </row>
    <row r="503" spans="1:25" s="90" customFormat="1">
      <c r="A503" s="95" t="s">
        <v>1509</v>
      </c>
      <c r="B503" s="95" t="s">
        <v>1631</v>
      </c>
      <c r="C503" s="95" t="s">
        <v>1427</v>
      </c>
      <c r="D503" s="101" t="s">
        <v>1520</v>
      </c>
      <c r="E503" s="101" t="s">
        <v>1510</v>
      </c>
      <c r="F503" s="95" t="s">
        <v>1669</v>
      </c>
      <c r="G503" s="101" t="s">
        <v>1461</v>
      </c>
      <c r="H503" s="97" t="str">
        <f>IFERROR(VLOOKUP(I503,'Raw material list'!$A$3:$C$695,3,0),"")</f>
        <v>PRD1-235</v>
      </c>
      <c r="I503" s="97" t="s">
        <v>1048</v>
      </c>
      <c r="J503" s="101" t="s">
        <v>111</v>
      </c>
      <c r="K503" s="101" t="str">
        <f>IFERROR(VLOOKUP(I503,'Raw material list'!$A$3:$E$695,5,0),"")</f>
        <v xml:space="preserve">Gram </v>
      </c>
      <c r="L503" s="95">
        <v>10</v>
      </c>
      <c r="M503" s="98">
        <f t="shared" si="93"/>
        <v>30.927835051546399</v>
      </c>
      <c r="N503" s="98">
        <v>32.333333333333329</v>
      </c>
      <c r="O503" s="95">
        <v>10</v>
      </c>
      <c r="P503" s="98">
        <f t="shared" si="97"/>
        <v>1</v>
      </c>
      <c r="Q503" s="99">
        <f>IFERROR(VLOOKUP(I503,'Raw material list'!$A$3:$F$695,6,0),"")</f>
        <v>1.238390092879257E-2</v>
      </c>
      <c r="R503" s="100">
        <f t="shared" si="98"/>
        <v>1.238390092879257E-2</v>
      </c>
      <c r="S503" s="94">
        <f t="shared" si="99"/>
        <v>1.238390092879257E-3</v>
      </c>
      <c r="T503" s="94">
        <f t="shared" si="100"/>
        <v>1.3622291021671827E-2</v>
      </c>
      <c r="U503" s="93">
        <f t="shared" si="94"/>
        <v>1.3622291021671829E-3</v>
      </c>
      <c r="V503" s="93">
        <f t="shared" si="95"/>
        <v>1.3622291021671827E-4</v>
      </c>
      <c r="W503" s="93">
        <f t="shared" si="96"/>
        <v>1.3622291021671827E-4</v>
      </c>
      <c r="X503" s="93">
        <f t="shared" si="92"/>
        <v>1.5256965944272446E-2</v>
      </c>
      <c r="Y503" s="122"/>
    </row>
    <row r="504" spans="1:25" s="90" customFormat="1">
      <c r="A504" s="95" t="s">
        <v>1509</v>
      </c>
      <c r="B504" s="95" t="s">
        <v>1631</v>
      </c>
      <c r="C504" s="95" t="s">
        <v>1427</v>
      </c>
      <c r="D504" s="101" t="s">
        <v>1520</v>
      </c>
      <c r="E504" s="101" t="s">
        <v>1510</v>
      </c>
      <c r="F504" s="101" t="s">
        <v>1670</v>
      </c>
      <c r="G504" s="101"/>
      <c r="H504" s="97" t="str">
        <f>IFERROR(VLOOKUP(I504,'Raw material list'!$A$3:$C$695,3,0),"")</f>
        <v>PLT1-37</v>
      </c>
      <c r="I504" s="97" t="s">
        <v>843</v>
      </c>
      <c r="J504" s="101" t="s">
        <v>14</v>
      </c>
      <c r="K504" s="101" t="str">
        <f>IFERROR(VLOOKUP(I504,'Raw material list'!$A$3:$E$695,5,0),"")</f>
        <v>Each</v>
      </c>
      <c r="L504" s="95">
        <v>12</v>
      </c>
      <c r="M504" s="98">
        <f t="shared" si="93"/>
        <v>12</v>
      </c>
      <c r="N504" s="98">
        <v>100</v>
      </c>
      <c r="O504" s="95">
        <v>10</v>
      </c>
      <c r="P504" s="98">
        <f t="shared" si="97"/>
        <v>1.2</v>
      </c>
      <c r="Q504" s="99">
        <f>IFERROR(VLOOKUP(I504,'Raw material list'!$A$3:$F$695,6,0),"")</f>
        <v>0.48299999999999998</v>
      </c>
      <c r="R504" s="100">
        <f t="shared" si="98"/>
        <v>0.5796</v>
      </c>
      <c r="S504" s="94">
        <f t="shared" si="99"/>
        <v>5.7960000000000005E-2</v>
      </c>
      <c r="T504" s="94">
        <f t="shared" si="100"/>
        <v>0.63756000000000002</v>
      </c>
      <c r="U504" s="93">
        <f t="shared" si="94"/>
        <v>6.3756000000000007E-2</v>
      </c>
      <c r="V504" s="93">
        <f t="shared" si="95"/>
        <v>6.3756000000000004E-3</v>
      </c>
      <c r="W504" s="93">
        <f t="shared" si="96"/>
        <v>6.3756000000000004E-3</v>
      </c>
      <c r="X504" s="93">
        <f t="shared" si="92"/>
        <v>0.71406720000000012</v>
      </c>
      <c r="Y504" s="122"/>
    </row>
    <row r="505" spans="1:25" s="90" customFormat="1">
      <c r="A505" s="95" t="s">
        <v>1509</v>
      </c>
      <c r="B505" s="95" t="s">
        <v>1631</v>
      </c>
      <c r="C505" s="95" t="s">
        <v>1427</v>
      </c>
      <c r="D505" s="101" t="s">
        <v>1520</v>
      </c>
      <c r="E505" s="101" t="s">
        <v>1510</v>
      </c>
      <c r="F505" s="101" t="s">
        <v>1670</v>
      </c>
      <c r="G505" s="101"/>
      <c r="H505" s="97" t="str">
        <f>IFERROR(VLOOKUP(I505,'Raw material list'!$A$3:$C$695,3,0),"")</f>
        <v>PRD1-4787</v>
      </c>
      <c r="I505" s="97" t="s">
        <v>959</v>
      </c>
      <c r="J505" s="101" t="s">
        <v>111</v>
      </c>
      <c r="K505" s="101" t="str">
        <f>IFERROR(VLOOKUP(I505,'Raw material list'!$A$3:$E$695,5,0),"")</f>
        <v xml:space="preserve">Gram </v>
      </c>
      <c r="L505" s="95">
        <v>61.12</v>
      </c>
      <c r="M505" s="98">
        <f t="shared" si="93"/>
        <v>150.29508196721309</v>
      </c>
      <c r="N505" s="98">
        <v>40.666666666666664</v>
      </c>
      <c r="O505" s="95">
        <v>10</v>
      </c>
      <c r="P505" s="98">
        <f t="shared" si="97"/>
        <v>6.1120000000000001</v>
      </c>
      <c r="Q505" s="99">
        <f>IFERROR(VLOOKUP(I505,'Raw material list'!$A$3:$F$695,6,0),"")</f>
        <v>7.8624078624078622E-2</v>
      </c>
      <c r="R505" s="100">
        <f t="shared" si="98"/>
        <v>0.48055036855036853</v>
      </c>
      <c r="S505" s="94">
        <f t="shared" si="99"/>
        <v>4.8055036855036856E-2</v>
      </c>
      <c r="T505" s="94">
        <f t="shared" si="100"/>
        <v>0.52860540540540535</v>
      </c>
      <c r="U505" s="93">
        <f t="shared" si="94"/>
        <v>5.286054054054054E-2</v>
      </c>
      <c r="V505" s="93">
        <f t="shared" si="95"/>
        <v>5.2860540540540539E-3</v>
      </c>
      <c r="W505" s="93">
        <f t="shared" si="96"/>
        <v>5.2860540540540539E-3</v>
      </c>
      <c r="X505" s="93">
        <f t="shared" si="92"/>
        <v>0.59203805405405396</v>
      </c>
      <c r="Y505" s="122"/>
    </row>
    <row r="506" spans="1:25" s="90" customFormat="1">
      <c r="A506" s="95" t="s">
        <v>1509</v>
      </c>
      <c r="B506" s="95" t="s">
        <v>1631</v>
      </c>
      <c r="C506" s="95" t="s">
        <v>1427</v>
      </c>
      <c r="D506" s="101" t="s">
        <v>1520</v>
      </c>
      <c r="E506" s="101" t="s">
        <v>1510</v>
      </c>
      <c r="F506" s="101" t="s">
        <v>1670</v>
      </c>
      <c r="G506" s="101"/>
      <c r="H506" s="97" t="str">
        <f>IFERROR(VLOOKUP(I506,'Raw material list'!$A$3:$C$695,3,0),"")</f>
        <v>DRS1-114</v>
      </c>
      <c r="I506" s="97" t="s">
        <v>279</v>
      </c>
      <c r="J506" s="101" t="s">
        <v>111</v>
      </c>
      <c r="K506" s="101" t="str">
        <f>IFERROR(VLOOKUP(I506,'Raw material list'!$A$3:$E$695,5,0),"")</f>
        <v xml:space="preserve">Gram </v>
      </c>
      <c r="L506" s="95">
        <v>3.5</v>
      </c>
      <c r="M506" s="98">
        <f t="shared" si="93"/>
        <v>3.5000000000000004</v>
      </c>
      <c r="N506" s="98">
        <v>100</v>
      </c>
      <c r="O506" s="95">
        <v>10</v>
      </c>
      <c r="P506" s="98">
        <f t="shared" si="97"/>
        <v>0.35</v>
      </c>
      <c r="Q506" s="99">
        <f>IFERROR(VLOOKUP(I506,'Raw material list'!$A$3:$F$695,6,0),"")</f>
        <v>4.7489823609226586E-3</v>
      </c>
      <c r="R506" s="100">
        <f t="shared" si="98"/>
        <v>1.6621438263229305E-3</v>
      </c>
      <c r="S506" s="94">
        <f t="shared" si="99"/>
        <v>1.6621438263229307E-4</v>
      </c>
      <c r="T506" s="94">
        <f t="shared" si="100"/>
        <v>1.8283582089552235E-3</v>
      </c>
      <c r="U506" s="93">
        <f t="shared" si="94"/>
        <v>1.8283582089552235E-4</v>
      </c>
      <c r="V506" s="93">
        <f t="shared" si="95"/>
        <v>1.8283582089552236E-5</v>
      </c>
      <c r="W506" s="93">
        <f t="shared" si="96"/>
        <v>1.8283582089552236E-5</v>
      </c>
      <c r="X506" s="93">
        <f t="shared" si="92"/>
        <v>2.0477611940298507E-3</v>
      </c>
      <c r="Y506" s="122"/>
    </row>
    <row r="507" spans="1:25" s="90" customFormat="1">
      <c r="A507" s="95" t="s">
        <v>1509</v>
      </c>
      <c r="B507" s="95" t="s">
        <v>1631</v>
      </c>
      <c r="C507" s="95" t="s">
        <v>1427</v>
      </c>
      <c r="D507" s="101" t="s">
        <v>1520</v>
      </c>
      <c r="E507" s="101" t="s">
        <v>1510</v>
      </c>
      <c r="F507" s="101" t="s">
        <v>1670</v>
      </c>
      <c r="G507" s="101"/>
      <c r="H507" s="97" t="str">
        <f>IFERROR(VLOOKUP(I507,'Raw material list'!$A$3:$C$695,3,0),"")</f>
        <v>DRS6-537</v>
      </c>
      <c r="I507" s="97" t="s">
        <v>25</v>
      </c>
      <c r="J507" s="101" t="s">
        <v>111</v>
      </c>
      <c r="K507" s="101" t="str">
        <f>IFERROR(VLOOKUP(I507,'Raw material list'!$A$3:$E$695,5,0),"")</f>
        <v xml:space="preserve">Gram </v>
      </c>
      <c r="L507" s="95">
        <v>0.85499999999999998</v>
      </c>
      <c r="M507" s="98">
        <f t="shared" si="93"/>
        <v>0.85499999999999998</v>
      </c>
      <c r="N507" s="98">
        <v>100</v>
      </c>
      <c r="O507" s="95">
        <v>10</v>
      </c>
      <c r="P507" s="98">
        <f t="shared" si="97"/>
        <v>8.5499999999999993E-2</v>
      </c>
      <c r="Q507" s="99">
        <f>IFERROR(VLOOKUP(I507,'Raw material list'!$A$3:$F$695,6,0),"")</f>
        <v>3.5000000000000003E-2</v>
      </c>
      <c r="R507" s="100">
        <f t="shared" si="98"/>
        <v>2.9924999999999999E-3</v>
      </c>
      <c r="S507" s="94">
        <f t="shared" si="99"/>
        <v>2.9925000000000004E-4</v>
      </c>
      <c r="T507" s="94">
        <f t="shared" si="100"/>
        <v>3.29175E-3</v>
      </c>
      <c r="U507" s="93">
        <f t="shared" si="94"/>
        <v>3.2917500000000002E-4</v>
      </c>
      <c r="V507" s="93">
        <f t="shared" si="95"/>
        <v>3.2917499999999998E-5</v>
      </c>
      <c r="W507" s="93">
        <f t="shared" si="96"/>
        <v>3.2917499999999998E-5</v>
      </c>
      <c r="X507" s="93">
        <f t="shared" si="92"/>
        <v>3.6867600000000003E-3</v>
      </c>
      <c r="Y507" s="122"/>
    </row>
    <row r="508" spans="1:25" s="90" customFormat="1">
      <c r="A508" s="95" t="s">
        <v>1509</v>
      </c>
      <c r="B508" s="95" t="s">
        <v>1631</v>
      </c>
      <c r="C508" s="95" t="s">
        <v>1427</v>
      </c>
      <c r="D508" s="101" t="s">
        <v>1520</v>
      </c>
      <c r="E508" s="101" t="s">
        <v>1510</v>
      </c>
      <c r="F508" s="101" t="s">
        <v>1670</v>
      </c>
      <c r="G508" s="101"/>
      <c r="H508" s="97" t="str">
        <f>IFERROR(VLOOKUP(I508,'Raw material list'!$A$3:$C$695,3,0),"")</f>
        <v>DRS6-309</v>
      </c>
      <c r="I508" s="97" t="s">
        <v>35</v>
      </c>
      <c r="J508" s="101" t="s">
        <v>111</v>
      </c>
      <c r="K508" s="101" t="str">
        <f>IFERROR(VLOOKUP(I508,'Raw material list'!$A$3:$E$695,5,0),"")</f>
        <v xml:space="preserve">Gram </v>
      </c>
      <c r="L508" s="95">
        <v>0.85499999999999998</v>
      </c>
      <c r="M508" s="98">
        <f t="shared" si="93"/>
        <v>0.85499999999999998</v>
      </c>
      <c r="N508" s="98">
        <v>100</v>
      </c>
      <c r="O508" s="95">
        <v>10</v>
      </c>
      <c r="P508" s="98">
        <f t="shared" si="97"/>
        <v>8.5499999999999993E-2</v>
      </c>
      <c r="Q508" s="99">
        <f>IFERROR(VLOOKUP(I508,'Raw material list'!$A$3:$F$695,6,0),"")</f>
        <v>2.8000000000000001E-2</v>
      </c>
      <c r="R508" s="100">
        <f t="shared" si="98"/>
        <v>2.3939999999999999E-3</v>
      </c>
      <c r="S508" s="94">
        <f t="shared" si="99"/>
        <v>2.3939999999999999E-4</v>
      </c>
      <c r="T508" s="94">
        <f t="shared" si="100"/>
        <v>2.6333999999999997E-3</v>
      </c>
      <c r="U508" s="93">
        <f t="shared" si="94"/>
        <v>2.6333999999999998E-4</v>
      </c>
      <c r="V508" s="93">
        <f t="shared" si="95"/>
        <v>2.6333999999999999E-5</v>
      </c>
      <c r="W508" s="93">
        <f t="shared" si="96"/>
        <v>2.6333999999999999E-5</v>
      </c>
      <c r="X508" s="93">
        <f t="shared" si="92"/>
        <v>2.9494079999999993E-3</v>
      </c>
      <c r="Y508" s="122"/>
    </row>
    <row r="509" spans="1:25" s="90" customFormat="1">
      <c r="A509" s="95" t="s">
        <v>1509</v>
      </c>
      <c r="B509" s="95" t="s">
        <v>1631</v>
      </c>
      <c r="C509" s="95" t="s">
        <v>1427</v>
      </c>
      <c r="D509" s="101" t="s">
        <v>1520</v>
      </c>
      <c r="E509" s="101" t="s">
        <v>1510</v>
      </c>
      <c r="F509" s="101" t="s">
        <v>1670</v>
      </c>
      <c r="G509" s="101"/>
      <c r="H509" s="97" t="str">
        <f>IFERROR(VLOOKUP(I509,'Raw material list'!$A$3:$C$695,3,0),"")</f>
        <v>DRS6-1570</v>
      </c>
      <c r="I509" s="97" t="s">
        <v>16</v>
      </c>
      <c r="J509" s="101" t="s">
        <v>111</v>
      </c>
      <c r="K509" s="101" t="str">
        <f>IFERROR(VLOOKUP(I509,'Raw material list'!$A$3:$E$695,5,0),"")</f>
        <v xml:space="preserve">Gram </v>
      </c>
      <c r="L509" s="95">
        <v>0.61099999999999999</v>
      </c>
      <c r="M509" s="98">
        <f t="shared" si="93"/>
        <v>0.61099999999999999</v>
      </c>
      <c r="N509" s="98">
        <v>100</v>
      </c>
      <c r="O509" s="95">
        <v>10</v>
      </c>
      <c r="P509" s="98">
        <f t="shared" si="97"/>
        <v>6.1100000000000002E-2</v>
      </c>
      <c r="Q509" s="99">
        <f>IFERROR(VLOOKUP(I509,'Raw material list'!$A$3:$F$695,6,0),"")</f>
        <v>2.8000000000000001E-2</v>
      </c>
      <c r="R509" s="100">
        <f t="shared" si="98"/>
        <v>1.7108000000000002E-3</v>
      </c>
      <c r="S509" s="94">
        <f t="shared" si="99"/>
        <v>1.7108000000000002E-4</v>
      </c>
      <c r="T509" s="94">
        <f t="shared" si="100"/>
        <v>1.8818800000000003E-3</v>
      </c>
      <c r="U509" s="93">
        <f t="shared" si="94"/>
        <v>1.8818800000000005E-4</v>
      </c>
      <c r="V509" s="93">
        <f t="shared" si="95"/>
        <v>1.8818800000000004E-5</v>
      </c>
      <c r="W509" s="93">
        <f t="shared" si="96"/>
        <v>1.8818800000000004E-5</v>
      </c>
      <c r="X509" s="93">
        <f t="shared" si="92"/>
        <v>2.1077056000000007E-3</v>
      </c>
      <c r="Y509" s="122"/>
    </row>
    <row r="510" spans="1:25" s="90" customFormat="1">
      <c r="A510" s="95" t="s">
        <v>1509</v>
      </c>
      <c r="B510" s="95" t="s">
        <v>1631</v>
      </c>
      <c r="C510" s="95" t="s">
        <v>1427</v>
      </c>
      <c r="D510" s="101" t="s">
        <v>1520</v>
      </c>
      <c r="E510" s="101" t="s">
        <v>1510</v>
      </c>
      <c r="F510" s="101" t="s">
        <v>1670</v>
      </c>
      <c r="G510" s="101" t="s">
        <v>1521</v>
      </c>
      <c r="H510" s="97" t="str">
        <f>IFERROR(VLOOKUP(I510,'Raw material list'!$A$3:$C$695,3,0),"")</f>
        <v>DRS1-978</v>
      </c>
      <c r="I510" s="97" t="s">
        <v>49</v>
      </c>
      <c r="J510" s="101" t="s">
        <v>111</v>
      </c>
      <c r="K510" s="101" t="str">
        <f>IFERROR(VLOOKUP(I510,'Raw material list'!$A$3:$E$695,5,0),"")</f>
        <v xml:space="preserve">Gram </v>
      </c>
      <c r="L510" s="95">
        <v>32.729999999999997</v>
      </c>
      <c r="M510" s="98">
        <f t="shared" si="93"/>
        <v>32.729999999999997</v>
      </c>
      <c r="N510" s="98">
        <v>100</v>
      </c>
      <c r="O510" s="95">
        <v>10</v>
      </c>
      <c r="P510" s="98">
        <f t="shared" si="97"/>
        <v>3.2729999999999997</v>
      </c>
      <c r="Q510" s="99">
        <f>IFERROR(VLOOKUP(I510,'Raw material list'!$A$3:$F$695,6,0),"")</f>
        <v>2.1999999999999999E-2</v>
      </c>
      <c r="R510" s="100">
        <f t="shared" si="98"/>
        <v>7.2005999999999987E-2</v>
      </c>
      <c r="S510" s="94">
        <f t="shared" si="99"/>
        <v>7.2005999999999988E-3</v>
      </c>
      <c r="T510" s="94">
        <f t="shared" si="100"/>
        <v>7.9206599999999988E-2</v>
      </c>
      <c r="U510" s="93">
        <f t="shared" si="94"/>
        <v>7.9206599999999995E-3</v>
      </c>
      <c r="V510" s="93">
        <f t="shared" si="95"/>
        <v>7.9206599999999991E-4</v>
      </c>
      <c r="W510" s="93">
        <f t="shared" si="96"/>
        <v>7.9206599999999991E-4</v>
      </c>
      <c r="X510" s="93">
        <f t="shared" si="92"/>
        <v>8.8711391999999972E-2</v>
      </c>
      <c r="Y510" s="122"/>
    </row>
    <row r="511" spans="1:25" s="90" customFormat="1">
      <c r="A511" s="95" t="s">
        <v>1509</v>
      </c>
      <c r="B511" s="95" t="s">
        <v>1631</v>
      </c>
      <c r="C511" s="95" t="s">
        <v>1427</v>
      </c>
      <c r="D511" s="101" t="s">
        <v>1520</v>
      </c>
      <c r="E511" s="101" t="s">
        <v>1510</v>
      </c>
      <c r="F511" s="101" t="s">
        <v>1670</v>
      </c>
      <c r="G511" s="101" t="s">
        <v>1521</v>
      </c>
      <c r="H511" s="97" t="str">
        <f>IFERROR(VLOOKUP(I511,'Raw material list'!$A$3:$C$695,3,0),"")</f>
        <v>DRS1-4902</v>
      </c>
      <c r="I511" s="97" t="s">
        <v>1522</v>
      </c>
      <c r="J511" s="101" t="s">
        <v>111</v>
      </c>
      <c r="K511" s="101" t="str">
        <f>IFERROR(VLOOKUP(I511,'Raw material list'!$A$3:$E$695,5,0),"")</f>
        <v xml:space="preserve">Gram </v>
      </c>
      <c r="L511" s="95">
        <v>10.91</v>
      </c>
      <c r="M511" s="98">
        <f t="shared" si="93"/>
        <v>10.91</v>
      </c>
      <c r="N511" s="98">
        <v>100</v>
      </c>
      <c r="O511" s="95">
        <v>10</v>
      </c>
      <c r="P511" s="98">
        <f t="shared" si="97"/>
        <v>1.091</v>
      </c>
      <c r="Q511" s="99">
        <f>IFERROR(VLOOKUP(I511,'Raw material list'!$A$3:$F$695,6,0),"")</f>
        <v>2.0799999999999999E-2</v>
      </c>
      <c r="R511" s="100">
        <f t="shared" si="98"/>
        <v>2.2692799999999999E-2</v>
      </c>
      <c r="S511" s="94">
        <f t="shared" si="99"/>
        <v>2.2692799999999998E-3</v>
      </c>
      <c r="T511" s="94">
        <f t="shared" si="100"/>
        <v>2.4962079999999998E-2</v>
      </c>
      <c r="U511" s="93">
        <f t="shared" si="94"/>
        <v>2.4962079999999998E-3</v>
      </c>
      <c r="V511" s="93">
        <f t="shared" si="95"/>
        <v>2.4962079999999999E-4</v>
      </c>
      <c r="W511" s="93">
        <f t="shared" si="96"/>
        <v>2.4962079999999999E-4</v>
      </c>
      <c r="X511" s="93">
        <f t="shared" si="92"/>
        <v>2.7957529599999996E-2</v>
      </c>
      <c r="Y511" s="122"/>
    </row>
    <row r="512" spans="1:25" s="90" customFormat="1">
      <c r="A512" s="95" t="s">
        <v>1509</v>
      </c>
      <c r="B512" s="95" t="s">
        <v>1631</v>
      </c>
      <c r="C512" s="95" t="s">
        <v>1427</v>
      </c>
      <c r="D512" s="101" t="s">
        <v>1520</v>
      </c>
      <c r="E512" s="101" t="s">
        <v>1510</v>
      </c>
      <c r="F512" s="101" t="s">
        <v>1670</v>
      </c>
      <c r="G512" s="101" t="s">
        <v>1521</v>
      </c>
      <c r="H512" s="97" t="str">
        <f>IFERROR(VLOOKUP(I512,'Raw material list'!$A$3:$C$695,3,0),"")</f>
        <v>DRS1-4905</v>
      </c>
      <c r="I512" s="97" t="s">
        <v>1523</v>
      </c>
      <c r="J512" s="101" t="s">
        <v>111</v>
      </c>
      <c r="K512" s="101" t="str">
        <f>IFERROR(VLOOKUP(I512,'Raw material list'!$A$3:$E$695,5,0),"")</f>
        <v xml:space="preserve">Gram </v>
      </c>
      <c r="L512" s="95">
        <v>10.91</v>
      </c>
      <c r="M512" s="98">
        <f t="shared" si="93"/>
        <v>10.91</v>
      </c>
      <c r="N512" s="98">
        <v>100</v>
      </c>
      <c r="O512" s="95">
        <v>10</v>
      </c>
      <c r="P512" s="98">
        <f t="shared" si="97"/>
        <v>1.091</v>
      </c>
      <c r="Q512" s="99">
        <f>IFERROR(VLOOKUP(I512,'Raw material list'!$A$3:$F$695,6,0),"")</f>
        <v>2.0799999999999999E-2</v>
      </c>
      <c r="R512" s="100">
        <f t="shared" si="98"/>
        <v>2.2692799999999999E-2</v>
      </c>
      <c r="S512" s="94">
        <f t="shared" si="99"/>
        <v>2.2692799999999998E-3</v>
      </c>
      <c r="T512" s="94">
        <f t="shared" si="100"/>
        <v>2.4962079999999998E-2</v>
      </c>
      <c r="U512" s="93">
        <f t="shared" si="94"/>
        <v>2.4962079999999998E-3</v>
      </c>
      <c r="V512" s="93">
        <f t="shared" si="95"/>
        <v>2.4962079999999999E-4</v>
      </c>
      <c r="W512" s="93">
        <f t="shared" si="96"/>
        <v>2.4962079999999999E-4</v>
      </c>
      <c r="X512" s="93">
        <f t="shared" si="92"/>
        <v>2.7957529599999996E-2</v>
      </c>
      <c r="Y512" s="124"/>
    </row>
    <row r="513" spans="1:25" s="90" customFormat="1">
      <c r="A513" s="95" t="s">
        <v>1509</v>
      </c>
      <c r="B513" s="95" t="s">
        <v>1631</v>
      </c>
      <c r="C513" s="95" t="s">
        <v>1427</v>
      </c>
      <c r="D513" s="101" t="s">
        <v>1520</v>
      </c>
      <c r="E513" s="101" t="s">
        <v>1510</v>
      </c>
      <c r="F513" s="101" t="s">
        <v>1670</v>
      </c>
      <c r="G513" s="101" t="s">
        <v>1521</v>
      </c>
      <c r="H513" s="97" t="str">
        <f>IFERROR(VLOOKUP(I513,'Raw material list'!$A$3:$C$695,3,0),"")</f>
        <v>DRS1-114</v>
      </c>
      <c r="I513" s="97" t="s">
        <v>279</v>
      </c>
      <c r="J513" s="101" t="s">
        <v>111</v>
      </c>
      <c r="K513" s="101" t="str">
        <f>IFERROR(VLOOKUP(I513,'Raw material list'!$A$3:$E$695,5,0),"")</f>
        <v xml:space="preserve">Gram </v>
      </c>
      <c r="L513" s="95">
        <v>1.091</v>
      </c>
      <c r="M513" s="98">
        <f t="shared" si="93"/>
        <v>1.091</v>
      </c>
      <c r="N513" s="98">
        <v>100</v>
      </c>
      <c r="O513" s="95">
        <v>10</v>
      </c>
      <c r="P513" s="98">
        <f t="shared" si="97"/>
        <v>0.1091</v>
      </c>
      <c r="Q513" s="99">
        <f>IFERROR(VLOOKUP(I513,'Raw material list'!$A$3:$F$695,6,0),"")</f>
        <v>4.7489823609226586E-3</v>
      </c>
      <c r="R513" s="100">
        <f t="shared" si="98"/>
        <v>5.1811397557666205E-4</v>
      </c>
      <c r="S513" s="94">
        <f t="shared" si="99"/>
        <v>5.1811397557666206E-5</v>
      </c>
      <c r="T513" s="94">
        <f t="shared" si="100"/>
        <v>5.6992537313432822E-4</v>
      </c>
      <c r="U513" s="93">
        <f t="shared" si="94"/>
        <v>5.6992537313432827E-5</v>
      </c>
      <c r="V513" s="93">
        <f t="shared" si="95"/>
        <v>5.6992537313432827E-6</v>
      </c>
      <c r="W513" s="93">
        <f t="shared" si="96"/>
        <v>5.6992537313432827E-6</v>
      </c>
      <c r="X513" s="93">
        <f t="shared" si="92"/>
        <v>6.3831641791044767E-4</v>
      </c>
      <c r="Y513" s="122"/>
    </row>
    <row r="514" spans="1:25" s="90" customFormat="1">
      <c r="A514" s="95" t="s">
        <v>1509</v>
      </c>
      <c r="B514" s="95" t="s">
        <v>1631</v>
      </c>
      <c r="C514" s="95" t="s">
        <v>1427</v>
      </c>
      <c r="D514" s="101" t="s">
        <v>1520</v>
      </c>
      <c r="E514" s="101" t="s">
        <v>1510</v>
      </c>
      <c r="F514" s="101" t="s">
        <v>1670</v>
      </c>
      <c r="G514" s="101" t="s">
        <v>1521</v>
      </c>
      <c r="H514" s="97" t="str">
        <f>IFERROR(VLOOKUP(I514,'Raw material list'!$A$3:$C$695,3,0),"")</f>
        <v>DRS1-5153</v>
      </c>
      <c r="I514" s="97" t="s">
        <v>791</v>
      </c>
      <c r="J514" s="101" t="s">
        <v>161</v>
      </c>
      <c r="K514" s="101" t="str">
        <f>IFERROR(VLOOKUP(I514,'Raw material list'!$A$3:$E$695,5,0),"")</f>
        <v>Ml</v>
      </c>
      <c r="L514" s="95">
        <v>16.36</v>
      </c>
      <c r="M514" s="98">
        <f t="shared" si="93"/>
        <v>16.36</v>
      </c>
      <c r="N514" s="98">
        <v>100</v>
      </c>
      <c r="O514" s="95">
        <v>10</v>
      </c>
      <c r="P514" s="98">
        <f t="shared" si="97"/>
        <v>1.6359999999999999</v>
      </c>
      <c r="Q514" s="99">
        <f>IFERROR(VLOOKUP(I514,'Raw material list'!$A$3:$F$695,6,0),"")</f>
        <v>1.681E-3</v>
      </c>
      <c r="R514" s="100">
        <f t="shared" si="98"/>
        <v>2.7501159999999999E-3</v>
      </c>
      <c r="S514" s="94">
        <f t="shared" si="99"/>
        <v>2.7501160000000001E-4</v>
      </c>
      <c r="T514" s="94">
        <f t="shared" si="100"/>
        <v>3.0251276000000001E-3</v>
      </c>
      <c r="U514" s="93">
        <f t="shared" si="94"/>
        <v>3.0251276000000001E-4</v>
      </c>
      <c r="V514" s="93">
        <f t="shared" si="95"/>
        <v>3.0251276000000001E-5</v>
      </c>
      <c r="W514" s="93">
        <f t="shared" si="96"/>
        <v>3.0251276000000001E-5</v>
      </c>
      <c r="X514" s="93">
        <f t="shared" si="92"/>
        <v>3.3881429120000001E-3</v>
      </c>
      <c r="Y514" s="122"/>
    </row>
    <row r="515" spans="1:25" s="90" customFormat="1">
      <c r="A515" s="95" t="s">
        <v>1509</v>
      </c>
      <c r="B515" s="95" t="s">
        <v>1631</v>
      </c>
      <c r="C515" s="95" t="s">
        <v>1427</v>
      </c>
      <c r="D515" s="101" t="s">
        <v>1520</v>
      </c>
      <c r="E515" s="101" t="s">
        <v>1510</v>
      </c>
      <c r="F515" s="101" t="s">
        <v>1670</v>
      </c>
      <c r="G515" s="101" t="s">
        <v>1521</v>
      </c>
      <c r="H515" s="97" t="str">
        <f>IFERROR(VLOOKUP(I515,'Raw material list'!$A$3:$C$695,3,0),"")</f>
        <v>DRS1-1549</v>
      </c>
      <c r="I515" s="97" t="s">
        <v>252</v>
      </c>
      <c r="J515" s="101" t="s">
        <v>111</v>
      </c>
      <c r="K515" s="101" t="str">
        <f>IFERROR(VLOOKUP(I515,'Raw material list'!$A$3:$E$695,5,0),"")</f>
        <v xml:space="preserve">Gram </v>
      </c>
      <c r="L515" s="95">
        <v>10.91</v>
      </c>
      <c r="M515" s="98">
        <f t="shared" si="93"/>
        <v>10.91</v>
      </c>
      <c r="N515" s="98">
        <v>100</v>
      </c>
      <c r="O515" s="95">
        <v>10</v>
      </c>
      <c r="P515" s="98">
        <f t="shared" si="97"/>
        <v>1.091</v>
      </c>
      <c r="Q515" s="99">
        <f>IFERROR(VLOOKUP(I515,'Raw material list'!$A$3:$F$695,6,0),"")</f>
        <v>9.58E-3</v>
      </c>
      <c r="R515" s="100">
        <f t="shared" si="98"/>
        <v>1.0451779999999999E-2</v>
      </c>
      <c r="S515" s="94">
        <f t="shared" si="99"/>
        <v>1.0451779999999999E-3</v>
      </c>
      <c r="T515" s="94">
        <f t="shared" si="100"/>
        <v>1.1496957999999998E-2</v>
      </c>
      <c r="U515" s="93">
        <f t="shared" si="94"/>
        <v>1.1496957999999999E-3</v>
      </c>
      <c r="V515" s="93">
        <f t="shared" si="95"/>
        <v>1.1496957999999999E-4</v>
      </c>
      <c r="W515" s="93">
        <f t="shared" si="96"/>
        <v>1.1496957999999999E-4</v>
      </c>
      <c r="X515" s="93">
        <f t="shared" ref="X515:X580" si="103">T515+U515+V515+W515</f>
        <v>1.2876592959999999E-2</v>
      </c>
      <c r="Y515" s="122"/>
    </row>
    <row r="516" spans="1:25" s="90" customFormat="1">
      <c r="A516" s="95" t="s">
        <v>1509</v>
      </c>
      <c r="B516" s="95" t="s">
        <v>1631</v>
      </c>
      <c r="C516" s="95" t="s">
        <v>1427</v>
      </c>
      <c r="D516" s="101" t="s">
        <v>1520</v>
      </c>
      <c r="E516" s="101" t="s">
        <v>1510</v>
      </c>
      <c r="F516" s="101" t="s">
        <v>1670</v>
      </c>
      <c r="G516" s="101" t="s">
        <v>1521</v>
      </c>
      <c r="H516" s="97" t="str">
        <f>IFERROR(VLOOKUP(I516,'Raw material list'!$A$3:$C$695,3,0),"")</f>
        <v>DRS1-4954</v>
      </c>
      <c r="I516" s="97" t="s">
        <v>1524</v>
      </c>
      <c r="J516" s="101" t="s">
        <v>30</v>
      </c>
      <c r="K516" s="101" t="str">
        <f>IFERROR(VLOOKUP(I516,'Raw material list'!$A$3:$E$695,5,0),"")</f>
        <v>ML</v>
      </c>
      <c r="L516" s="95">
        <v>13.63</v>
      </c>
      <c r="M516" s="98">
        <f t="shared" si="93"/>
        <v>13.63</v>
      </c>
      <c r="N516" s="98">
        <v>100</v>
      </c>
      <c r="O516" s="95">
        <v>10</v>
      </c>
      <c r="P516" s="98">
        <f t="shared" si="97"/>
        <v>1.363</v>
      </c>
      <c r="Q516" s="99">
        <f>IFERROR(VLOOKUP(I516,'Raw material list'!$A$3:$F$695,6,0),"")</f>
        <v>2.9000000000000001E-2</v>
      </c>
      <c r="R516" s="100">
        <f t="shared" si="98"/>
        <v>3.9527E-2</v>
      </c>
      <c r="S516" s="94">
        <f t="shared" si="99"/>
        <v>3.9527E-3</v>
      </c>
      <c r="T516" s="94">
        <f t="shared" si="100"/>
        <v>4.3479699999999996E-2</v>
      </c>
      <c r="U516" s="93">
        <f t="shared" si="94"/>
        <v>4.3479699999999996E-3</v>
      </c>
      <c r="V516" s="93">
        <f t="shared" si="95"/>
        <v>4.3479699999999995E-4</v>
      </c>
      <c r="W516" s="93">
        <f t="shared" si="96"/>
        <v>4.3479699999999995E-4</v>
      </c>
      <c r="X516" s="93">
        <f t="shared" si="103"/>
        <v>4.8697263999999997E-2</v>
      </c>
      <c r="Y516" s="122"/>
    </row>
    <row r="517" spans="1:25" s="90" customFormat="1">
      <c r="A517" s="95" t="s">
        <v>1509</v>
      </c>
      <c r="B517" s="95" t="s">
        <v>1631</v>
      </c>
      <c r="C517" s="95" t="s">
        <v>1427</v>
      </c>
      <c r="D517" s="101" t="s">
        <v>1520</v>
      </c>
      <c r="E517" s="101" t="s">
        <v>1510</v>
      </c>
      <c r="F517" s="101" t="s">
        <v>1670</v>
      </c>
      <c r="G517" s="101" t="s">
        <v>1521</v>
      </c>
      <c r="H517" s="97" t="str">
        <f>IFERROR(VLOOKUP(I517,'Raw material list'!$A$3:$C$695,3,0),"")</f>
        <v>DRS1-304</v>
      </c>
      <c r="I517" s="97" t="s">
        <v>63</v>
      </c>
      <c r="J517" s="101" t="s">
        <v>111</v>
      </c>
      <c r="K517" s="101" t="str">
        <f>IFERROR(VLOOKUP(I517,'Raw material list'!$A$3:$E$695,5,0),"")</f>
        <v xml:space="preserve">Gram </v>
      </c>
      <c r="L517" s="95">
        <v>1.63</v>
      </c>
      <c r="M517" s="98">
        <f t="shared" si="93"/>
        <v>1.63</v>
      </c>
      <c r="N517" s="98">
        <v>100</v>
      </c>
      <c r="O517" s="95">
        <v>10</v>
      </c>
      <c r="P517" s="98">
        <f t="shared" si="97"/>
        <v>0.16299999999999998</v>
      </c>
      <c r="Q517" s="99">
        <f>IFERROR(VLOOKUP(I517,'Raw material list'!$A$3:$F$695,6,0),"")</f>
        <v>2.0799999999999999E-2</v>
      </c>
      <c r="R517" s="100">
        <f t="shared" si="98"/>
        <v>3.3903999999999996E-3</v>
      </c>
      <c r="S517" s="94">
        <f t="shared" si="99"/>
        <v>3.3903999999999998E-4</v>
      </c>
      <c r="T517" s="94">
        <f t="shared" si="100"/>
        <v>3.7294399999999997E-3</v>
      </c>
      <c r="U517" s="93">
        <f t="shared" si="94"/>
        <v>3.72944E-4</v>
      </c>
      <c r="V517" s="93">
        <f t="shared" si="95"/>
        <v>3.72944E-5</v>
      </c>
      <c r="W517" s="93">
        <f t="shared" si="96"/>
        <v>3.72944E-5</v>
      </c>
      <c r="X517" s="93">
        <f t="shared" si="103"/>
        <v>4.1769728000000004E-3</v>
      </c>
      <c r="Y517" s="122"/>
    </row>
    <row r="518" spans="1:25" s="90" customFormat="1">
      <c r="A518" s="95" t="s">
        <v>1509</v>
      </c>
      <c r="B518" s="95" t="s">
        <v>1631</v>
      </c>
      <c r="C518" s="95" t="s">
        <v>1427</v>
      </c>
      <c r="D518" s="101" t="s">
        <v>1520</v>
      </c>
      <c r="E518" s="101" t="s">
        <v>1510</v>
      </c>
      <c r="F518" s="101" t="s">
        <v>1670</v>
      </c>
      <c r="G518" s="101" t="s">
        <v>1521</v>
      </c>
      <c r="H518" s="97" t="str">
        <f>IFERROR(VLOOKUP(I518,'Raw material list'!$A$3:$C$695,3,0),"")</f>
        <v>DRS6-1570</v>
      </c>
      <c r="I518" s="97" t="s">
        <v>16</v>
      </c>
      <c r="J518" s="101" t="s">
        <v>111</v>
      </c>
      <c r="K518" s="101" t="str">
        <f>IFERROR(VLOOKUP(I518,'Raw material list'!$A$3:$E$695,5,0),"")</f>
        <v xml:space="preserve">Gram </v>
      </c>
      <c r="L518" s="95">
        <v>1.091</v>
      </c>
      <c r="M518" s="98">
        <f t="shared" ref="M518:M581" si="104">L518/N518*100</f>
        <v>1.091</v>
      </c>
      <c r="N518" s="98">
        <v>100</v>
      </c>
      <c r="O518" s="95">
        <v>10</v>
      </c>
      <c r="P518" s="98">
        <f t="shared" si="97"/>
        <v>0.1091</v>
      </c>
      <c r="Q518" s="99">
        <f>IFERROR(VLOOKUP(I518,'Raw material list'!$A$3:$F$695,6,0),"")</f>
        <v>2.8000000000000001E-2</v>
      </c>
      <c r="R518" s="100">
        <f t="shared" si="98"/>
        <v>3.0548000000000003E-3</v>
      </c>
      <c r="S518" s="94">
        <f t="shared" si="99"/>
        <v>3.0548000000000006E-4</v>
      </c>
      <c r="T518" s="94">
        <f t="shared" si="100"/>
        <v>3.3602800000000002E-3</v>
      </c>
      <c r="U518" s="93">
        <f t="shared" ref="U518:U581" si="105">T518*10%</f>
        <v>3.3602800000000004E-4</v>
      </c>
      <c r="V518" s="93">
        <f t="shared" ref="V518:V581" si="106">T518*1%</f>
        <v>3.3602800000000003E-5</v>
      </c>
      <c r="W518" s="93">
        <f t="shared" ref="W518:W581" si="107">T518*1%</f>
        <v>3.3602800000000003E-5</v>
      </c>
      <c r="X518" s="93">
        <f t="shared" si="103"/>
        <v>3.7635136000000002E-3</v>
      </c>
      <c r="Y518" s="122"/>
    </row>
    <row r="519" spans="1:25" s="90" customFormat="1">
      <c r="A519" s="95" t="s">
        <v>1509</v>
      </c>
      <c r="B519" s="95" t="s">
        <v>1631</v>
      </c>
      <c r="C519" s="95" t="s">
        <v>1427</v>
      </c>
      <c r="D519" s="101" t="s">
        <v>1520</v>
      </c>
      <c r="E519" s="101" t="s">
        <v>1510</v>
      </c>
      <c r="F519" s="101" t="s">
        <v>1670</v>
      </c>
      <c r="G519" s="101" t="s">
        <v>1521</v>
      </c>
      <c r="H519" s="97" t="str">
        <f>IFERROR(VLOOKUP(I519,'Raw material list'!$A$3:$C$695,3,0),"")</f>
        <v>DRS1-1652</v>
      </c>
      <c r="I519" s="97" t="s">
        <v>1425</v>
      </c>
      <c r="J519" s="101" t="s">
        <v>111</v>
      </c>
      <c r="K519" s="101" t="str">
        <f>IFERROR(VLOOKUP(I519,'Raw material list'!$A$3:$E$695,5,0),"")</f>
        <v xml:space="preserve">Gram </v>
      </c>
      <c r="L519" s="95">
        <v>65.459999999999994</v>
      </c>
      <c r="M519" s="98">
        <f t="shared" si="104"/>
        <v>65.459999999999994</v>
      </c>
      <c r="N519" s="98">
        <v>100</v>
      </c>
      <c r="O519" s="95">
        <v>10</v>
      </c>
      <c r="P519" s="98">
        <f t="shared" si="97"/>
        <v>6.5459999999999994</v>
      </c>
      <c r="Q519" s="99">
        <f>IFERROR(VLOOKUP(I519,'Raw material list'!$A$3:$F$695,6,0),"")</f>
        <v>1.2800000000000001E-2</v>
      </c>
      <c r="R519" s="100">
        <f t="shared" si="98"/>
        <v>8.3788799999999997E-2</v>
      </c>
      <c r="S519" s="94">
        <f t="shared" si="99"/>
        <v>8.37888E-3</v>
      </c>
      <c r="T519" s="94">
        <f t="shared" si="100"/>
        <v>9.2167680000000002E-2</v>
      </c>
      <c r="U519" s="93">
        <f t="shared" si="105"/>
        <v>9.2167680000000002E-3</v>
      </c>
      <c r="V519" s="93">
        <f t="shared" si="106"/>
        <v>9.2167680000000002E-4</v>
      </c>
      <c r="W519" s="93">
        <f t="shared" si="107"/>
        <v>9.2167680000000002E-4</v>
      </c>
      <c r="X519" s="93">
        <f t="shared" si="103"/>
        <v>0.1032278016</v>
      </c>
      <c r="Y519" s="122"/>
    </row>
    <row r="520" spans="1:25" s="90" customFormat="1">
      <c r="A520" s="95" t="s">
        <v>1509</v>
      </c>
      <c r="B520" s="95" t="s">
        <v>1631</v>
      </c>
      <c r="C520" s="95" t="s">
        <v>1427</v>
      </c>
      <c r="D520" s="101" t="s">
        <v>1520</v>
      </c>
      <c r="E520" s="101" t="s">
        <v>1510</v>
      </c>
      <c r="F520" s="101" t="s">
        <v>1670</v>
      </c>
      <c r="G520" s="101" t="s">
        <v>1521</v>
      </c>
      <c r="H520" s="97" t="str">
        <f>IFERROR(VLOOKUP(I520,'Raw material list'!$A$3:$C$695,3,0),"")</f>
        <v>WAT-001</v>
      </c>
      <c r="I520" s="97" t="s">
        <v>1406</v>
      </c>
      <c r="J520" s="101" t="s">
        <v>161</v>
      </c>
      <c r="K520" s="101" t="str">
        <f>IFERROR(VLOOKUP(I520,'Raw material list'!$A$3:$E$695,5,0),"")</f>
        <v>Ml</v>
      </c>
      <c r="L520" s="95">
        <v>218.22</v>
      </c>
      <c r="M520" s="98">
        <f t="shared" si="104"/>
        <v>218.22</v>
      </c>
      <c r="N520" s="98">
        <v>100</v>
      </c>
      <c r="O520" s="95">
        <v>10</v>
      </c>
      <c r="P520" s="98">
        <f t="shared" si="97"/>
        <v>21.821999999999999</v>
      </c>
      <c r="Q520" s="99">
        <f>IFERROR(VLOOKUP(I520,'Raw material list'!$A$3:$F$695,6,0),"")</f>
        <v>8.0000000000000007E-5</v>
      </c>
      <c r="R520" s="100">
        <f t="shared" si="98"/>
        <v>1.7457600000000001E-3</v>
      </c>
      <c r="S520" s="94">
        <f t="shared" si="99"/>
        <v>1.7457600000000002E-4</v>
      </c>
      <c r="T520" s="94">
        <f t="shared" si="100"/>
        <v>1.9203360000000001E-3</v>
      </c>
      <c r="U520" s="93">
        <f t="shared" si="105"/>
        <v>1.9203360000000002E-4</v>
      </c>
      <c r="V520" s="93">
        <f t="shared" si="106"/>
        <v>1.920336E-5</v>
      </c>
      <c r="W520" s="93">
        <f t="shared" si="107"/>
        <v>1.920336E-5</v>
      </c>
      <c r="X520" s="93">
        <f t="shared" si="103"/>
        <v>2.1507763200000001E-3</v>
      </c>
      <c r="Y520" s="122"/>
    </row>
    <row r="521" spans="1:25" s="90" customFormat="1">
      <c r="A521" s="95" t="s">
        <v>1525</v>
      </c>
      <c r="B521" s="95" t="s">
        <v>1668</v>
      </c>
      <c r="C521" s="95" t="s">
        <v>1427</v>
      </c>
      <c r="D521" s="101" t="s">
        <v>1535</v>
      </c>
      <c r="E521" s="101" t="s">
        <v>1532</v>
      </c>
      <c r="F521" s="101" t="s">
        <v>1671</v>
      </c>
      <c r="G521" s="101" t="s">
        <v>1616</v>
      </c>
      <c r="H521" s="97" t="str">
        <f>IFERROR(VLOOKUP(I521,'Raw material list'!$A$3:$C$695,3,0),"")</f>
        <v>MET2-1051</v>
      </c>
      <c r="I521" s="97" t="s">
        <v>882</v>
      </c>
      <c r="J521" s="101" t="s">
        <v>111</v>
      </c>
      <c r="K521" s="101" t="str">
        <f>IFERROR(VLOOKUP(I521,'Raw material list'!$A$3:$E$695,5,0),"")</f>
        <v xml:space="preserve">Gram </v>
      </c>
      <c r="L521" s="95">
        <v>1500</v>
      </c>
      <c r="M521" s="98">
        <f t="shared" si="104"/>
        <v>2918.2879377431905</v>
      </c>
      <c r="N521" s="98">
        <v>51.4</v>
      </c>
      <c r="O521" s="95">
        <v>10</v>
      </c>
      <c r="P521" s="98">
        <f t="shared" ref="P521:P550" si="108">IFERROR(L521/O521,0)</f>
        <v>150</v>
      </c>
      <c r="Q521" s="99">
        <f>IFERROR(VLOOKUP(I521,'Raw material list'!$A$3:$F$695,6,0),"")</f>
        <v>8.4705882352941173E-2</v>
      </c>
      <c r="R521" s="100">
        <f t="shared" ref="R521:R553" si="109">IFERROR(Q521*P521,0)</f>
        <v>12.705882352941176</v>
      </c>
      <c r="S521" s="94">
        <f t="shared" ref="S521:S551" si="110">R521*10%</f>
        <v>1.2705882352941176</v>
      </c>
      <c r="T521" s="94">
        <f t="shared" ref="T521:T551" si="111">R521+S521</f>
        <v>13.976470588235294</v>
      </c>
      <c r="U521" s="93">
        <f t="shared" si="105"/>
        <v>1.3976470588235295</v>
      </c>
      <c r="V521" s="93">
        <f t="shared" si="106"/>
        <v>0.13976470588235296</v>
      </c>
      <c r="W521" s="93">
        <f t="shared" si="107"/>
        <v>0.13976470588235296</v>
      </c>
      <c r="X521" s="93">
        <f t="shared" si="103"/>
        <v>15.65364705882353</v>
      </c>
      <c r="Y521" s="127" t="s">
        <v>1679</v>
      </c>
    </row>
    <row r="522" spans="1:25" s="90" customFormat="1">
      <c r="A522" s="95" t="s">
        <v>1525</v>
      </c>
      <c r="B522" s="95" t="s">
        <v>1668</v>
      </c>
      <c r="C522" s="95" t="s">
        <v>1427</v>
      </c>
      <c r="D522" s="101" t="s">
        <v>1535</v>
      </c>
      <c r="E522" s="101" t="s">
        <v>1532</v>
      </c>
      <c r="F522" s="101" t="s">
        <v>1671</v>
      </c>
      <c r="G522" s="101" t="s">
        <v>1616</v>
      </c>
      <c r="H522" s="97" t="str">
        <f>IFERROR(VLOOKUP(I522,'Raw material list'!$A$3:$C$695,3,0),"")</f>
        <v>DRS1-1142</v>
      </c>
      <c r="I522" s="97" t="s">
        <v>775</v>
      </c>
      <c r="J522" s="101" t="s">
        <v>111</v>
      </c>
      <c r="K522" s="101" t="str">
        <f>IFERROR(VLOOKUP(I522,'Raw material list'!$A$3:$E$695,5,0),"")</f>
        <v>Ml</v>
      </c>
      <c r="L522" s="95">
        <v>100</v>
      </c>
      <c r="M522" s="98">
        <f t="shared" si="104"/>
        <v>100</v>
      </c>
      <c r="N522" s="98">
        <v>100</v>
      </c>
      <c r="O522" s="95">
        <v>10</v>
      </c>
      <c r="P522" s="98">
        <f t="shared" ref="P522:P527" si="112">IFERROR(L522/O522,0)</f>
        <v>10</v>
      </c>
      <c r="Q522" s="99">
        <f>IFERROR(VLOOKUP(I522,'Raw material list'!$A$3:$F$695,6,0),"")</f>
        <v>2.358E-2</v>
      </c>
      <c r="R522" s="100">
        <f t="shared" ref="R522:R527" si="113">IFERROR(Q522*P522,0)</f>
        <v>0.23580000000000001</v>
      </c>
      <c r="S522" s="94">
        <f t="shared" si="110"/>
        <v>2.3580000000000004E-2</v>
      </c>
      <c r="T522" s="94">
        <f t="shared" si="111"/>
        <v>0.25938</v>
      </c>
      <c r="U522" s="93">
        <f t="shared" si="105"/>
        <v>2.5938000000000003E-2</v>
      </c>
      <c r="V522" s="93">
        <f t="shared" si="106"/>
        <v>2.5937999999999998E-3</v>
      </c>
      <c r="W522" s="93">
        <f t="shared" si="107"/>
        <v>2.5937999999999998E-3</v>
      </c>
      <c r="X522" s="93">
        <f t="shared" si="103"/>
        <v>0.29050559999999997</v>
      </c>
      <c r="Y522" s="116"/>
    </row>
    <row r="523" spans="1:25" s="90" customFormat="1">
      <c r="A523" s="95" t="s">
        <v>1525</v>
      </c>
      <c r="B523" s="95" t="s">
        <v>1668</v>
      </c>
      <c r="C523" s="95" t="s">
        <v>1427</v>
      </c>
      <c r="D523" s="101" t="s">
        <v>1535</v>
      </c>
      <c r="E523" s="101" t="s">
        <v>1532</v>
      </c>
      <c r="F523" s="101" t="s">
        <v>1671</v>
      </c>
      <c r="G523" s="101" t="s">
        <v>1616</v>
      </c>
      <c r="H523" s="97" t="str">
        <f>IFERROR(VLOOKUP(I523,'Raw material list'!$A$3:$C$695,3,0),"")</f>
        <v>PRD1-4327</v>
      </c>
      <c r="I523" s="97" t="s">
        <v>11</v>
      </c>
      <c r="J523" s="101" t="s">
        <v>111</v>
      </c>
      <c r="K523" s="101" t="str">
        <f>IFERROR(VLOOKUP(I523,'Raw material list'!$A$3:$E$695,5,0),"")</f>
        <v xml:space="preserve">Gram </v>
      </c>
      <c r="L523" s="95">
        <v>10</v>
      </c>
      <c r="M523" s="98">
        <f t="shared" si="104"/>
        <v>12.5</v>
      </c>
      <c r="N523" s="133">
        <v>80</v>
      </c>
      <c r="O523" s="95">
        <v>10</v>
      </c>
      <c r="P523" s="98">
        <f t="shared" si="112"/>
        <v>1</v>
      </c>
      <c r="Q523" s="99">
        <f>IFERROR(VLOOKUP(I523,'Raw material list'!$A$3:$F$695,6,0),"")</f>
        <v>1.2999999999999999E-2</v>
      </c>
      <c r="R523" s="100">
        <f t="shared" si="113"/>
        <v>1.2999999999999999E-2</v>
      </c>
      <c r="S523" s="94">
        <f t="shared" si="110"/>
        <v>1.2999999999999999E-3</v>
      </c>
      <c r="T523" s="94">
        <f t="shared" si="111"/>
        <v>1.43E-2</v>
      </c>
      <c r="U523" s="93">
        <f t="shared" si="105"/>
        <v>1.4300000000000001E-3</v>
      </c>
      <c r="V523" s="93">
        <f t="shared" si="106"/>
        <v>1.4300000000000001E-4</v>
      </c>
      <c r="W523" s="93">
        <f t="shared" si="107"/>
        <v>1.4300000000000001E-4</v>
      </c>
      <c r="X523" s="93">
        <f t="shared" si="103"/>
        <v>1.6016000000000002E-2</v>
      </c>
      <c r="Y523" s="116"/>
    </row>
    <row r="524" spans="1:25" s="90" customFormat="1">
      <c r="A524" s="95" t="s">
        <v>1525</v>
      </c>
      <c r="B524" s="95" t="s">
        <v>1668</v>
      </c>
      <c r="C524" s="95" t="s">
        <v>1427</v>
      </c>
      <c r="D524" s="101" t="s">
        <v>1535</v>
      </c>
      <c r="E524" s="101" t="s">
        <v>1532</v>
      </c>
      <c r="F524" s="101" t="s">
        <v>1671</v>
      </c>
      <c r="G524" s="101" t="s">
        <v>1616</v>
      </c>
      <c r="H524" s="97" t="str">
        <f>IFERROR(VLOOKUP(I524,'Raw material list'!$A$3:$C$695,3,0),"")</f>
        <v>PRD1-209</v>
      </c>
      <c r="I524" s="97" t="s">
        <v>26</v>
      </c>
      <c r="J524" s="101" t="s">
        <v>111</v>
      </c>
      <c r="K524" s="101" t="str">
        <f>IFERROR(VLOOKUP(I524,'Raw material list'!$A$3:$E$695,5,0),"")</f>
        <v xml:space="preserve">Gram </v>
      </c>
      <c r="L524" s="95">
        <v>15</v>
      </c>
      <c r="M524" s="98">
        <f t="shared" si="104"/>
        <v>39.473684210526315</v>
      </c>
      <c r="N524" s="98">
        <v>38</v>
      </c>
      <c r="O524" s="95">
        <v>10</v>
      </c>
      <c r="P524" s="98">
        <f t="shared" si="112"/>
        <v>1.5</v>
      </c>
      <c r="Q524" s="99">
        <f>IFERROR(VLOOKUP(I524,'Raw material list'!$A$3:$F$695,6,0),"")</f>
        <v>1.0088272383354351E-2</v>
      </c>
      <c r="R524" s="100">
        <f t="shared" si="113"/>
        <v>1.5132408575031526E-2</v>
      </c>
      <c r="S524" s="94">
        <f t="shared" si="110"/>
        <v>1.5132408575031526E-3</v>
      </c>
      <c r="T524" s="94">
        <f t="shared" si="111"/>
        <v>1.664564943253468E-2</v>
      </c>
      <c r="U524" s="93">
        <f t="shared" si="105"/>
        <v>1.6645649432534681E-3</v>
      </c>
      <c r="V524" s="93">
        <f t="shared" si="106"/>
        <v>1.6645649432534682E-4</v>
      </c>
      <c r="W524" s="93">
        <f t="shared" si="107"/>
        <v>1.6645649432534682E-4</v>
      </c>
      <c r="X524" s="93">
        <f t="shared" si="103"/>
        <v>1.8643127364438843E-2</v>
      </c>
      <c r="Y524" s="116"/>
    </row>
    <row r="525" spans="1:25" s="90" customFormat="1">
      <c r="A525" s="95" t="s">
        <v>1525</v>
      </c>
      <c r="B525" s="95" t="s">
        <v>1668</v>
      </c>
      <c r="C525" s="95" t="s">
        <v>1427</v>
      </c>
      <c r="D525" s="101" t="s">
        <v>1535</v>
      </c>
      <c r="E525" s="101" t="s">
        <v>1532</v>
      </c>
      <c r="F525" s="101" t="s">
        <v>1671</v>
      </c>
      <c r="G525" s="101" t="s">
        <v>1616</v>
      </c>
      <c r="H525" s="97" t="str">
        <f>IFERROR(VLOOKUP(I525,'Raw material list'!$A$3:$C$695,3,0),"")</f>
        <v>DRS6-537</v>
      </c>
      <c r="I525" s="97" t="s">
        <v>25</v>
      </c>
      <c r="J525" s="101" t="s">
        <v>111</v>
      </c>
      <c r="K525" s="101" t="str">
        <f>IFERROR(VLOOKUP(I525,'Raw material list'!$A$3:$E$695,5,0),"")</f>
        <v xml:space="preserve">Gram </v>
      </c>
      <c r="L525" s="95">
        <v>1</v>
      </c>
      <c r="M525" s="98">
        <f t="shared" si="104"/>
        <v>1</v>
      </c>
      <c r="N525" s="98">
        <v>100</v>
      </c>
      <c r="O525" s="95">
        <v>10</v>
      </c>
      <c r="P525" s="98">
        <f t="shared" si="112"/>
        <v>0.1</v>
      </c>
      <c r="Q525" s="99">
        <f>IFERROR(VLOOKUP(I525,'Raw material list'!$A$3:$F$695,6,0),"")</f>
        <v>3.5000000000000003E-2</v>
      </c>
      <c r="R525" s="100">
        <f t="shared" si="113"/>
        <v>3.5000000000000005E-3</v>
      </c>
      <c r="S525" s="94">
        <f t="shared" si="110"/>
        <v>3.5000000000000005E-4</v>
      </c>
      <c r="T525" s="94">
        <f t="shared" si="111"/>
        <v>3.8500000000000006E-3</v>
      </c>
      <c r="U525" s="93">
        <f t="shared" si="105"/>
        <v>3.8500000000000009E-4</v>
      </c>
      <c r="V525" s="93">
        <f t="shared" si="106"/>
        <v>3.8500000000000007E-5</v>
      </c>
      <c r="W525" s="93">
        <f t="shared" si="107"/>
        <v>3.8500000000000007E-5</v>
      </c>
      <c r="X525" s="93">
        <f t="shared" si="103"/>
        <v>4.3120000000000016E-3</v>
      </c>
      <c r="Y525" s="116"/>
    </row>
    <row r="526" spans="1:25" s="90" customFormat="1">
      <c r="A526" s="95" t="s">
        <v>1525</v>
      </c>
      <c r="B526" s="95" t="s">
        <v>1668</v>
      </c>
      <c r="C526" s="95" t="s">
        <v>1427</v>
      </c>
      <c r="D526" s="101" t="s">
        <v>1535</v>
      </c>
      <c r="E526" s="101" t="s">
        <v>1532</v>
      </c>
      <c r="F526" s="101" t="s">
        <v>1671</v>
      </c>
      <c r="G526" s="101" t="s">
        <v>1616</v>
      </c>
      <c r="H526" s="97" t="str">
        <f>IFERROR(VLOOKUP(I526,'Raw material list'!$A$3:$C$695,3,0),"")</f>
        <v>WAT-001</v>
      </c>
      <c r="I526" s="97" t="s">
        <v>1406</v>
      </c>
      <c r="J526" s="101" t="s">
        <v>111</v>
      </c>
      <c r="K526" s="101" t="str">
        <f>IFERROR(VLOOKUP(I526,'Raw material list'!$A$3:$E$695,5,0),"")</f>
        <v>Ml</v>
      </c>
      <c r="L526" s="95">
        <v>100</v>
      </c>
      <c r="M526" s="98">
        <f t="shared" si="104"/>
        <v>100</v>
      </c>
      <c r="N526" s="98">
        <v>100</v>
      </c>
      <c r="O526" s="95">
        <v>10</v>
      </c>
      <c r="P526" s="98">
        <f t="shared" si="112"/>
        <v>10</v>
      </c>
      <c r="Q526" s="99">
        <f>IFERROR(VLOOKUP(I526,'Raw material list'!$A$3:$F$695,6,0),"")</f>
        <v>8.0000000000000007E-5</v>
      </c>
      <c r="R526" s="100">
        <f t="shared" si="113"/>
        <v>8.0000000000000004E-4</v>
      </c>
      <c r="S526" s="94">
        <f t="shared" si="110"/>
        <v>8.0000000000000007E-5</v>
      </c>
      <c r="T526" s="94">
        <f t="shared" si="111"/>
        <v>8.8000000000000003E-4</v>
      </c>
      <c r="U526" s="93">
        <f t="shared" si="105"/>
        <v>8.8000000000000011E-5</v>
      </c>
      <c r="V526" s="93">
        <f t="shared" si="106"/>
        <v>8.8000000000000004E-6</v>
      </c>
      <c r="W526" s="93">
        <f t="shared" si="107"/>
        <v>8.8000000000000004E-6</v>
      </c>
      <c r="X526" s="93">
        <f t="shared" si="103"/>
        <v>9.856000000000001E-4</v>
      </c>
      <c r="Y526" s="116"/>
    </row>
    <row r="527" spans="1:25" s="90" customFormat="1">
      <c r="A527" s="95" t="s">
        <v>1525</v>
      </c>
      <c r="B527" s="95" t="s">
        <v>1668</v>
      </c>
      <c r="C527" s="95" t="s">
        <v>1427</v>
      </c>
      <c r="D527" s="101" t="s">
        <v>1535</v>
      </c>
      <c r="E527" s="101" t="s">
        <v>1532</v>
      </c>
      <c r="F527" s="101" t="s">
        <v>1671</v>
      </c>
      <c r="G527" s="101" t="s">
        <v>1616</v>
      </c>
      <c r="H527" s="97" t="str">
        <f>IFERROR(VLOOKUP(I527,'Raw material list'!$A$3:$C$695,3,0),"")</f>
        <v>PRD1-573</v>
      </c>
      <c r="I527" s="97" t="s">
        <v>1059</v>
      </c>
      <c r="J527" s="101" t="s">
        <v>111</v>
      </c>
      <c r="K527" s="101" t="str">
        <f>IFERROR(VLOOKUP(I527,'Raw material list'!$A$3:$E$695,5,0),"")</f>
        <v xml:space="preserve">Gram </v>
      </c>
      <c r="L527" s="95">
        <v>10</v>
      </c>
      <c r="M527" s="98">
        <f t="shared" si="104"/>
        <v>13.698630136986301</v>
      </c>
      <c r="N527" s="98">
        <v>73</v>
      </c>
      <c r="O527" s="95">
        <v>10</v>
      </c>
      <c r="P527" s="98">
        <f t="shared" si="112"/>
        <v>1</v>
      </c>
      <c r="Q527" s="99">
        <f>IFERROR(VLOOKUP(I527,'Raw material list'!$A$3:$F$695,6,0),"")</f>
        <v>5.4794520547945206E-3</v>
      </c>
      <c r="R527" s="100">
        <f t="shared" si="113"/>
        <v>5.4794520547945206E-3</v>
      </c>
      <c r="S527" s="94">
        <f t="shared" si="110"/>
        <v>5.4794520547945212E-4</v>
      </c>
      <c r="T527" s="94">
        <f t="shared" si="111"/>
        <v>6.0273972602739728E-3</v>
      </c>
      <c r="U527" s="93">
        <f t="shared" si="105"/>
        <v>6.027397260273973E-4</v>
      </c>
      <c r="V527" s="93">
        <f t="shared" si="106"/>
        <v>6.027397260273973E-5</v>
      </c>
      <c r="W527" s="93">
        <f t="shared" si="107"/>
        <v>6.027397260273973E-5</v>
      </c>
      <c r="X527" s="93">
        <f t="shared" si="103"/>
        <v>6.7506849315068507E-3</v>
      </c>
      <c r="Y527" s="116"/>
    </row>
    <row r="528" spans="1:25" s="90" customFormat="1">
      <c r="A528" s="95" t="s">
        <v>1525</v>
      </c>
      <c r="B528" s="95" t="s">
        <v>1668</v>
      </c>
      <c r="C528" s="95" t="s">
        <v>1427</v>
      </c>
      <c r="D528" s="101" t="s">
        <v>1535</v>
      </c>
      <c r="E528" s="101" t="s">
        <v>1532</v>
      </c>
      <c r="F528" s="101" t="s">
        <v>1670</v>
      </c>
      <c r="G528" s="101" t="s">
        <v>1426</v>
      </c>
      <c r="H528" s="97" t="str">
        <f>IFERROR(VLOOKUP(I528,'Raw material list'!$A$3:$C$695,3,0),"")</f>
        <v>PRD1-194</v>
      </c>
      <c r="I528" s="97" t="s">
        <v>991</v>
      </c>
      <c r="J528" s="101" t="s">
        <v>111</v>
      </c>
      <c r="K528" s="101" t="str">
        <f>IFERROR(VLOOKUP(I528,'Raw material list'!$A$3:$E$695,5,0),"")</f>
        <v xml:space="preserve">Gram </v>
      </c>
      <c r="L528" s="95">
        <v>10</v>
      </c>
      <c r="M528" s="98">
        <f t="shared" si="104"/>
        <v>10.869565217391305</v>
      </c>
      <c r="N528" s="133">
        <v>92</v>
      </c>
      <c r="O528" s="95">
        <v>10</v>
      </c>
      <c r="P528" s="98">
        <f t="shared" si="108"/>
        <v>1</v>
      </c>
      <c r="Q528" s="99">
        <f>IFERROR(VLOOKUP(I528,'Raw material list'!$A$3:$F$695,6,0),"")</f>
        <v>0.11</v>
      </c>
      <c r="R528" s="100">
        <f t="shared" si="109"/>
        <v>0.11</v>
      </c>
      <c r="S528" s="94">
        <f t="shared" si="110"/>
        <v>1.1000000000000001E-2</v>
      </c>
      <c r="T528" s="94">
        <f t="shared" si="111"/>
        <v>0.121</v>
      </c>
      <c r="U528" s="93">
        <f t="shared" si="105"/>
        <v>1.21E-2</v>
      </c>
      <c r="V528" s="93">
        <f t="shared" si="106"/>
        <v>1.2099999999999999E-3</v>
      </c>
      <c r="W528" s="93">
        <f t="shared" si="107"/>
        <v>1.2099999999999999E-3</v>
      </c>
      <c r="X528" s="93">
        <f t="shared" si="103"/>
        <v>0.13551999999999997</v>
      </c>
      <c r="Y528" s="117"/>
    </row>
    <row r="529" spans="1:25" s="90" customFormat="1">
      <c r="A529" s="95" t="s">
        <v>1525</v>
      </c>
      <c r="B529" s="95" t="s">
        <v>1668</v>
      </c>
      <c r="C529" s="95" t="s">
        <v>1427</v>
      </c>
      <c r="D529" s="101" t="s">
        <v>1535</v>
      </c>
      <c r="E529" s="101" t="s">
        <v>1532</v>
      </c>
      <c r="F529" s="101" t="s">
        <v>1670</v>
      </c>
      <c r="G529" s="101" t="s">
        <v>1518</v>
      </c>
      <c r="H529" s="97" t="str">
        <f>IFERROR(VLOOKUP(I529,'Raw material list'!$A$3:$C$695,3,0),"")</f>
        <v>PRD1-4265</v>
      </c>
      <c r="I529" s="97" t="s">
        <v>10</v>
      </c>
      <c r="J529" s="101" t="s">
        <v>111</v>
      </c>
      <c r="K529" s="101" t="str">
        <f>IFERROR(VLOOKUP(I529,'Raw material list'!$A$3:$E$695,5,0),"")</f>
        <v xml:space="preserve">Gram </v>
      </c>
      <c r="L529" s="95">
        <v>80</v>
      </c>
      <c r="M529" s="98">
        <f t="shared" si="104"/>
        <v>94.117647058823522</v>
      </c>
      <c r="N529" s="98">
        <v>85</v>
      </c>
      <c r="O529" s="95">
        <v>10</v>
      </c>
      <c r="P529" s="98">
        <f t="shared" si="108"/>
        <v>8</v>
      </c>
      <c r="Q529" s="99">
        <f>IFERROR(VLOOKUP(I529,'Raw material list'!$A$3:$F$695,6,0),"")</f>
        <v>3.529411764705882E-3</v>
      </c>
      <c r="R529" s="100">
        <f t="shared" si="109"/>
        <v>2.8235294117647056E-2</v>
      </c>
      <c r="S529" s="94">
        <f t="shared" si="110"/>
        <v>2.8235294117647056E-3</v>
      </c>
      <c r="T529" s="94">
        <f t="shared" si="111"/>
        <v>3.1058823529411764E-2</v>
      </c>
      <c r="U529" s="93">
        <f t="shared" si="105"/>
        <v>3.1058823529411766E-3</v>
      </c>
      <c r="V529" s="93">
        <f t="shared" si="106"/>
        <v>3.1058823529411762E-4</v>
      </c>
      <c r="W529" s="93">
        <f t="shared" si="107"/>
        <v>3.1058823529411762E-4</v>
      </c>
      <c r="X529" s="93">
        <f t="shared" si="103"/>
        <v>3.4785882352941173E-2</v>
      </c>
      <c r="Y529" s="117"/>
    </row>
    <row r="530" spans="1:25" s="90" customFormat="1">
      <c r="A530" s="95" t="s">
        <v>1525</v>
      </c>
      <c r="B530" s="95" t="s">
        <v>1668</v>
      </c>
      <c r="C530" s="95" t="s">
        <v>1427</v>
      </c>
      <c r="D530" s="101" t="s">
        <v>1535</v>
      </c>
      <c r="E530" s="101" t="s">
        <v>1532</v>
      </c>
      <c r="F530" s="101" t="s">
        <v>1670</v>
      </c>
      <c r="G530" s="101" t="s">
        <v>1518</v>
      </c>
      <c r="H530" s="97" t="str">
        <f>IFERROR(VLOOKUP(I530,'Raw material list'!$A$3:$C$695,3,0),"")</f>
        <v>PRD1-4327</v>
      </c>
      <c r="I530" s="97" t="s">
        <v>11</v>
      </c>
      <c r="J530" s="101" t="s">
        <v>111</v>
      </c>
      <c r="K530" s="101" t="str">
        <f>IFERROR(VLOOKUP(I530,'Raw material list'!$A$3:$E$695,5,0),"")</f>
        <v xml:space="preserve">Gram </v>
      </c>
      <c r="L530" s="95">
        <v>20</v>
      </c>
      <c r="M530" s="98">
        <f t="shared" si="104"/>
        <v>25</v>
      </c>
      <c r="N530" s="133">
        <v>80</v>
      </c>
      <c r="O530" s="95">
        <v>10</v>
      </c>
      <c r="P530" s="98">
        <f t="shared" si="108"/>
        <v>2</v>
      </c>
      <c r="Q530" s="99">
        <f>IFERROR(VLOOKUP(I530,'Raw material list'!$A$3:$F$695,6,0),"")</f>
        <v>1.2999999999999999E-2</v>
      </c>
      <c r="R530" s="100">
        <f t="shared" si="109"/>
        <v>2.5999999999999999E-2</v>
      </c>
      <c r="S530" s="94">
        <f t="shared" si="110"/>
        <v>2.5999999999999999E-3</v>
      </c>
      <c r="T530" s="94">
        <f t="shared" si="111"/>
        <v>2.86E-2</v>
      </c>
      <c r="U530" s="93">
        <f t="shared" si="105"/>
        <v>2.8600000000000001E-3</v>
      </c>
      <c r="V530" s="93">
        <f t="shared" si="106"/>
        <v>2.8600000000000001E-4</v>
      </c>
      <c r="W530" s="93">
        <f t="shared" si="107"/>
        <v>2.8600000000000001E-4</v>
      </c>
      <c r="X530" s="93">
        <f t="shared" si="103"/>
        <v>3.2032000000000005E-2</v>
      </c>
      <c r="Y530" s="117"/>
    </row>
    <row r="531" spans="1:25" s="90" customFormat="1">
      <c r="A531" s="95" t="s">
        <v>1525</v>
      </c>
      <c r="B531" s="95" t="s">
        <v>1668</v>
      </c>
      <c r="C531" s="95" t="s">
        <v>1427</v>
      </c>
      <c r="D531" s="101" t="s">
        <v>1535</v>
      </c>
      <c r="E531" s="101" t="s">
        <v>1532</v>
      </c>
      <c r="F531" s="101" t="s">
        <v>1670</v>
      </c>
      <c r="G531" s="101" t="s">
        <v>1518</v>
      </c>
      <c r="H531" s="97" t="str">
        <f>IFERROR(VLOOKUP(I531,'Raw material list'!$A$3:$C$695,3,0),"")</f>
        <v>PRD1-3182</v>
      </c>
      <c r="I531" s="97" t="s">
        <v>1028</v>
      </c>
      <c r="J531" s="101" t="s">
        <v>111</v>
      </c>
      <c r="K531" s="101" t="str">
        <f>IFERROR(VLOOKUP(I531,'Raw material list'!$A$3:$E$695,5,0),"")</f>
        <v xml:space="preserve">Gram </v>
      </c>
      <c r="L531" s="95">
        <v>500</v>
      </c>
      <c r="M531" s="98">
        <f t="shared" si="104"/>
        <v>526.31578947368428</v>
      </c>
      <c r="N531" s="98">
        <v>95</v>
      </c>
      <c r="O531" s="95">
        <v>10</v>
      </c>
      <c r="P531" s="98">
        <f t="shared" si="108"/>
        <v>50</v>
      </c>
      <c r="Q531" s="99">
        <f>IFERROR(VLOOKUP(I531,'Raw material list'!$A$3:$F$695,6,0),"")</f>
        <v>3.3684210526315803E-2</v>
      </c>
      <c r="R531" s="100">
        <f t="shared" si="109"/>
        <v>1.68421052631579</v>
      </c>
      <c r="S531" s="94">
        <f t="shared" si="110"/>
        <v>0.16842105263157903</v>
      </c>
      <c r="T531" s="94">
        <f t="shared" si="111"/>
        <v>1.8526315789473691</v>
      </c>
      <c r="U531" s="93">
        <f t="shared" si="105"/>
        <v>0.18526315789473691</v>
      </c>
      <c r="V531" s="93">
        <f t="shared" si="106"/>
        <v>1.8526315789473693E-2</v>
      </c>
      <c r="W531" s="93">
        <f t="shared" si="107"/>
        <v>1.8526315789473693E-2</v>
      </c>
      <c r="X531" s="93">
        <f t="shared" si="103"/>
        <v>2.0749473684210535</v>
      </c>
      <c r="Y531" s="117"/>
    </row>
    <row r="532" spans="1:25" s="90" customFormat="1">
      <c r="A532" s="95" t="s">
        <v>1525</v>
      </c>
      <c r="B532" s="95" t="s">
        <v>1668</v>
      </c>
      <c r="C532" s="95" t="s">
        <v>1427</v>
      </c>
      <c r="D532" s="101" t="s">
        <v>1535</v>
      </c>
      <c r="E532" s="101" t="s">
        <v>1532</v>
      </c>
      <c r="F532" s="101" t="s">
        <v>1670</v>
      </c>
      <c r="G532" s="101" t="s">
        <v>1518</v>
      </c>
      <c r="H532" s="97" t="str">
        <f>IFERROR(VLOOKUP(I532,'Raw material list'!$A$3:$C$695,3,0),"")</f>
        <v>DRS1-114</v>
      </c>
      <c r="I532" s="97" t="s">
        <v>279</v>
      </c>
      <c r="J532" s="101" t="s">
        <v>111</v>
      </c>
      <c r="K532" s="101" t="str">
        <f>IFERROR(VLOOKUP(I532,'Raw material list'!$A$3:$E$695,5,0),"")</f>
        <v xml:space="preserve">Gram </v>
      </c>
      <c r="L532" s="95">
        <v>14</v>
      </c>
      <c r="M532" s="98">
        <f t="shared" si="104"/>
        <v>14.000000000000002</v>
      </c>
      <c r="N532" s="98">
        <v>100</v>
      </c>
      <c r="O532" s="95">
        <v>10</v>
      </c>
      <c r="P532" s="98">
        <f t="shared" si="108"/>
        <v>1.4</v>
      </c>
      <c r="Q532" s="99">
        <f>IFERROR(VLOOKUP(I532,'Raw material list'!$A$3:$F$695,6,0),"")</f>
        <v>4.7489823609226586E-3</v>
      </c>
      <c r="R532" s="100">
        <f t="shared" si="109"/>
        <v>6.6485753052917219E-3</v>
      </c>
      <c r="S532" s="94">
        <f t="shared" si="110"/>
        <v>6.6485753052917228E-4</v>
      </c>
      <c r="T532" s="94">
        <f t="shared" si="111"/>
        <v>7.3134328358208942E-3</v>
      </c>
      <c r="U532" s="93">
        <f t="shared" si="105"/>
        <v>7.3134328358208942E-4</v>
      </c>
      <c r="V532" s="93">
        <f t="shared" si="106"/>
        <v>7.3134328358208945E-5</v>
      </c>
      <c r="W532" s="93">
        <f t="shared" si="107"/>
        <v>7.3134328358208945E-5</v>
      </c>
      <c r="X532" s="93">
        <f t="shared" si="103"/>
        <v>8.1910447761194029E-3</v>
      </c>
      <c r="Y532" s="117"/>
    </row>
    <row r="533" spans="1:25" s="90" customFormat="1">
      <c r="A533" s="95" t="s">
        <v>1525</v>
      </c>
      <c r="B533" s="95" t="s">
        <v>1668</v>
      </c>
      <c r="C533" s="95" t="s">
        <v>1427</v>
      </c>
      <c r="D533" s="101" t="s">
        <v>1535</v>
      </c>
      <c r="E533" s="101" t="s">
        <v>1532</v>
      </c>
      <c r="F533" s="101" t="s">
        <v>1670</v>
      </c>
      <c r="G533" s="101" t="s">
        <v>1518</v>
      </c>
      <c r="H533" s="97" t="str">
        <f>IFERROR(VLOOKUP(I533,'Raw material list'!$A$3:$C$695,3,0),"")</f>
        <v>DRS6-537</v>
      </c>
      <c r="I533" s="97" t="s">
        <v>25</v>
      </c>
      <c r="J533" s="101" t="s">
        <v>111</v>
      </c>
      <c r="K533" s="101" t="str">
        <f>IFERROR(VLOOKUP(I533,'Raw material list'!$A$3:$E$695,5,0),"")</f>
        <v xml:space="preserve">Gram </v>
      </c>
      <c r="L533" s="95">
        <v>2</v>
      </c>
      <c r="M533" s="98">
        <f t="shared" si="104"/>
        <v>2</v>
      </c>
      <c r="N533" s="98">
        <v>100</v>
      </c>
      <c r="O533" s="95">
        <v>10</v>
      </c>
      <c r="P533" s="98">
        <f t="shared" si="108"/>
        <v>0.2</v>
      </c>
      <c r="Q533" s="99">
        <f>IFERROR(VLOOKUP(I533,'Raw material list'!$A$3:$F$695,6,0),"")</f>
        <v>3.5000000000000003E-2</v>
      </c>
      <c r="R533" s="100">
        <f t="shared" si="109"/>
        <v>7.000000000000001E-3</v>
      </c>
      <c r="S533" s="94">
        <f t="shared" si="110"/>
        <v>7.000000000000001E-4</v>
      </c>
      <c r="T533" s="94">
        <f t="shared" si="111"/>
        <v>7.7000000000000011E-3</v>
      </c>
      <c r="U533" s="93">
        <f t="shared" si="105"/>
        <v>7.7000000000000018E-4</v>
      </c>
      <c r="V533" s="93">
        <f t="shared" si="106"/>
        <v>7.7000000000000015E-5</v>
      </c>
      <c r="W533" s="93">
        <f t="shared" si="107"/>
        <v>7.7000000000000015E-5</v>
      </c>
      <c r="X533" s="93">
        <f t="shared" si="103"/>
        <v>8.6240000000000032E-3</v>
      </c>
      <c r="Y533" s="117"/>
    </row>
    <row r="534" spans="1:25" s="90" customFormat="1">
      <c r="A534" s="95" t="s">
        <v>1525</v>
      </c>
      <c r="B534" s="95" t="s">
        <v>1668</v>
      </c>
      <c r="C534" s="95" t="s">
        <v>1427</v>
      </c>
      <c r="D534" s="101" t="s">
        <v>1535</v>
      </c>
      <c r="E534" s="101" t="s">
        <v>1532</v>
      </c>
      <c r="F534" s="101" t="s">
        <v>1670</v>
      </c>
      <c r="G534" s="101" t="s">
        <v>1518</v>
      </c>
      <c r="H534" s="97" t="str">
        <f>IFERROR(VLOOKUP(I534,'Raw material list'!$A$3:$C$695,3,0),"")</f>
        <v>DRS1-5339</v>
      </c>
      <c r="I534" s="97" t="s">
        <v>905</v>
      </c>
      <c r="J534" s="101" t="s">
        <v>111</v>
      </c>
      <c r="K534" s="101" t="str">
        <f>IFERROR(VLOOKUP(I534,'Raw material list'!$A$3:$E$695,5,0),"")</f>
        <v xml:space="preserve">Gram </v>
      </c>
      <c r="L534" s="95">
        <v>2</v>
      </c>
      <c r="M534" s="98">
        <f t="shared" si="104"/>
        <v>2</v>
      </c>
      <c r="N534" s="98">
        <v>100</v>
      </c>
      <c r="O534" s="95">
        <v>10</v>
      </c>
      <c r="P534" s="98">
        <f t="shared" si="108"/>
        <v>0.2</v>
      </c>
      <c r="Q534" s="99">
        <f>IFERROR(VLOOKUP(I534,'Raw material list'!$A$3:$F$695,6,0),"")</f>
        <v>0.03</v>
      </c>
      <c r="R534" s="100">
        <f t="shared" si="109"/>
        <v>6.0000000000000001E-3</v>
      </c>
      <c r="S534" s="94">
        <f t="shared" si="110"/>
        <v>6.0000000000000006E-4</v>
      </c>
      <c r="T534" s="94">
        <f t="shared" si="111"/>
        <v>6.6E-3</v>
      </c>
      <c r="U534" s="93">
        <f t="shared" si="105"/>
        <v>6.6E-4</v>
      </c>
      <c r="V534" s="93">
        <f t="shared" si="106"/>
        <v>6.6000000000000005E-5</v>
      </c>
      <c r="W534" s="93">
        <f t="shared" si="107"/>
        <v>6.6000000000000005E-5</v>
      </c>
      <c r="X534" s="93">
        <f t="shared" si="103"/>
        <v>7.3920000000000001E-3</v>
      </c>
      <c r="Y534" s="117"/>
    </row>
    <row r="535" spans="1:25" s="90" customFormat="1">
      <c r="A535" s="95" t="s">
        <v>1525</v>
      </c>
      <c r="B535" s="95" t="s">
        <v>1668</v>
      </c>
      <c r="C535" s="95" t="s">
        <v>1427</v>
      </c>
      <c r="D535" s="101" t="s">
        <v>1535</v>
      </c>
      <c r="E535" s="101" t="s">
        <v>1532</v>
      </c>
      <c r="F535" s="101" t="s">
        <v>1670</v>
      </c>
      <c r="G535" s="101" t="s">
        <v>1518</v>
      </c>
      <c r="H535" s="97" t="str">
        <f>IFERROR(VLOOKUP(I535,'Raw material list'!$A$3:$C$695,3,0),"")</f>
        <v>DRS6-5376</v>
      </c>
      <c r="I535" s="97" t="s">
        <v>55</v>
      </c>
      <c r="J535" s="101" t="s">
        <v>111</v>
      </c>
      <c r="K535" s="101" t="str">
        <f>IFERROR(VLOOKUP(I535,'Raw material list'!$A$3:$E$695,5,0),"")</f>
        <v xml:space="preserve">Gram </v>
      </c>
      <c r="L535" s="95">
        <v>2</v>
      </c>
      <c r="M535" s="98">
        <f t="shared" si="104"/>
        <v>2</v>
      </c>
      <c r="N535" s="98">
        <v>100</v>
      </c>
      <c r="O535" s="95">
        <v>10</v>
      </c>
      <c r="P535" s="98">
        <f t="shared" si="108"/>
        <v>0.2</v>
      </c>
      <c r="Q535" s="99">
        <f>IFERROR(VLOOKUP(I535,'Raw material list'!$A$3:$F$695,6,0),"")</f>
        <v>2.8000000000000001E-2</v>
      </c>
      <c r="R535" s="100">
        <f t="shared" si="109"/>
        <v>5.6000000000000008E-3</v>
      </c>
      <c r="S535" s="94">
        <f t="shared" si="110"/>
        <v>5.6000000000000006E-4</v>
      </c>
      <c r="T535" s="94">
        <f t="shared" si="111"/>
        <v>6.1600000000000005E-3</v>
      </c>
      <c r="U535" s="93">
        <f t="shared" si="105"/>
        <v>6.1600000000000012E-4</v>
      </c>
      <c r="V535" s="93">
        <f t="shared" si="106"/>
        <v>6.1600000000000007E-5</v>
      </c>
      <c r="W535" s="93">
        <f t="shared" si="107"/>
        <v>6.1600000000000007E-5</v>
      </c>
      <c r="X535" s="93">
        <f t="shared" si="103"/>
        <v>6.8992000000000012E-3</v>
      </c>
      <c r="Y535" s="117"/>
    </row>
    <row r="536" spans="1:25" s="90" customFormat="1">
      <c r="A536" s="95" t="s">
        <v>1525</v>
      </c>
      <c r="B536" s="95" t="s">
        <v>1668</v>
      </c>
      <c r="C536" s="95" t="s">
        <v>1427</v>
      </c>
      <c r="D536" s="101" t="s">
        <v>1535</v>
      </c>
      <c r="E536" s="101" t="s">
        <v>1532</v>
      </c>
      <c r="F536" s="101" t="s">
        <v>1670</v>
      </c>
      <c r="G536" s="101" t="s">
        <v>1518</v>
      </c>
      <c r="H536" s="97" t="str">
        <f>IFERROR(VLOOKUP(I536,'Raw material list'!$A$3:$C$695,3,0),"")</f>
        <v>DRY2-1858</v>
      </c>
      <c r="I536" s="97" t="s">
        <v>42</v>
      </c>
      <c r="J536" s="101" t="s">
        <v>161</v>
      </c>
      <c r="K536" s="101" t="str">
        <f>IFERROR(VLOOKUP(I536,'Raw material list'!$A$3:$E$695,5,0),"")</f>
        <v>Ml</v>
      </c>
      <c r="L536" s="95">
        <v>900</v>
      </c>
      <c r="M536" s="98">
        <f t="shared" si="104"/>
        <v>900</v>
      </c>
      <c r="N536" s="98">
        <v>100</v>
      </c>
      <c r="O536" s="95">
        <v>10</v>
      </c>
      <c r="P536" s="98">
        <f t="shared" si="108"/>
        <v>90</v>
      </c>
      <c r="Q536" s="99">
        <f>IFERROR(VLOOKUP(I536,'Raw material list'!$A$3:$F$695,6,0),"")</f>
        <v>9.8800000000000016E-3</v>
      </c>
      <c r="R536" s="100">
        <f t="shared" si="109"/>
        <v>0.8892000000000001</v>
      </c>
      <c r="S536" s="94">
        <f t="shared" si="110"/>
        <v>8.8920000000000013E-2</v>
      </c>
      <c r="T536" s="94">
        <f t="shared" si="111"/>
        <v>0.9781200000000001</v>
      </c>
      <c r="U536" s="93">
        <f t="shared" si="105"/>
        <v>9.781200000000001E-2</v>
      </c>
      <c r="V536" s="93">
        <f t="shared" si="106"/>
        <v>9.781200000000002E-3</v>
      </c>
      <c r="W536" s="93">
        <f t="shared" si="107"/>
        <v>9.781200000000002E-3</v>
      </c>
      <c r="X536" s="93">
        <f t="shared" si="103"/>
        <v>1.0954944</v>
      </c>
      <c r="Y536" s="117"/>
    </row>
    <row r="537" spans="1:25" s="90" customFormat="1">
      <c r="A537" s="95" t="s">
        <v>1525</v>
      </c>
      <c r="B537" s="95" t="s">
        <v>1668</v>
      </c>
      <c r="C537" s="95" t="s">
        <v>1427</v>
      </c>
      <c r="D537" s="101" t="s">
        <v>1535</v>
      </c>
      <c r="E537" s="101" t="s">
        <v>1532</v>
      </c>
      <c r="F537" s="101" t="s">
        <v>1670</v>
      </c>
      <c r="G537" s="101" t="s">
        <v>1518</v>
      </c>
      <c r="H537" s="97" t="str">
        <f>IFERROR(VLOOKUP(I537,'Raw material list'!$A$3:$C$695,3,0),"")</f>
        <v>DRS3-1615</v>
      </c>
      <c r="I537" s="97" t="s">
        <v>24</v>
      </c>
      <c r="J537" s="101" t="s">
        <v>161</v>
      </c>
      <c r="K537" s="101" t="str">
        <f>IFERROR(VLOOKUP(I537,'Raw material list'!$A$3:$E$695,5,0),"")</f>
        <v>Ml</v>
      </c>
      <c r="L537" s="95">
        <v>40</v>
      </c>
      <c r="M537" s="98">
        <f t="shared" si="104"/>
        <v>40</v>
      </c>
      <c r="N537" s="98">
        <v>100</v>
      </c>
      <c r="O537" s="95">
        <v>10</v>
      </c>
      <c r="P537" s="98">
        <f t="shared" si="108"/>
        <v>4</v>
      </c>
      <c r="Q537" s="99">
        <f>IFERROR(VLOOKUP(I537,'Raw material list'!$A$3:$F$695,6,0),"")</f>
        <v>1.2E-2</v>
      </c>
      <c r="R537" s="100">
        <f t="shared" si="109"/>
        <v>4.8000000000000001E-2</v>
      </c>
      <c r="S537" s="94">
        <f t="shared" si="110"/>
        <v>4.8000000000000004E-3</v>
      </c>
      <c r="T537" s="94">
        <f t="shared" si="111"/>
        <v>5.28E-2</v>
      </c>
      <c r="U537" s="93">
        <f t="shared" si="105"/>
        <v>5.28E-3</v>
      </c>
      <c r="V537" s="93">
        <f t="shared" si="106"/>
        <v>5.2800000000000004E-4</v>
      </c>
      <c r="W537" s="93">
        <f t="shared" si="107"/>
        <v>5.2800000000000004E-4</v>
      </c>
      <c r="X537" s="93">
        <f t="shared" si="103"/>
        <v>5.9136000000000001E-2</v>
      </c>
      <c r="Y537" s="117"/>
    </row>
    <row r="538" spans="1:25" s="90" customFormat="1">
      <c r="A538" s="95" t="s">
        <v>1525</v>
      </c>
      <c r="B538" s="95" t="s">
        <v>1668</v>
      </c>
      <c r="C538" s="95" t="s">
        <v>1427</v>
      </c>
      <c r="D538" s="101" t="s">
        <v>1535</v>
      </c>
      <c r="E538" s="101" t="s">
        <v>1532</v>
      </c>
      <c r="F538" s="101" t="s">
        <v>1670</v>
      </c>
      <c r="G538" s="101" t="s">
        <v>1518</v>
      </c>
      <c r="H538" s="97" t="str">
        <f>IFERROR(VLOOKUP(I538,'Raw material list'!$A$3:$C$695,3,0),"")</f>
        <v>WAT-001</v>
      </c>
      <c r="I538" s="97" t="s">
        <v>1406</v>
      </c>
      <c r="J538" s="101" t="s">
        <v>161</v>
      </c>
      <c r="K538" s="101" t="str">
        <f>IFERROR(VLOOKUP(I538,'Raw material list'!$A$3:$E$695,5,0),"")</f>
        <v>Ml</v>
      </c>
      <c r="L538" s="95">
        <v>300</v>
      </c>
      <c r="M538" s="98">
        <f t="shared" si="104"/>
        <v>300</v>
      </c>
      <c r="N538" s="98">
        <v>100</v>
      </c>
      <c r="O538" s="95">
        <v>10</v>
      </c>
      <c r="P538" s="98">
        <f t="shared" si="108"/>
        <v>30</v>
      </c>
      <c r="Q538" s="99">
        <f>IFERROR(VLOOKUP(I538,'Raw material list'!$A$3:$F$695,6,0),"")</f>
        <v>8.0000000000000007E-5</v>
      </c>
      <c r="R538" s="100">
        <f t="shared" si="109"/>
        <v>2.4000000000000002E-3</v>
      </c>
      <c r="S538" s="94">
        <f t="shared" si="110"/>
        <v>2.4000000000000003E-4</v>
      </c>
      <c r="T538" s="94">
        <f t="shared" si="111"/>
        <v>2.6400000000000004E-3</v>
      </c>
      <c r="U538" s="93">
        <f t="shared" si="105"/>
        <v>2.6400000000000007E-4</v>
      </c>
      <c r="V538" s="93">
        <f t="shared" si="106"/>
        <v>2.6400000000000005E-5</v>
      </c>
      <c r="W538" s="93">
        <f t="shared" si="107"/>
        <v>2.6400000000000005E-5</v>
      </c>
      <c r="X538" s="93">
        <f t="shared" si="103"/>
        <v>2.9568000000000007E-3</v>
      </c>
      <c r="Y538" s="117"/>
    </row>
    <row r="539" spans="1:25" s="90" customFormat="1">
      <c r="A539" s="95" t="s">
        <v>1525</v>
      </c>
      <c r="B539" s="95" t="s">
        <v>1668</v>
      </c>
      <c r="C539" s="95" t="s">
        <v>1427</v>
      </c>
      <c r="D539" s="101" t="s">
        <v>1535</v>
      </c>
      <c r="E539" s="101" t="s">
        <v>1532</v>
      </c>
      <c r="F539" s="101" t="s">
        <v>1670</v>
      </c>
      <c r="G539" s="101" t="s">
        <v>1433</v>
      </c>
      <c r="H539" s="97" t="str">
        <f>IFERROR(VLOOKUP(I539,'Raw material list'!$A$3:$C$695,3,0),"")</f>
        <v>DRS4-498</v>
      </c>
      <c r="I539" s="97" t="s">
        <v>62</v>
      </c>
      <c r="J539" s="101" t="s">
        <v>111</v>
      </c>
      <c r="K539" s="101" t="str">
        <f>IFERROR(VLOOKUP(I539,'Raw material list'!$A$3:$E$695,5,0),"")</f>
        <v xml:space="preserve">Gram </v>
      </c>
      <c r="L539" s="95">
        <v>600</v>
      </c>
      <c r="M539" s="98">
        <f t="shared" si="104"/>
        <v>600</v>
      </c>
      <c r="N539" s="98">
        <v>100</v>
      </c>
      <c r="O539" s="95">
        <v>10</v>
      </c>
      <c r="P539" s="98">
        <f t="shared" si="108"/>
        <v>60</v>
      </c>
      <c r="Q539" s="99">
        <f>IFERROR(VLOOKUP(I539,'Raw material list'!$A$3:$F$695,6,0),"")</f>
        <v>5.7499999999999999E-3</v>
      </c>
      <c r="R539" s="100">
        <f t="shared" si="109"/>
        <v>0.34499999999999997</v>
      </c>
      <c r="S539" s="94">
        <f t="shared" si="110"/>
        <v>3.4499999999999996E-2</v>
      </c>
      <c r="T539" s="94">
        <f t="shared" si="111"/>
        <v>0.37949999999999995</v>
      </c>
      <c r="U539" s="93">
        <f t="shared" si="105"/>
        <v>3.7949999999999998E-2</v>
      </c>
      <c r="V539" s="93">
        <f t="shared" si="106"/>
        <v>3.7949999999999998E-3</v>
      </c>
      <c r="W539" s="93">
        <f t="shared" si="107"/>
        <v>3.7949999999999998E-3</v>
      </c>
      <c r="X539" s="93">
        <f t="shared" si="103"/>
        <v>0.42503999999999992</v>
      </c>
      <c r="Y539" s="117"/>
    </row>
    <row r="540" spans="1:25" s="90" customFormat="1">
      <c r="A540" s="95" t="s">
        <v>1525</v>
      </c>
      <c r="B540" s="95" t="s">
        <v>1668</v>
      </c>
      <c r="C540" s="95" t="s">
        <v>1427</v>
      </c>
      <c r="D540" s="101" t="s">
        <v>1535</v>
      </c>
      <c r="E540" s="101" t="s">
        <v>1532</v>
      </c>
      <c r="F540" s="101" t="s">
        <v>1670</v>
      </c>
      <c r="G540" s="101" t="s">
        <v>1433</v>
      </c>
      <c r="H540" s="97" t="str">
        <f>IFERROR(VLOOKUP(I540,'Raw material list'!$A$3:$C$695,3,0),"")</f>
        <v>WAT-001</v>
      </c>
      <c r="I540" s="97" t="s">
        <v>1406</v>
      </c>
      <c r="J540" s="101" t="s">
        <v>161</v>
      </c>
      <c r="K540" s="101" t="str">
        <f>IFERROR(VLOOKUP(I540,'Raw material list'!$A$3:$E$695,5,0),"")</f>
        <v>Ml</v>
      </c>
      <c r="L540" s="95">
        <v>1100</v>
      </c>
      <c r="M540" s="98">
        <f t="shared" si="104"/>
        <v>1100</v>
      </c>
      <c r="N540" s="98">
        <v>100</v>
      </c>
      <c r="O540" s="95">
        <v>10</v>
      </c>
      <c r="P540" s="98">
        <f t="shared" si="108"/>
        <v>110</v>
      </c>
      <c r="Q540" s="99">
        <f>IFERROR(VLOOKUP(I540,'Raw material list'!$A$3:$F$695,6,0),"")</f>
        <v>8.0000000000000007E-5</v>
      </c>
      <c r="R540" s="100">
        <f t="shared" si="109"/>
        <v>8.8000000000000005E-3</v>
      </c>
      <c r="S540" s="94">
        <f t="shared" si="110"/>
        <v>8.8000000000000014E-4</v>
      </c>
      <c r="T540" s="94">
        <f t="shared" si="111"/>
        <v>9.6800000000000011E-3</v>
      </c>
      <c r="U540" s="93">
        <f t="shared" si="105"/>
        <v>9.6800000000000011E-4</v>
      </c>
      <c r="V540" s="93">
        <f t="shared" si="106"/>
        <v>9.6800000000000008E-5</v>
      </c>
      <c r="W540" s="93">
        <f t="shared" si="107"/>
        <v>9.6800000000000008E-5</v>
      </c>
      <c r="X540" s="93">
        <f t="shared" si="103"/>
        <v>1.08416E-2</v>
      </c>
      <c r="Y540" s="117"/>
    </row>
    <row r="541" spans="1:25" s="90" customFormat="1">
      <c r="A541" s="95" t="s">
        <v>1525</v>
      </c>
      <c r="B541" s="95" t="s">
        <v>1668</v>
      </c>
      <c r="C541" s="95" t="s">
        <v>1427</v>
      </c>
      <c r="D541" s="101" t="s">
        <v>1535</v>
      </c>
      <c r="E541" s="101" t="s">
        <v>1532</v>
      </c>
      <c r="F541" s="101" t="s">
        <v>1670</v>
      </c>
      <c r="G541" s="101" t="s">
        <v>1433</v>
      </c>
      <c r="H541" s="97" t="str">
        <f>IFERROR(VLOOKUP(I541,'Raw material list'!$A$3:$C$695,3,0),"")</f>
        <v>DRS1-3880</v>
      </c>
      <c r="I541" s="97" t="s">
        <v>1398</v>
      </c>
      <c r="J541" s="101" t="s">
        <v>111</v>
      </c>
      <c r="K541" s="101" t="str">
        <f>IFERROR(VLOOKUP(I541,'Raw material list'!$A$3:$E$695,5,0),"")</f>
        <v xml:space="preserve">Gram </v>
      </c>
      <c r="L541" s="95">
        <v>14</v>
      </c>
      <c r="M541" s="98">
        <f t="shared" si="104"/>
        <v>14.000000000000002</v>
      </c>
      <c r="N541" s="98">
        <v>100</v>
      </c>
      <c r="O541" s="95">
        <v>10</v>
      </c>
      <c r="P541" s="98">
        <f t="shared" si="108"/>
        <v>1.4</v>
      </c>
      <c r="Q541" s="99">
        <f>IFERROR(VLOOKUP(I541,'Raw material list'!$A$3:$F$695,6,0),"")</f>
        <v>5.0000000000000001E-4</v>
      </c>
      <c r="R541" s="100">
        <f t="shared" si="109"/>
        <v>6.9999999999999999E-4</v>
      </c>
      <c r="S541" s="94">
        <f t="shared" si="110"/>
        <v>7.0000000000000007E-5</v>
      </c>
      <c r="T541" s="94">
        <f t="shared" si="111"/>
        <v>7.6999999999999996E-4</v>
      </c>
      <c r="U541" s="93">
        <f t="shared" si="105"/>
        <v>7.7000000000000001E-5</v>
      </c>
      <c r="V541" s="93">
        <f t="shared" si="106"/>
        <v>7.6999999999999991E-6</v>
      </c>
      <c r="W541" s="93">
        <f t="shared" si="107"/>
        <v>7.6999999999999991E-6</v>
      </c>
      <c r="X541" s="93">
        <f t="shared" si="103"/>
        <v>8.6240000000000004E-4</v>
      </c>
      <c r="Y541" s="117"/>
    </row>
    <row r="542" spans="1:25" s="90" customFormat="1">
      <c r="A542" s="95" t="s">
        <v>1525</v>
      </c>
      <c r="B542" s="95" t="s">
        <v>1668</v>
      </c>
      <c r="C542" s="95" t="s">
        <v>1427</v>
      </c>
      <c r="D542" s="101" t="s">
        <v>1535</v>
      </c>
      <c r="E542" s="101" t="s">
        <v>1532</v>
      </c>
      <c r="F542" s="101" t="s">
        <v>1670</v>
      </c>
      <c r="G542" s="101" t="s">
        <v>1433</v>
      </c>
      <c r="H542" s="97" t="str">
        <f>IFERROR(VLOOKUP(I542,'Raw material list'!$A$3:$C$695,3,0),"")</f>
        <v>DRS6-309</v>
      </c>
      <c r="I542" s="97" t="s">
        <v>35</v>
      </c>
      <c r="J542" s="101" t="s">
        <v>111</v>
      </c>
      <c r="K542" s="101" t="str">
        <f>IFERROR(VLOOKUP(I542,'Raw material list'!$A$3:$E$695,5,0),"")</f>
        <v xml:space="preserve">Gram </v>
      </c>
      <c r="L542" s="95">
        <v>1</v>
      </c>
      <c r="M542" s="98">
        <f t="shared" si="104"/>
        <v>1</v>
      </c>
      <c r="N542" s="98">
        <v>100</v>
      </c>
      <c r="O542" s="95">
        <v>10</v>
      </c>
      <c r="P542" s="98">
        <f t="shared" si="108"/>
        <v>0.1</v>
      </c>
      <c r="Q542" s="99">
        <f>IFERROR(VLOOKUP(I542,'Raw material list'!$A$3:$F$695,6,0),"")</f>
        <v>2.8000000000000001E-2</v>
      </c>
      <c r="R542" s="100">
        <f t="shared" si="109"/>
        <v>2.8000000000000004E-3</v>
      </c>
      <c r="S542" s="94">
        <f t="shared" si="110"/>
        <v>2.8000000000000003E-4</v>
      </c>
      <c r="T542" s="94">
        <f t="shared" si="111"/>
        <v>3.0800000000000003E-3</v>
      </c>
      <c r="U542" s="93">
        <f t="shared" si="105"/>
        <v>3.0800000000000006E-4</v>
      </c>
      <c r="V542" s="93">
        <f t="shared" si="106"/>
        <v>3.0800000000000003E-5</v>
      </c>
      <c r="W542" s="93">
        <f t="shared" si="107"/>
        <v>3.0800000000000003E-5</v>
      </c>
      <c r="X542" s="93">
        <f t="shared" si="103"/>
        <v>3.4496000000000006E-3</v>
      </c>
      <c r="Y542" s="117"/>
    </row>
    <row r="543" spans="1:25" s="90" customFormat="1">
      <c r="A543" s="95" t="s">
        <v>1525</v>
      </c>
      <c r="B543" s="95" t="s">
        <v>1668</v>
      </c>
      <c r="C543" s="95" t="s">
        <v>1427</v>
      </c>
      <c r="D543" s="101" t="s">
        <v>1535</v>
      </c>
      <c r="E543" s="101" t="s">
        <v>1532</v>
      </c>
      <c r="F543" s="101" t="s">
        <v>1670</v>
      </c>
      <c r="G543" s="101" t="s">
        <v>1433</v>
      </c>
      <c r="H543" s="97" t="str">
        <f>IFERROR(VLOOKUP(I543,'Raw material list'!$A$3:$C$695,3,0),"")</f>
        <v>DRS6-3593</v>
      </c>
      <c r="I543" s="97" t="s">
        <v>1417</v>
      </c>
      <c r="J543" s="101" t="s">
        <v>111</v>
      </c>
      <c r="K543" s="101" t="str">
        <f>IFERROR(VLOOKUP(I543,'Raw material list'!$A$3:$E$695,5,0),"")</f>
        <v xml:space="preserve">Gram </v>
      </c>
      <c r="L543" s="95">
        <v>1</v>
      </c>
      <c r="M543" s="98">
        <f t="shared" si="104"/>
        <v>1</v>
      </c>
      <c r="N543" s="98">
        <v>100</v>
      </c>
      <c r="O543" s="95">
        <v>10</v>
      </c>
      <c r="P543" s="98">
        <f t="shared" si="108"/>
        <v>0.1</v>
      </c>
      <c r="Q543" s="99">
        <f>IFERROR(VLOOKUP(I543,'Raw material list'!$A$3:$F$695,6,0),"")</f>
        <v>1.0500000000000001E-2</v>
      </c>
      <c r="R543" s="100">
        <f t="shared" si="109"/>
        <v>1.0500000000000002E-3</v>
      </c>
      <c r="S543" s="94">
        <f t="shared" si="110"/>
        <v>1.0500000000000002E-4</v>
      </c>
      <c r="T543" s="94">
        <f t="shared" si="111"/>
        <v>1.1550000000000002E-3</v>
      </c>
      <c r="U543" s="93">
        <f t="shared" si="105"/>
        <v>1.1550000000000003E-4</v>
      </c>
      <c r="V543" s="93">
        <f t="shared" si="106"/>
        <v>1.1550000000000003E-5</v>
      </c>
      <c r="W543" s="93">
        <f t="shared" si="107"/>
        <v>1.1550000000000003E-5</v>
      </c>
      <c r="X543" s="93">
        <f t="shared" si="103"/>
        <v>1.2936E-3</v>
      </c>
      <c r="Y543" s="117"/>
    </row>
    <row r="544" spans="1:25" s="90" customFormat="1">
      <c r="A544" s="95" t="s">
        <v>1525</v>
      </c>
      <c r="B544" s="95" t="s">
        <v>1668</v>
      </c>
      <c r="C544" s="95" t="s">
        <v>1427</v>
      </c>
      <c r="D544" s="101" t="s">
        <v>1535</v>
      </c>
      <c r="E544" s="101" t="s">
        <v>1532</v>
      </c>
      <c r="F544" s="101" t="s">
        <v>1670</v>
      </c>
      <c r="G544" s="101" t="s">
        <v>1433</v>
      </c>
      <c r="H544" s="97" t="str">
        <f>IFERROR(VLOOKUP(I544,'Raw material list'!$A$3:$C$695,3,0),"")</f>
        <v>DRS3-1813</v>
      </c>
      <c r="I544" s="97" t="s">
        <v>39</v>
      </c>
      <c r="J544" s="101" t="s">
        <v>161</v>
      </c>
      <c r="K544" s="101" t="str">
        <f>IFERROR(VLOOKUP(I544,'Raw material list'!$A$3:$E$695,5,0),"")</f>
        <v>Ml</v>
      </c>
      <c r="L544" s="95">
        <v>30</v>
      </c>
      <c r="M544" s="98">
        <f t="shared" si="104"/>
        <v>30</v>
      </c>
      <c r="N544" s="98">
        <v>100</v>
      </c>
      <c r="O544" s="95">
        <v>10</v>
      </c>
      <c r="P544" s="98">
        <f t="shared" si="108"/>
        <v>3</v>
      </c>
      <c r="Q544" s="99">
        <f>IFERROR(VLOOKUP(I544,'Raw material list'!$A$3:$F$695,6,0),"")</f>
        <v>8.0555555555555554E-3</v>
      </c>
      <c r="R544" s="100">
        <f t="shared" si="109"/>
        <v>2.4166666666666666E-2</v>
      </c>
      <c r="S544" s="94">
        <f t="shared" si="110"/>
        <v>2.4166666666666668E-3</v>
      </c>
      <c r="T544" s="94">
        <f t="shared" si="111"/>
        <v>2.6583333333333334E-2</v>
      </c>
      <c r="U544" s="93">
        <f t="shared" si="105"/>
        <v>2.6583333333333337E-3</v>
      </c>
      <c r="V544" s="93">
        <f t="shared" si="106"/>
        <v>2.6583333333333336E-4</v>
      </c>
      <c r="W544" s="93">
        <f t="shared" si="107"/>
        <v>2.6583333333333336E-4</v>
      </c>
      <c r="X544" s="93">
        <f t="shared" si="103"/>
        <v>2.9773333333333332E-2</v>
      </c>
      <c r="Y544" s="117"/>
    </row>
    <row r="545" spans="1:25" s="90" customFormat="1">
      <c r="A545" s="95" t="s">
        <v>1525</v>
      </c>
      <c r="B545" s="95" t="s">
        <v>1668</v>
      </c>
      <c r="C545" s="95" t="s">
        <v>1427</v>
      </c>
      <c r="D545" s="101" t="s">
        <v>1535</v>
      </c>
      <c r="E545" s="101" t="s">
        <v>1532</v>
      </c>
      <c r="F545" s="101" t="s">
        <v>1670</v>
      </c>
      <c r="G545" s="101" t="s">
        <v>1433</v>
      </c>
      <c r="H545" s="97" t="str">
        <f>IFERROR(VLOOKUP(I545,'Raw material list'!$A$3:$C$695,3,0),"")</f>
        <v>DRS6-539</v>
      </c>
      <c r="I545" s="97" t="s">
        <v>717</v>
      </c>
      <c r="J545" s="101" t="s">
        <v>111</v>
      </c>
      <c r="K545" s="101" t="str">
        <f>IFERROR(VLOOKUP(I545,'Raw material list'!$A$3:$E$695,5,0),"")</f>
        <v xml:space="preserve">Gram </v>
      </c>
      <c r="L545" s="95">
        <v>2</v>
      </c>
      <c r="M545" s="98">
        <f t="shared" si="104"/>
        <v>2</v>
      </c>
      <c r="N545" s="98">
        <v>100</v>
      </c>
      <c r="O545" s="95">
        <v>10</v>
      </c>
      <c r="P545" s="98">
        <f t="shared" si="108"/>
        <v>0.2</v>
      </c>
      <c r="Q545" s="99">
        <f>IFERROR(VLOOKUP(I545,'Raw material list'!$A$3:$F$695,6,0),"")</f>
        <v>0.16</v>
      </c>
      <c r="R545" s="100">
        <f t="shared" si="109"/>
        <v>3.2000000000000001E-2</v>
      </c>
      <c r="S545" s="94">
        <f t="shared" si="110"/>
        <v>3.2000000000000002E-3</v>
      </c>
      <c r="T545" s="94">
        <f t="shared" si="111"/>
        <v>3.5200000000000002E-2</v>
      </c>
      <c r="U545" s="93">
        <f t="shared" si="105"/>
        <v>3.5200000000000006E-3</v>
      </c>
      <c r="V545" s="93">
        <f t="shared" si="106"/>
        <v>3.5200000000000005E-4</v>
      </c>
      <c r="W545" s="93">
        <f t="shared" si="107"/>
        <v>3.5200000000000005E-4</v>
      </c>
      <c r="X545" s="93">
        <f t="shared" si="103"/>
        <v>3.9424000000000001E-2</v>
      </c>
      <c r="Y545" s="117"/>
    </row>
    <row r="546" spans="1:25" s="90" customFormat="1">
      <c r="A546" s="95" t="s">
        <v>1525</v>
      </c>
      <c r="B546" s="95" t="s">
        <v>1668</v>
      </c>
      <c r="C546" s="95" t="s">
        <v>1427</v>
      </c>
      <c r="D546" s="101" t="s">
        <v>1535</v>
      </c>
      <c r="E546" s="101" t="s">
        <v>1532</v>
      </c>
      <c r="F546" s="101" t="s">
        <v>1670</v>
      </c>
      <c r="G546" s="101" t="s">
        <v>1433</v>
      </c>
      <c r="H546" s="97" t="str">
        <f>IFERROR(VLOOKUP(I546,'Raw material list'!$A$3:$C$695,3,0),"")</f>
        <v>DRS6-261</v>
      </c>
      <c r="I546" s="97" t="s">
        <v>1565</v>
      </c>
      <c r="J546" s="101" t="s">
        <v>111</v>
      </c>
      <c r="K546" s="101" t="str">
        <f>IFERROR(VLOOKUP(I546,'Raw material list'!$A$3:$E$695,5,0),"")</f>
        <v xml:space="preserve">Gram </v>
      </c>
      <c r="L546" s="95">
        <v>0.3</v>
      </c>
      <c r="M546" s="98">
        <f t="shared" si="104"/>
        <v>0.3</v>
      </c>
      <c r="N546" s="98">
        <v>100</v>
      </c>
      <c r="O546" s="95">
        <v>10</v>
      </c>
      <c r="P546" s="98">
        <f t="shared" si="108"/>
        <v>0.03</v>
      </c>
      <c r="Q546" s="99">
        <f>IFERROR(VLOOKUP(I546,'Raw material list'!$A$3:$F$695,6,0),"")</f>
        <v>1.4E-2</v>
      </c>
      <c r="R546" s="100">
        <f t="shared" si="109"/>
        <v>4.2000000000000002E-4</v>
      </c>
      <c r="S546" s="94">
        <f t="shared" si="110"/>
        <v>4.2000000000000004E-5</v>
      </c>
      <c r="T546" s="94">
        <f t="shared" si="111"/>
        <v>4.6200000000000001E-4</v>
      </c>
      <c r="U546" s="93">
        <f t="shared" si="105"/>
        <v>4.6200000000000005E-5</v>
      </c>
      <c r="V546" s="93">
        <f t="shared" si="106"/>
        <v>4.6199999999999998E-6</v>
      </c>
      <c r="W546" s="93">
        <f t="shared" si="107"/>
        <v>4.6199999999999998E-6</v>
      </c>
      <c r="X546" s="93">
        <f t="shared" si="103"/>
        <v>5.1743999999999998E-4</v>
      </c>
      <c r="Y546" s="117"/>
    </row>
    <row r="547" spans="1:25" s="90" customFormat="1">
      <c r="A547" s="95" t="s">
        <v>1525</v>
      </c>
      <c r="B547" s="95" t="s">
        <v>1668</v>
      </c>
      <c r="C547" s="95" t="s">
        <v>1427</v>
      </c>
      <c r="D547" s="101" t="s">
        <v>1535</v>
      </c>
      <c r="E547" s="101" t="s">
        <v>1532</v>
      </c>
      <c r="F547" s="101" t="s">
        <v>1670</v>
      </c>
      <c r="G547" s="101" t="s">
        <v>1685</v>
      </c>
      <c r="H547" s="97" t="str">
        <f>IFERROR(VLOOKUP(I547,'Raw material list'!$A$3:$C$695,3,0),"")</f>
        <v>DRS3-1615</v>
      </c>
      <c r="I547" s="97" t="s">
        <v>24</v>
      </c>
      <c r="J547" s="101" t="s">
        <v>161</v>
      </c>
      <c r="K547" s="101" t="str">
        <f>IFERROR(VLOOKUP(I547,'Raw material list'!$A$3:$E$695,5,0),"")</f>
        <v>Ml</v>
      </c>
      <c r="L547" s="95">
        <v>26.22</v>
      </c>
      <c r="M547" s="98">
        <f t="shared" si="104"/>
        <v>26.22</v>
      </c>
      <c r="N547" s="98">
        <v>100</v>
      </c>
      <c r="O547" s="95">
        <v>10</v>
      </c>
      <c r="P547" s="98">
        <f t="shared" si="108"/>
        <v>2.6219999999999999</v>
      </c>
      <c r="Q547" s="99">
        <f>IFERROR(VLOOKUP(I547,'Raw material list'!$A$3:$F$695,6,0),"")</f>
        <v>1.2E-2</v>
      </c>
      <c r="R547" s="100">
        <f t="shared" si="109"/>
        <v>3.1463999999999999E-2</v>
      </c>
      <c r="S547" s="94">
        <f t="shared" si="110"/>
        <v>3.1464000000000002E-3</v>
      </c>
      <c r="T547" s="94">
        <f t="shared" si="111"/>
        <v>3.4610399999999999E-2</v>
      </c>
      <c r="U547" s="93">
        <f t="shared" si="105"/>
        <v>3.4610400000000003E-3</v>
      </c>
      <c r="V547" s="93">
        <f t="shared" si="106"/>
        <v>3.4610400000000002E-4</v>
      </c>
      <c r="W547" s="93">
        <f t="shared" si="107"/>
        <v>3.4610400000000002E-4</v>
      </c>
      <c r="X547" s="93">
        <f t="shared" si="103"/>
        <v>3.8763647999999998E-2</v>
      </c>
      <c r="Y547" s="117"/>
    </row>
    <row r="548" spans="1:25" s="90" customFormat="1">
      <c r="A548" s="95" t="s">
        <v>1525</v>
      </c>
      <c r="B548" s="95" t="s">
        <v>1668</v>
      </c>
      <c r="C548" s="95" t="s">
        <v>1427</v>
      </c>
      <c r="D548" s="101" t="s">
        <v>1535</v>
      </c>
      <c r="E548" s="101" t="s">
        <v>1532</v>
      </c>
      <c r="F548" s="101" t="s">
        <v>1670</v>
      </c>
      <c r="G548" s="101" t="s">
        <v>1685</v>
      </c>
      <c r="H548" s="97" t="str">
        <f>IFERROR(VLOOKUP(I548,'Raw material list'!$A$3:$C$695,3,0),"")</f>
        <v>PRD1-227</v>
      </c>
      <c r="I548" s="97" t="s">
        <v>1033</v>
      </c>
      <c r="J548" s="101" t="s">
        <v>111</v>
      </c>
      <c r="K548" s="101" t="str">
        <f>IFERROR(VLOOKUP(I548,'Raw material list'!$A$3:$E$695,5,0),"")</f>
        <v xml:space="preserve">Gram </v>
      </c>
      <c r="L548" s="95">
        <v>3.48</v>
      </c>
      <c r="M548" s="98">
        <f t="shared" si="104"/>
        <v>10.038461538461537</v>
      </c>
      <c r="N548" s="98">
        <v>34.666666666666671</v>
      </c>
      <c r="O548" s="95">
        <v>10</v>
      </c>
      <c r="P548" s="98">
        <f t="shared" si="108"/>
        <v>0.34799999999999998</v>
      </c>
      <c r="Q548" s="99">
        <f>IFERROR(VLOOKUP(I548,'Raw material list'!$A$3:$F$695,6,0),"")</f>
        <v>1.5850144092219021E-2</v>
      </c>
      <c r="R548" s="100">
        <f t="shared" si="109"/>
        <v>5.5158501440922192E-3</v>
      </c>
      <c r="S548" s="94">
        <f t="shared" si="110"/>
        <v>5.5158501440922192E-4</v>
      </c>
      <c r="T548" s="94">
        <f t="shared" si="111"/>
        <v>6.0674351585014406E-3</v>
      </c>
      <c r="U548" s="93">
        <f t="shared" si="105"/>
        <v>6.0674351585014415E-4</v>
      </c>
      <c r="V548" s="93">
        <f t="shared" si="106"/>
        <v>6.0674351585014407E-5</v>
      </c>
      <c r="W548" s="93">
        <f t="shared" si="107"/>
        <v>6.0674351585014407E-5</v>
      </c>
      <c r="X548" s="93">
        <f t="shared" si="103"/>
        <v>6.7955273775216138E-3</v>
      </c>
      <c r="Y548" s="117"/>
    </row>
    <row r="549" spans="1:25" s="90" customFormat="1">
      <c r="A549" s="95" t="s">
        <v>1525</v>
      </c>
      <c r="B549" s="95" t="s">
        <v>1668</v>
      </c>
      <c r="C549" s="95" t="s">
        <v>1427</v>
      </c>
      <c r="D549" s="101" t="s">
        <v>1535</v>
      </c>
      <c r="E549" s="101" t="s">
        <v>1532</v>
      </c>
      <c r="F549" s="101" t="s">
        <v>1670</v>
      </c>
      <c r="G549" s="101" t="s">
        <v>1685</v>
      </c>
      <c r="H549" s="97" t="str">
        <f>IFERROR(VLOOKUP(I549,'Raw material list'!$A$3:$C$695,3,0),"")</f>
        <v>DRS1-3880</v>
      </c>
      <c r="I549" s="97" t="s">
        <v>1398</v>
      </c>
      <c r="J549" s="101" t="s">
        <v>111</v>
      </c>
      <c r="K549" s="101" t="str">
        <f>IFERROR(VLOOKUP(I549,'Raw material list'!$A$3:$E$695,5,0),"")</f>
        <v xml:space="preserve">Gram </v>
      </c>
      <c r="L549" s="95">
        <v>7.0000000000000007E-2</v>
      </c>
      <c r="M549" s="98">
        <f t="shared" si="104"/>
        <v>7.0000000000000007E-2</v>
      </c>
      <c r="N549" s="98">
        <v>100</v>
      </c>
      <c r="O549" s="95">
        <v>10</v>
      </c>
      <c r="P549" s="98">
        <f t="shared" si="108"/>
        <v>7.000000000000001E-3</v>
      </c>
      <c r="Q549" s="99">
        <f>IFERROR(VLOOKUP(I549,'Raw material list'!$A$3:$F$695,6,0),"")</f>
        <v>5.0000000000000001E-4</v>
      </c>
      <c r="R549" s="100">
        <f t="shared" si="109"/>
        <v>3.5000000000000004E-6</v>
      </c>
      <c r="S549" s="94">
        <f t="shared" si="110"/>
        <v>3.5000000000000004E-7</v>
      </c>
      <c r="T549" s="94">
        <f t="shared" si="111"/>
        <v>3.8500000000000004E-6</v>
      </c>
      <c r="U549" s="93">
        <f t="shared" si="105"/>
        <v>3.8500000000000007E-7</v>
      </c>
      <c r="V549" s="93">
        <f t="shared" si="106"/>
        <v>3.8500000000000007E-8</v>
      </c>
      <c r="W549" s="93">
        <f t="shared" si="107"/>
        <v>3.8500000000000007E-8</v>
      </c>
      <c r="X549" s="93">
        <f t="shared" si="103"/>
        <v>4.3119999999999995E-6</v>
      </c>
      <c r="Y549" s="117"/>
    </row>
    <row r="550" spans="1:25" s="90" customFormat="1">
      <c r="A550" s="95" t="s">
        <v>1525</v>
      </c>
      <c r="B550" s="95" t="s">
        <v>1668</v>
      </c>
      <c r="C550" s="95" t="s">
        <v>1427</v>
      </c>
      <c r="D550" s="101" t="s">
        <v>1535</v>
      </c>
      <c r="E550" s="101" t="s">
        <v>1532</v>
      </c>
      <c r="F550" s="101" t="s">
        <v>1670</v>
      </c>
      <c r="G550" s="101" t="s">
        <v>1685</v>
      </c>
      <c r="H550" s="97" t="str">
        <f>IFERROR(VLOOKUP(I550,'Raw material list'!$A$3:$C$695,3,0),"")</f>
        <v>DRS6-537</v>
      </c>
      <c r="I550" s="97" t="s">
        <v>25</v>
      </c>
      <c r="J550" s="101" t="s">
        <v>111</v>
      </c>
      <c r="K550" s="101" t="str">
        <f>IFERROR(VLOOKUP(I550,'Raw material list'!$A$3:$E$695,5,0),"")</f>
        <v xml:space="preserve">Gram </v>
      </c>
      <c r="L550" s="95">
        <v>0.7</v>
      </c>
      <c r="M550" s="98">
        <f t="shared" si="104"/>
        <v>0.7</v>
      </c>
      <c r="N550" s="98">
        <v>100</v>
      </c>
      <c r="O550" s="95">
        <v>10</v>
      </c>
      <c r="P550" s="98">
        <f t="shared" si="108"/>
        <v>6.9999999999999993E-2</v>
      </c>
      <c r="Q550" s="99">
        <f>IFERROR(VLOOKUP(I550,'Raw material list'!$A$3:$F$695,6,0),"")</f>
        <v>3.5000000000000003E-2</v>
      </c>
      <c r="R550" s="100">
        <f t="shared" si="109"/>
        <v>2.4499999999999999E-3</v>
      </c>
      <c r="S550" s="94">
        <f t="shared" si="110"/>
        <v>2.4499999999999999E-4</v>
      </c>
      <c r="T550" s="94">
        <f t="shared" si="111"/>
        <v>2.6949999999999999E-3</v>
      </c>
      <c r="U550" s="93">
        <f t="shared" si="105"/>
        <v>2.6949999999999999E-4</v>
      </c>
      <c r="V550" s="93">
        <f t="shared" si="106"/>
        <v>2.6950000000000001E-5</v>
      </c>
      <c r="W550" s="93">
        <f t="shared" si="107"/>
        <v>2.6950000000000001E-5</v>
      </c>
      <c r="X550" s="93">
        <f t="shared" si="103"/>
        <v>3.0184000000000001E-3</v>
      </c>
      <c r="Y550" s="117"/>
    </row>
    <row r="551" spans="1:25" s="90" customFormat="1">
      <c r="A551" s="95" t="s">
        <v>1525</v>
      </c>
      <c r="B551" s="95" t="s">
        <v>1668</v>
      </c>
      <c r="C551" s="95" t="s">
        <v>1427</v>
      </c>
      <c r="D551" s="101" t="s">
        <v>1535</v>
      </c>
      <c r="E551" s="101" t="s">
        <v>1532</v>
      </c>
      <c r="F551" s="101" t="s">
        <v>1670</v>
      </c>
      <c r="G551" s="101" t="s">
        <v>1686</v>
      </c>
      <c r="H551" s="97" t="str">
        <f>IFERROR(VLOOKUP(I551,'Raw material list'!$A$3:$C$695,3,0),"")</f>
        <v>DRS3-1813</v>
      </c>
      <c r="I551" s="97" t="s">
        <v>39</v>
      </c>
      <c r="J551" s="101" t="s">
        <v>161</v>
      </c>
      <c r="K551" s="101" t="str">
        <f>IFERROR(VLOOKUP(I551,'Raw material list'!$A$3:$E$695,5,0),"")</f>
        <v>Ml</v>
      </c>
      <c r="L551" s="95">
        <v>25</v>
      </c>
      <c r="M551" s="98">
        <f t="shared" si="104"/>
        <v>25</v>
      </c>
      <c r="N551" s="98">
        <v>100</v>
      </c>
      <c r="O551" s="95">
        <v>10</v>
      </c>
      <c r="P551" s="98">
        <f t="shared" ref="P551:P597" si="114">IFERROR(L551/O551,0)</f>
        <v>2.5</v>
      </c>
      <c r="Q551" s="99">
        <f>IFERROR(VLOOKUP(I551,'Raw material list'!$A$3:$F$695,6,0),"")</f>
        <v>8.0555555555555554E-3</v>
      </c>
      <c r="R551" s="100">
        <f t="shared" si="109"/>
        <v>2.0138888888888887E-2</v>
      </c>
      <c r="S551" s="94">
        <f t="shared" si="110"/>
        <v>2.0138888888888888E-3</v>
      </c>
      <c r="T551" s="94">
        <f t="shared" si="111"/>
        <v>2.2152777777777775E-2</v>
      </c>
      <c r="U551" s="93">
        <f t="shared" si="105"/>
        <v>2.2152777777777774E-3</v>
      </c>
      <c r="V551" s="93">
        <f t="shared" si="106"/>
        <v>2.2152777777777774E-4</v>
      </c>
      <c r="W551" s="93">
        <f t="shared" si="107"/>
        <v>2.2152777777777774E-4</v>
      </c>
      <c r="X551" s="93">
        <f t="shared" si="103"/>
        <v>2.481111111111111E-2</v>
      </c>
      <c r="Y551" s="117"/>
    </row>
    <row r="552" spans="1:25" s="90" customFormat="1">
      <c r="A552" s="95" t="s">
        <v>1525</v>
      </c>
      <c r="B552" s="95" t="s">
        <v>1668</v>
      </c>
      <c r="C552" s="95" t="s">
        <v>1427</v>
      </c>
      <c r="D552" s="101" t="s">
        <v>1535</v>
      </c>
      <c r="E552" s="101" t="s">
        <v>1532</v>
      </c>
      <c r="F552" s="101" t="s">
        <v>1670</v>
      </c>
      <c r="G552" s="101" t="s">
        <v>1686</v>
      </c>
      <c r="H552" s="97" t="str">
        <f>IFERROR(VLOOKUP(I552,'Raw material list'!$A$3:$C$695,3,0),"")</f>
        <v>PRD1-3182</v>
      </c>
      <c r="I552" s="97" t="s">
        <v>1028</v>
      </c>
      <c r="J552" s="101" t="s">
        <v>111</v>
      </c>
      <c r="K552" s="101" t="str">
        <f>IFERROR(VLOOKUP(I552,'Raw material list'!$A$3:$E$695,5,0),"")</f>
        <v xml:space="preserve">Gram </v>
      </c>
      <c r="L552" s="95">
        <v>125</v>
      </c>
      <c r="M552" s="98">
        <f t="shared" si="104"/>
        <v>131.57894736842107</v>
      </c>
      <c r="N552" s="98">
        <v>95</v>
      </c>
      <c r="O552" s="95">
        <v>10</v>
      </c>
      <c r="P552" s="98">
        <f t="shared" si="114"/>
        <v>12.5</v>
      </c>
      <c r="Q552" s="99">
        <f>IFERROR(VLOOKUP(I552,'Raw material list'!$A$3:$F$695,6,0),"")</f>
        <v>3.3684210526315803E-2</v>
      </c>
      <c r="R552" s="100">
        <f t="shared" si="109"/>
        <v>0.42105263157894751</v>
      </c>
      <c r="S552" s="94">
        <f t="shared" ref="S552:S599" si="115">R552*10%</f>
        <v>4.2105263157894757E-2</v>
      </c>
      <c r="T552" s="94">
        <f t="shared" ref="T552:T599" si="116">R552+S552</f>
        <v>0.46315789473684227</v>
      </c>
      <c r="U552" s="93">
        <f t="shared" si="105"/>
        <v>4.6315789473684227E-2</v>
      </c>
      <c r="V552" s="93">
        <f t="shared" si="106"/>
        <v>4.6315789473684232E-3</v>
      </c>
      <c r="W552" s="93">
        <f t="shared" si="107"/>
        <v>4.6315789473684232E-3</v>
      </c>
      <c r="X552" s="93">
        <f t="shared" si="103"/>
        <v>0.51873684210526338</v>
      </c>
      <c r="Y552" s="117"/>
    </row>
    <row r="553" spans="1:25" s="90" customFormat="1">
      <c r="A553" s="95" t="s">
        <v>1525</v>
      </c>
      <c r="B553" s="95" t="s">
        <v>1668</v>
      </c>
      <c r="C553" s="95" t="s">
        <v>1427</v>
      </c>
      <c r="D553" s="101" t="s">
        <v>1535</v>
      </c>
      <c r="E553" s="101" t="s">
        <v>1532</v>
      </c>
      <c r="F553" s="101" t="s">
        <v>1670</v>
      </c>
      <c r="G553" s="101" t="s">
        <v>1686</v>
      </c>
      <c r="H553" s="97" t="str">
        <f>IFERROR(VLOOKUP(I553,'Raw material list'!$A$3:$C$695,3,0),"")</f>
        <v>DRS1-3880</v>
      </c>
      <c r="I553" s="97" t="s">
        <v>1398</v>
      </c>
      <c r="J553" s="101" t="s">
        <v>111</v>
      </c>
      <c r="K553" s="101" t="str">
        <f>IFERROR(VLOOKUP(I553,'Raw material list'!$A$3:$E$695,5,0),"")</f>
        <v xml:space="preserve">Gram </v>
      </c>
      <c r="L553" s="95">
        <v>1</v>
      </c>
      <c r="M553" s="98">
        <f t="shared" si="104"/>
        <v>1</v>
      </c>
      <c r="N553" s="98">
        <v>100</v>
      </c>
      <c r="O553" s="95">
        <v>10</v>
      </c>
      <c r="P553" s="98">
        <f t="shared" si="114"/>
        <v>0.1</v>
      </c>
      <c r="Q553" s="99">
        <f>IFERROR(VLOOKUP(I553,'Raw material list'!$A$3:$F$695,6,0),"")</f>
        <v>5.0000000000000001E-4</v>
      </c>
      <c r="R553" s="100">
        <f t="shared" si="109"/>
        <v>5.0000000000000002E-5</v>
      </c>
      <c r="S553" s="94">
        <f t="shared" si="115"/>
        <v>5.0000000000000004E-6</v>
      </c>
      <c r="T553" s="94">
        <f t="shared" si="116"/>
        <v>5.5000000000000002E-5</v>
      </c>
      <c r="U553" s="93">
        <f t="shared" si="105"/>
        <v>5.5000000000000007E-6</v>
      </c>
      <c r="V553" s="93">
        <f t="shared" si="106"/>
        <v>5.5000000000000003E-7</v>
      </c>
      <c r="W553" s="93">
        <f t="shared" si="107"/>
        <v>5.5000000000000003E-7</v>
      </c>
      <c r="X553" s="93">
        <f t="shared" si="103"/>
        <v>6.1600000000000007E-5</v>
      </c>
      <c r="Y553" s="117"/>
    </row>
    <row r="554" spans="1:25" s="90" customFormat="1">
      <c r="A554" s="95" t="s">
        <v>1526</v>
      </c>
      <c r="B554" s="95" t="s">
        <v>1631</v>
      </c>
      <c r="C554" s="95" t="s">
        <v>1427</v>
      </c>
      <c r="D554" s="101" t="s">
        <v>1536</v>
      </c>
      <c r="E554" s="101" t="s">
        <v>1532</v>
      </c>
      <c r="F554" s="101" t="s">
        <v>1669</v>
      </c>
      <c r="G554" s="101"/>
      <c r="H554" s="97" t="str">
        <f>IFERROR(VLOOKUP(I554,'Raw material list'!$A$3:$C$695,3,0),"")</f>
        <v>BKR1-1327</v>
      </c>
      <c r="I554" s="97" t="s">
        <v>118</v>
      </c>
      <c r="J554" s="101" t="s">
        <v>120</v>
      </c>
      <c r="K554" s="101" t="str">
        <f>IFERROR(VLOOKUP(I554,'Raw material list'!$A$3:$E$695,5,0),"")</f>
        <v>Slice</v>
      </c>
      <c r="L554" s="95">
        <v>10</v>
      </c>
      <c r="M554" s="98">
        <f t="shared" si="104"/>
        <v>10</v>
      </c>
      <c r="N554" s="98">
        <v>100</v>
      </c>
      <c r="O554" s="95">
        <v>10</v>
      </c>
      <c r="P554" s="98">
        <f t="shared" si="114"/>
        <v>1</v>
      </c>
      <c r="Q554" s="99">
        <f>IFERROR(VLOOKUP(I554,'Raw material list'!$A$3:$F$695,6,0),"")</f>
        <v>0.22222222222222221</v>
      </c>
      <c r="R554" s="100">
        <f t="shared" ref="R554:R611" si="117">IFERROR(Q554*P554,0)</f>
        <v>0.22222222222222221</v>
      </c>
      <c r="S554" s="94">
        <f t="shared" si="115"/>
        <v>2.2222222222222223E-2</v>
      </c>
      <c r="T554" s="94">
        <f t="shared" si="116"/>
        <v>0.24444444444444444</v>
      </c>
      <c r="U554" s="93">
        <f t="shared" si="105"/>
        <v>2.4444444444444446E-2</v>
      </c>
      <c r="V554" s="93">
        <f t="shared" si="106"/>
        <v>2.4444444444444444E-3</v>
      </c>
      <c r="W554" s="93">
        <f t="shared" si="107"/>
        <v>2.4444444444444444E-3</v>
      </c>
      <c r="X554" s="93">
        <f t="shared" si="103"/>
        <v>0.27377777777777784</v>
      </c>
      <c r="Y554" s="122"/>
    </row>
    <row r="555" spans="1:25" s="90" customFormat="1">
      <c r="A555" s="95" t="s">
        <v>1526</v>
      </c>
      <c r="B555" s="95" t="s">
        <v>1631</v>
      </c>
      <c r="C555" s="95" t="s">
        <v>1427</v>
      </c>
      <c r="D555" s="101" t="s">
        <v>1536</v>
      </c>
      <c r="E555" s="101" t="s">
        <v>1532</v>
      </c>
      <c r="F555" s="95" t="s">
        <v>1669</v>
      </c>
      <c r="G555" s="101" t="s">
        <v>1445</v>
      </c>
      <c r="H555" s="97" t="str">
        <f>IFERROR(VLOOKUP(I555,'Raw material list'!$A$3:$C$695,3,0),"")</f>
        <v>PRD1-235</v>
      </c>
      <c r="I555" s="97" t="s">
        <v>1048</v>
      </c>
      <c r="J555" s="101" t="s">
        <v>111</v>
      </c>
      <c r="K555" s="101" t="str">
        <f>IFERROR(VLOOKUP(I555,'Raw material list'!$A$3:$E$695,5,0),"")</f>
        <v xml:space="preserve">Gram </v>
      </c>
      <c r="L555" s="95">
        <v>30</v>
      </c>
      <c r="M555" s="98">
        <f t="shared" si="104"/>
        <v>92.783505154639187</v>
      </c>
      <c r="N555" s="98">
        <v>32.333333333333329</v>
      </c>
      <c r="O555" s="95">
        <v>10</v>
      </c>
      <c r="P555" s="98">
        <f t="shared" si="114"/>
        <v>3</v>
      </c>
      <c r="Q555" s="99">
        <f>IFERROR(VLOOKUP(I555,'Raw material list'!$A$3:$F$695,6,0),"")</f>
        <v>1.238390092879257E-2</v>
      </c>
      <c r="R555" s="100">
        <f t="shared" si="117"/>
        <v>3.7151702786377708E-2</v>
      </c>
      <c r="S555" s="94">
        <f t="shared" si="115"/>
        <v>3.7151702786377711E-3</v>
      </c>
      <c r="T555" s="94">
        <f t="shared" si="116"/>
        <v>4.0866873065015477E-2</v>
      </c>
      <c r="U555" s="93">
        <f t="shared" si="105"/>
        <v>4.0866873065015475E-3</v>
      </c>
      <c r="V555" s="93">
        <f t="shared" si="106"/>
        <v>4.086687306501548E-4</v>
      </c>
      <c r="W555" s="93">
        <f t="shared" si="107"/>
        <v>4.086687306501548E-4</v>
      </c>
      <c r="X555" s="93">
        <f t="shared" si="103"/>
        <v>4.5770897832817327E-2</v>
      </c>
      <c r="Y555" s="122"/>
    </row>
    <row r="556" spans="1:25" s="90" customFormat="1">
      <c r="A556" s="95" t="s">
        <v>1526</v>
      </c>
      <c r="B556" s="95" t="s">
        <v>1631</v>
      </c>
      <c r="C556" s="95" t="s">
        <v>1427</v>
      </c>
      <c r="D556" s="101" t="s">
        <v>1536</v>
      </c>
      <c r="E556" s="101" t="s">
        <v>1532</v>
      </c>
      <c r="F556" s="101" t="s">
        <v>1670</v>
      </c>
      <c r="G556" s="101"/>
      <c r="H556" s="97" t="str">
        <f>IFERROR(VLOOKUP(I556,'Raw material list'!$A$3:$C$695,3,0),"")</f>
        <v>PLT1-37</v>
      </c>
      <c r="I556" s="97" t="s">
        <v>843</v>
      </c>
      <c r="J556" s="101" t="s">
        <v>14</v>
      </c>
      <c r="K556" s="101" t="str">
        <f>IFERROR(VLOOKUP(I556,'Raw material list'!$A$3:$E$695,5,0),"")</f>
        <v>Each</v>
      </c>
      <c r="L556" s="95">
        <v>12</v>
      </c>
      <c r="M556" s="98">
        <f t="shared" si="104"/>
        <v>12</v>
      </c>
      <c r="N556" s="98">
        <v>100</v>
      </c>
      <c r="O556" s="95">
        <v>10</v>
      </c>
      <c r="P556" s="98">
        <f t="shared" si="114"/>
        <v>1.2</v>
      </c>
      <c r="Q556" s="99">
        <f>IFERROR(VLOOKUP(I556,'Raw material list'!$A$3:$F$695,6,0),"")</f>
        <v>0.48299999999999998</v>
      </c>
      <c r="R556" s="100">
        <f t="shared" si="117"/>
        <v>0.5796</v>
      </c>
      <c r="S556" s="94">
        <f t="shared" si="115"/>
        <v>5.7960000000000005E-2</v>
      </c>
      <c r="T556" s="94">
        <f t="shared" si="116"/>
        <v>0.63756000000000002</v>
      </c>
      <c r="U556" s="93">
        <f t="shared" si="105"/>
        <v>6.3756000000000007E-2</v>
      </c>
      <c r="V556" s="93">
        <f t="shared" si="106"/>
        <v>6.3756000000000004E-3</v>
      </c>
      <c r="W556" s="93">
        <f t="shared" si="107"/>
        <v>6.3756000000000004E-3</v>
      </c>
      <c r="X556" s="93">
        <f t="shared" si="103"/>
        <v>0.71406720000000012</v>
      </c>
      <c r="Y556" s="122"/>
    </row>
    <row r="557" spans="1:25" s="90" customFormat="1">
      <c r="A557" s="95" t="s">
        <v>1526</v>
      </c>
      <c r="B557" s="95" t="s">
        <v>1631</v>
      </c>
      <c r="C557" s="95" t="s">
        <v>1427</v>
      </c>
      <c r="D557" s="101" t="s">
        <v>1536</v>
      </c>
      <c r="E557" s="101" t="s">
        <v>1532</v>
      </c>
      <c r="F557" s="101" t="s">
        <v>1670</v>
      </c>
      <c r="G557" s="101"/>
      <c r="H557" s="97" t="str">
        <f>IFERROR(VLOOKUP(I557,'Raw material list'!$A$3:$C$695,3,0),"")</f>
        <v>PRD1-4787</v>
      </c>
      <c r="I557" s="97" t="s">
        <v>959</v>
      </c>
      <c r="J557" s="101" t="s">
        <v>111</v>
      </c>
      <c r="K557" s="101" t="str">
        <f>IFERROR(VLOOKUP(I557,'Raw material list'!$A$3:$E$695,5,0),"")</f>
        <v xml:space="preserve">Gram </v>
      </c>
      <c r="L557" s="95">
        <v>61.12</v>
      </c>
      <c r="M557" s="98">
        <f t="shared" si="104"/>
        <v>150.29508196721309</v>
      </c>
      <c r="N557" s="98">
        <v>40.666666666666664</v>
      </c>
      <c r="O557" s="95">
        <v>10</v>
      </c>
      <c r="P557" s="98">
        <f t="shared" si="114"/>
        <v>6.1120000000000001</v>
      </c>
      <c r="Q557" s="99">
        <f>IFERROR(VLOOKUP(I557,'Raw material list'!$A$3:$F$695,6,0),"")</f>
        <v>7.8624078624078622E-2</v>
      </c>
      <c r="R557" s="100">
        <f t="shared" si="117"/>
        <v>0.48055036855036853</v>
      </c>
      <c r="S557" s="94">
        <f t="shared" si="115"/>
        <v>4.8055036855036856E-2</v>
      </c>
      <c r="T557" s="94">
        <f t="shared" si="116"/>
        <v>0.52860540540540535</v>
      </c>
      <c r="U557" s="93">
        <f t="shared" si="105"/>
        <v>5.286054054054054E-2</v>
      </c>
      <c r="V557" s="93">
        <f t="shared" si="106"/>
        <v>5.2860540540540539E-3</v>
      </c>
      <c r="W557" s="93">
        <f t="shared" si="107"/>
        <v>5.2860540540540539E-3</v>
      </c>
      <c r="X557" s="93">
        <f t="shared" si="103"/>
        <v>0.59203805405405396</v>
      </c>
      <c r="Y557" s="122"/>
    </row>
    <row r="558" spans="1:25" s="90" customFormat="1">
      <c r="A558" s="95" t="s">
        <v>1526</v>
      </c>
      <c r="B558" s="95" t="s">
        <v>1631</v>
      </c>
      <c r="C558" s="95" t="s">
        <v>1427</v>
      </c>
      <c r="D558" s="101" t="s">
        <v>1536</v>
      </c>
      <c r="E558" s="101" t="s">
        <v>1532</v>
      </c>
      <c r="F558" s="101" t="s">
        <v>1670</v>
      </c>
      <c r="G558" s="101"/>
      <c r="H558" s="97" t="str">
        <f>IFERROR(VLOOKUP(I558,'Raw material list'!$A$3:$C$695,3,0),"")</f>
        <v>DRS1-114</v>
      </c>
      <c r="I558" s="97" t="s">
        <v>279</v>
      </c>
      <c r="J558" s="101" t="s">
        <v>111</v>
      </c>
      <c r="K558" s="101" t="str">
        <f>IFERROR(VLOOKUP(I558,'Raw material list'!$A$3:$E$695,5,0),"")</f>
        <v xml:space="preserve">Gram </v>
      </c>
      <c r="L558" s="95">
        <v>3.5</v>
      </c>
      <c r="M558" s="98">
        <f t="shared" si="104"/>
        <v>3.5000000000000004</v>
      </c>
      <c r="N558" s="98">
        <v>100</v>
      </c>
      <c r="O558" s="95">
        <v>10</v>
      </c>
      <c r="P558" s="98">
        <f t="shared" si="114"/>
        <v>0.35</v>
      </c>
      <c r="Q558" s="99">
        <f>IFERROR(VLOOKUP(I558,'Raw material list'!$A$3:$F$695,6,0),"")</f>
        <v>4.7489823609226586E-3</v>
      </c>
      <c r="R558" s="100">
        <f t="shared" si="117"/>
        <v>1.6621438263229305E-3</v>
      </c>
      <c r="S558" s="94">
        <f t="shared" si="115"/>
        <v>1.6621438263229307E-4</v>
      </c>
      <c r="T558" s="94">
        <f t="shared" si="116"/>
        <v>1.8283582089552235E-3</v>
      </c>
      <c r="U558" s="93">
        <f t="shared" si="105"/>
        <v>1.8283582089552235E-4</v>
      </c>
      <c r="V558" s="93">
        <f t="shared" si="106"/>
        <v>1.8283582089552236E-5</v>
      </c>
      <c r="W558" s="93">
        <f t="shared" si="107"/>
        <v>1.8283582089552236E-5</v>
      </c>
      <c r="X558" s="93">
        <f t="shared" si="103"/>
        <v>2.0477611940298507E-3</v>
      </c>
      <c r="Y558" s="122"/>
    </row>
    <row r="559" spans="1:25" s="90" customFormat="1">
      <c r="A559" s="95" t="s">
        <v>1526</v>
      </c>
      <c r="B559" s="95" t="s">
        <v>1631</v>
      </c>
      <c r="C559" s="95" t="s">
        <v>1427</v>
      </c>
      <c r="D559" s="101" t="s">
        <v>1536</v>
      </c>
      <c r="E559" s="101" t="s">
        <v>1532</v>
      </c>
      <c r="F559" s="101" t="s">
        <v>1670</v>
      </c>
      <c r="G559" s="101"/>
      <c r="H559" s="97" t="str">
        <f>IFERROR(VLOOKUP(I559,'Raw material list'!$A$3:$C$695,3,0),"")</f>
        <v>DRS6-537</v>
      </c>
      <c r="I559" s="97" t="s">
        <v>25</v>
      </c>
      <c r="J559" s="101" t="s">
        <v>111</v>
      </c>
      <c r="K559" s="101" t="str">
        <f>IFERROR(VLOOKUP(I559,'Raw material list'!$A$3:$E$695,5,0),"")</f>
        <v xml:space="preserve">Gram </v>
      </c>
      <c r="L559" s="95">
        <v>0.85499999999999998</v>
      </c>
      <c r="M559" s="98">
        <f t="shared" si="104"/>
        <v>0.85499999999999998</v>
      </c>
      <c r="N559" s="98">
        <v>100</v>
      </c>
      <c r="O559" s="95">
        <v>10</v>
      </c>
      <c r="P559" s="98">
        <f t="shared" si="114"/>
        <v>8.5499999999999993E-2</v>
      </c>
      <c r="Q559" s="99">
        <f>IFERROR(VLOOKUP(I559,'Raw material list'!$A$3:$F$695,6,0),"")</f>
        <v>3.5000000000000003E-2</v>
      </c>
      <c r="R559" s="100">
        <f t="shared" si="117"/>
        <v>2.9924999999999999E-3</v>
      </c>
      <c r="S559" s="94">
        <f t="shared" si="115"/>
        <v>2.9925000000000004E-4</v>
      </c>
      <c r="T559" s="94">
        <f t="shared" si="116"/>
        <v>3.29175E-3</v>
      </c>
      <c r="U559" s="93">
        <f t="shared" si="105"/>
        <v>3.2917500000000002E-4</v>
      </c>
      <c r="V559" s="93">
        <f t="shared" si="106"/>
        <v>3.2917499999999998E-5</v>
      </c>
      <c r="W559" s="93">
        <f t="shared" si="107"/>
        <v>3.2917499999999998E-5</v>
      </c>
      <c r="X559" s="93">
        <f t="shared" si="103"/>
        <v>3.6867600000000003E-3</v>
      </c>
      <c r="Y559" s="122"/>
    </row>
    <row r="560" spans="1:25" s="90" customFormat="1">
      <c r="A560" s="95" t="s">
        <v>1526</v>
      </c>
      <c r="B560" s="95" t="s">
        <v>1631</v>
      </c>
      <c r="C560" s="95" t="s">
        <v>1427</v>
      </c>
      <c r="D560" s="101" t="s">
        <v>1536</v>
      </c>
      <c r="E560" s="101" t="s">
        <v>1532</v>
      </c>
      <c r="F560" s="101" t="s">
        <v>1670</v>
      </c>
      <c r="G560" s="101"/>
      <c r="H560" s="97" t="str">
        <f>IFERROR(VLOOKUP(I560,'Raw material list'!$A$3:$C$695,3,0),"")</f>
        <v>DRS6-309</v>
      </c>
      <c r="I560" s="97" t="s">
        <v>35</v>
      </c>
      <c r="J560" s="101" t="s">
        <v>111</v>
      </c>
      <c r="K560" s="101" t="str">
        <f>IFERROR(VLOOKUP(I560,'Raw material list'!$A$3:$E$695,5,0),"")</f>
        <v xml:space="preserve">Gram </v>
      </c>
      <c r="L560" s="95">
        <v>0.85499999999999998</v>
      </c>
      <c r="M560" s="98">
        <f t="shared" si="104"/>
        <v>0.85499999999999998</v>
      </c>
      <c r="N560" s="98">
        <v>100</v>
      </c>
      <c r="O560" s="95">
        <v>10</v>
      </c>
      <c r="P560" s="98">
        <f t="shared" si="114"/>
        <v>8.5499999999999993E-2</v>
      </c>
      <c r="Q560" s="99">
        <f>IFERROR(VLOOKUP(I560,'Raw material list'!$A$3:$F$695,6,0),"")</f>
        <v>2.8000000000000001E-2</v>
      </c>
      <c r="R560" s="100">
        <f t="shared" si="117"/>
        <v>2.3939999999999999E-3</v>
      </c>
      <c r="S560" s="94">
        <f t="shared" si="115"/>
        <v>2.3939999999999999E-4</v>
      </c>
      <c r="T560" s="94">
        <f t="shared" si="116"/>
        <v>2.6333999999999997E-3</v>
      </c>
      <c r="U560" s="93">
        <f t="shared" si="105"/>
        <v>2.6333999999999998E-4</v>
      </c>
      <c r="V560" s="93">
        <f t="shared" si="106"/>
        <v>2.6333999999999999E-5</v>
      </c>
      <c r="W560" s="93">
        <f t="shared" si="107"/>
        <v>2.6333999999999999E-5</v>
      </c>
      <c r="X560" s="93">
        <f t="shared" si="103"/>
        <v>2.9494079999999993E-3</v>
      </c>
      <c r="Y560" s="122"/>
    </row>
    <row r="561" spans="1:25" s="90" customFormat="1">
      <c r="A561" s="95" t="s">
        <v>1526</v>
      </c>
      <c r="B561" s="95" t="s">
        <v>1631</v>
      </c>
      <c r="C561" s="95" t="s">
        <v>1427</v>
      </c>
      <c r="D561" s="101" t="s">
        <v>1536</v>
      </c>
      <c r="E561" s="101" t="s">
        <v>1532</v>
      </c>
      <c r="F561" s="101" t="s">
        <v>1670</v>
      </c>
      <c r="G561" s="101"/>
      <c r="H561" s="97" t="str">
        <f>IFERROR(VLOOKUP(I561,'Raw material list'!$A$3:$C$695,3,0),"")</f>
        <v>DRS6-1570</v>
      </c>
      <c r="I561" s="97" t="s">
        <v>16</v>
      </c>
      <c r="J561" s="101" t="s">
        <v>111</v>
      </c>
      <c r="K561" s="101" t="str">
        <f>IFERROR(VLOOKUP(I561,'Raw material list'!$A$3:$E$695,5,0),"")</f>
        <v xml:space="preserve">Gram </v>
      </c>
      <c r="L561" s="95">
        <v>0.61099999999999999</v>
      </c>
      <c r="M561" s="98">
        <f t="shared" si="104"/>
        <v>0.61099999999999999</v>
      </c>
      <c r="N561" s="98">
        <v>100</v>
      </c>
      <c r="O561" s="95">
        <v>10</v>
      </c>
      <c r="P561" s="98">
        <f t="shared" si="114"/>
        <v>6.1100000000000002E-2</v>
      </c>
      <c r="Q561" s="99">
        <f>IFERROR(VLOOKUP(I561,'Raw material list'!$A$3:$F$695,6,0),"")</f>
        <v>2.8000000000000001E-2</v>
      </c>
      <c r="R561" s="100">
        <f t="shared" si="117"/>
        <v>1.7108000000000002E-3</v>
      </c>
      <c r="S561" s="94">
        <f t="shared" si="115"/>
        <v>1.7108000000000002E-4</v>
      </c>
      <c r="T561" s="94">
        <f t="shared" si="116"/>
        <v>1.8818800000000003E-3</v>
      </c>
      <c r="U561" s="93">
        <f t="shared" si="105"/>
        <v>1.8818800000000005E-4</v>
      </c>
      <c r="V561" s="93">
        <f t="shared" si="106"/>
        <v>1.8818800000000004E-5</v>
      </c>
      <c r="W561" s="93">
        <f t="shared" si="107"/>
        <v>1.8818800000000004E-5</v>
      </c>
      <c r="X561" s="93">
        <f t="shared" si="103"/>
        <v>2.1077056000000007E-3</v>
      </c>
      <c r="Y561" s="122"/>
    </row>
    <row r="562" spans="1:25" s="90" customFormat="1">
      <c r="A562" s="95" t="s">
        <v>1526</v>
      </c>
      <c r="B562" s="95" t="s">
        <v>1631</v>
      </c>
      <c r="C562" s="95" t="s">
        <v>1427</v>
      </c>
      <c r="D562" s="101" t="s">
        <v>1536</v>
      </c>
      <c r="E562" s="101" t="s">
        <v>1532</v>
      </c>
      <c r="F562" s="101" t="s">
        <v>1670</v>
      </c>
      <c r="G562" s="101" t="s">
        <v>1537</v>
      </c>
      <c r="H562" s="97" t="str">
        <f>IFERROR(VLOOKUP(I562,'Raw material list'!$A$3:$C$695,3,0),"")</f>
        <v>PRD1-179</v>
      </c>
      <c r="I562" s="97" t="s">
        <v>971</v>
      </c>
      <c r="J562" s="101" t="s">
        <v>111</v>
      </c>
      <c r="K562" s="101" t="str">
        <f>IFERROR(VLOOKUP(I562,'Raw material list'!$A$3:$E$695,5,0),"")</f>
        <v xml:space="preserve">Gram </v>
      </c>
      <c r="L562" s="95">
        <v>12.3</v>
      </c>
      <c r="M562" s="98">
        <f t="shared" si="104"/>
        <v>12.3</v>
      </c>
      <c r="N562" s="98">
        <v>100</v>
      </c>
      <c r="O562" s="95">
        <v>10</v>
      </c>
      <c r="P562" s="98">
        <f t="shared" si="114"/>
        <v>1.23</v>
      </c>
      <c r="Q562" s="99">
        <f>IFERROR(VLOOKUP(I562,'Raw material list'!$A$3:$F$695,6,0),"")</f>
        <v>8.9999999999999993E-3</v>
      </c>
      <c r="R562" s="100">
        <f t="shared" si="117"/>
        <v>1.1069999999999998E-2</v>
      </c>
      <c r="S562" s="94">
        <f t="shared" si="115"/>
        <v>1.1069999999999999E-3</v>
      </c>
      <c r="T562" s="94">
        <f t="shared" si="116"/>
        <v>1.2176999999999999E-2</v>
      </c>
      <c r="U562" s="93">
        <f t="shared" si="105"/>
        <v>1.2176999999999999E-3</v>
      </c>
      <c r="V562" s="93">
        <f t="shared" si="106"/>
        <v>1.2176999999999999E-4</v>
      </c>
      <c r="W562" s="93">
        <f t="shared" si="107"/>
        <v>1.2176999999999999E-4</v>
      </c>
      <c r="X562" s="93">
        <f t="shared" si="103"/>
        <v>1.3638239999999999E-2</v>
      </c>
      <c r="Y562" s="122"/>
    </row>
    <row r="563" spans="1:25" s="90" customFormat="1">
      <c r="A563" s="95" t="s">
        <v>1526</v>
      </c>
      <c r="B563" s="95" t="s">
        <v>1631</v>
      </c>
      <c r="C563" s="95" t="s">
        <v>1427</v>
      </c>
      <c r="D563" s="101" t="s">
        <v>1536</v>
      </c>
      <c r="E563" s="101" t="s">
        <v>1532</v>
      </c>
      <c r="F563" s="101" t="s">
        <v>1670</v>
      </c>
      <c r="G563" s="101" t="s">
        <v>1537</v>
      </c>
      <c r="H563" s="97" t="str">
        <f>IFERROR(VLOOKUP(I563,'Raw material list'!$A$3:$C$695,3,0),"")</f>
        <v>DRS3-1615</v>
      </c>
      <c r="I563" s="97" t="s">
        <v>24</v>
      </c>
      <c r="J563" s="101" t="s">
        <v>161</v>
      </c>
      <c r="K563" s="101" t="str">
        <f>IFERROR(VLOOKUP(I563,'Raw material list'!$A$3:$E$695,5,0),"")</f>
        <v>Ml</v>
      </c>
      <c r="L563" s="95">
        <v>9.23</v>
      </c>
      <c r="M563" s="98">
        <f t="shared" si="104"/>
        <v>9.23</v>
      </c>
      <c r="N563" s="98">
        <v>100</v>
      </c>
      <c r="O563" s="95">
        <v>10</v>
      </c>
      <c r="P563" s="98">
        <f t="shared" si="114"/>
        <v>0.92300000000000004</v>
      </c>
      <c r="Q563" s="99">
        <f>IFERROR(VLOOKUP(I563,'Raw material list'!$A$3:$F$695,6,0),"")</f>
        <v>1.2E-2</v>
      </c>
      <c r="R563" s="100">
        <f t="shared" si="117"/>
        <v>1.1076000000000001E-2</v>
      </c>
      <c r="S563" s="94">
        <f t="shared" si="115"/>
        <v>1.1076E-3</v>
      </c>
      <c r="T563" s="94">
        <f t="shared" si="116"/>
        <v>1.2183600000000001E-2</v>
      </c>
      <c r="U563" s="93">
        <f t="shared" si="105"/>
        <v>1.2183600000000001E-3</v>
      </c>
      <c r="V563" s="93">
        <f t="shared" si="106"/>
        <v>1.2183600000000002E-4</v>
      </c>
      <c r="W563" s="93">
        <f t="shared" si="107"/>
        <v>1.2183600000000002E-4</v>
      </c>
      <c r="X563" s="93">
        <f t="shared" si="103"/>
        <v>1.3645632000000001E-2</v>
      </c>
      <c r="Y563" s="122"/>
    </row>
    <row r="564" spans="1:25" s="90" customFormat="1">
      <c r="A564" s="95" t="s">
        <v>1526</v>
      </c>
      <c r="B564" s="95" t="s">
        <v>1631</v>
      </c>
      <c r="C564" s="95" t="s">
        <v>1427</v>
      </c>
      <c r="D564" s="101" t="s">
        <v>1536</v>
      </c>
      <c r="E564" s="101" t="s">
        <v>1532</v>
      </c>
      <c r="F564" s="101" t="s">
        <v>1670</v>
      </c>
      <c r="G564" s="101" t="s">
        <v>1537</v>
      </c>
      <c r="H564" s="97" t="str">
        <f>IFERROR(VLOOKUP(I564,'Raw material list'!$A$3:$C$695,3,0),"")</f>
        <v>DRS1-114</v>
      </c>
      <c r="I564" s="97" t="s">
        <v>279</v>
      </c>
      <c r="J564" s="101" t="s">
        <v>111</v>
      </c>
      <c r="K564" s="101" t="str">
        <f>IFERROR(VLOOKUP(I564,'Raw material list'!$A$3:$E$695,5,0),"")</f>
        <v xml:space="preserve">Gram </v>
      </c>
      <c r="L564" s="95">
        <v>0.123</v>
      </c>
      <c r="M564" s="98">
        <f t="shared" si="104"/>
        <v>0.123</v>
      </c>
      <c r="N564" s="98">
        <v>100</v>
      </c>
      <c r="O564" s="95">
        <v>10</v>
      </c>
      <c r="P564" s="98">
        <f t="shared" si="114"/>
        <v>1.23E-2</v>
      </c>
      <c r="Q564" s="99">
        <f>IFERROR(VLOOKUP(I564,'Raw material list'!$A$3:$F$695,6,0),"")</f>
        <v>4.7489823609226586E-3</v>
      </c>
      <c r="R564" s="100">
        <f t="shared" si="117"/>
        <v>5.8412483039348702E-5</v>
      </c>
      <c r="S564" s="94">
        <f t="shared" si="115"/>
        <v>5.8412483039348708E-6</v>
      </c>
      <c r="T564" s="94">
        <f t="shared" si="116"/>
        <v>6.4253731343283577E-5</v>
      </c>
      <c r="U564" s="93">
        <f t="shared" si="105"/>
        <v>6.4253731343283579E-6</v>
      </c>
      <c r="V564" s="93">
        <f t="shared" si="106"/>
        <v>6.4253731343283577E-7</v>
      </c>
      <c r="W564" s="93">
        <f t="shared" si="107"/>
        <v>6.4253731343283577E-7</v>
      </c>
      <c r="X564" s="93">
        <f t="shared" si="103"/>
        <v>7.1964179104477618E-5</v>
      </c>
      <c r="Y564" s="122"/>
    </row>
    <row r="565" spans="1:25" s="90" customFormat="1">
      <c r="A565" s="95" t="s">
        <v>1526</v>
      </c>
      <c r="B565" s="95" t="s">
        <v>1631</v>
      </c>
      <c r="C565" s="95" t="s">
        <v>1427</v>
      </c>
      <c r="D565" s="101" t="s">
        <v>1536</v>
      </c>
      <c r="E565" s="101" t="s">
        <v>1532</v>
      </c>
      <c r="F565" s="101" t="s">
        <v>1670</v>
      </c>
      <c r="G565" s="101" t="s">
        <v>1537</v>
      </c>
      <c r="H565" s="97" t="str">
        <f>IFERROR(VLOOKUP(I565,'Raw material list'!$A$3:$C$695,3,0),"")</f>
        <v>DRS6-537</v>
      </c>
      <c r="I565" s="97" t="s">
        <v>25</v>
      </c>
      <c r="J565" s="101" t="s">
        <v>111</v>
      </c>
      <c r="K565" s="101" t="str">
        <f>IFERROR(VLOOKUP(I565,'Raw material list'!$A$3:$E$695,5,0),"")</f>
        <v xml:space="preserve">Gram </v>
      </c>
      <c r="L565" s="95">
        <v>0.123</v>
      </c>
      <c r="M565" s="98">
        <f t="shared" si="104"/>
        <v>0.123</v>
      </c>
      <c r="N565" s="98">
        <v>100</v>
      </c>
      <c r="O565" s="95">
        <v>10</v>
      </c>
      <c r="P565" s="98">
        <f t="shared" si="114"/>
        <v>1.23E-2</v>
      </c>
      <c r="Q565" s="99">
        <f>IFERROR(VLOOKUP(I565,'Raw material list'!$A$3:$F$695,6,0),"")</f>
        <v>3.5000000000000003E-2</v>
      </c>
      <c r="R565" s="100">
        <f t="shared" si="117"/>
        <v>4.3050000000000006E-4</v>
      </c>
      <c r="S565" s="94">
        <f t="shared" si="115"/>
        <v>4.305000000000001E-5</v>
      </c>
      <c r="T565" s="94">
        <f t="shared" si="116"/>
        <v>4.7355000000000005E-4</v>
      </c>
      <c r="U565" s="93">
        <f t="shared" si="105"/>
        <v>4.735500000000001E-5</v>
      </c>
      <c r="V565" s="93">
        <f t="shared" si="106"/>
        <v>4.7355000000000007E-6</v>
      </c>
      <c r="W565" s="93">
        <f t="shared" si="107"/>
        <v>4.7355000000000007E-6</v>
      </c>
      <c r="X565" s="93">
        <f t="shared" si="103"/>
        <v>5.3037600000000015E-4</v>
      </c>
      <c r="Y565" s="122"/>
    </row>
    <row r="566" spans="1:25" s="90" customFormat="1">
      <c r="A566" s="95" t="s">
        <v>1526</v>
      </c>
      <c r="B566" s="95" t="s">
        <v>1631</v>
      </c>
      <c r="C566" s="95" t="s">
        <v>1427</v>
      </c>
      <c r="D566" s="101" t="s">
        <v>1536</v>
      </c>
      <c r="E566" s="101" t="s">
        <v>1532</v>
      </c>
      <c r="F566" s="101" t="s">
        <v>1670</v>
      </c>
      <c r="G566" s="101" t="s">
        <v>1537</v>
      </c>
      <c r="H566" s="97" t="str">
        <f>IFERROR(VLOOKUP(I566,'Raw material list'!$A$3:$C$695,3,0),"")</f>
        <v>DRS1-1549</v>
      </c>
      <c r="I566" s="97" t="s">
        <v>252</v>
      </c>
      <c r="J566" s="101" t="s">
        <v>111</v>
      </c>
      <c r="K566" s="101" t="str">
        <f>IFERROR(VLOOKUP(I566,'Raw material list'!$A$3:$E$695,5,0),"")</f>
        <v xml:space="preserve">Gram </v>
      </c>
      <c r="L566" s="95">
        <v>0.307</v>
      </c>
      <c r="M566" s="98">
        <f t="shared" si="104"/>
        <v>0.307</v>
      </c>
      <c r="N566" s="98">
        <v>100</v>
      </c>
      <c r="O566" s="95">
        <v>10</v>
      </c>
      <c r="P566" s="98">
        <f t="shared" si="114"/>
        <v>3.0699999999999998E-2</v>
      </c>
      <c r="Q566" s="99">
        <f>IFERROR(VLOOKUP(I566,'Raw material list'!$A$3:$F$695,6,0),"")</f>
        <v>9.58E-3</v>
      </c>
      <c r="R566" s="100">
        <f t="shared" si="117"/>
        <v>2.9410599999999998E-4</v>
      </c>
      <c r="S566" s="94">
        <f t="shared" si="115"/>
        <v>2.9410599999999999E-5</v>
      </c>
      <c r="T566" s="94">
        <f t="shared" si="116"/>
        <v>3.2351659999999997E-4</v>
      </c>
      <c r="U566" s="93">
        <f t="shared" si="105"/>
        <v>3.2351660000000001E-5</v>
      </c>
      <c r="V566" s="93">
        <f t="shared" si="106"/>
        <v>3.2351659999999999E-6</v>
      </c>
      <c r="W566" s="93">
        <f t="shared" si="107"/>
        <v>3.2351659999999999E-6</v>
      </c>
      <c r="X566" s="93">
        <f t="shared" si="103"/>
        <v>3.6233859199999999E-4</v>
      </c>
      <c r="Y566" s="122"/>
    </row>
    <row r="567" spans="1:25" s="90" customFormat="1">
      <c r="A567" s="95" t="s">
        <v>1526</v>
      </c>
      <c r="B567" s="95" t="s">
        <v>1631</v>
      </c>
      <c r="C567" s="95" t="s">
        <v>1427</v>
      </c>
      <c r="D567" s="101" t="s">
        <v>1536</v>
      </c>
      <c r="E567" s="101" t="s">
        <v>1532</v>
      </c>
      <c r="F567" s="101" t="s">
        <v>1670</v>
      </c>
      <c r="G567" s="101" t="s">
        <v>1537</v>
      </c>
      <c r="H567" s="97" t="str">
        <f>IFERROR(VLOOKUP(I567,'Raw material list'!$A$3:$C$695,3,0),"")</f>
        <v>WAT-001</v>
      </c>
      <c r="I567" s="97" t="s">
        <v>1406</v>
      </c>
      <c r="J567" s="101" t="s">
        <v>161</v>
      </c>
      <c r="K567" s="101" t="str">
        <f>IFERROR(VLOOKUP(I567,'Raw material list'!$A$3:$E$695,5,0),"")</f>
        <v>Ml</v>
      </c>
      <c r="L567" s="95">
        <v>6.1529999999999996</v>
      </c>
      <c r="M567" s="98">
        <f t="shared" si="104"/>
        <v>6.1529999999999996</v>
      </c>
      <c r="N567" s="98">
        <v>100</v>
      </c>
      <c r="O567" s="95">
        <v>10</v>
      </c>
      <c r="P567" s="98">
        <f t="shared" si="114"/>
        <v>0.61529999999999996</v>
      </c>
      <c r="Q567" s="99">
        <f>IFERROR(VLOOKUP(I567,'Raw material list'!$A$3:$F$695,6,0),"")</f>
        <v>8.0000000000000007E-5</v>
      </c>
      <c r="R567" s="100">
        <f t="shared" si="117"/>
        <v>4.9224000000000002E-5</v>
      </c>
      <c r="S567" s="94">
        <f t="shared" si="115"/>
        <v>4.9224000000000005E-6</v>
      </c>
      <c r="T567" s="94">
        <f t="shared" si="116"/>
        <v>5.4146400000000001E-5</v>
      </c>
      <c r="U567" s="93">
        <f t="shared" si="105"/>
        <v>5.4146400000000001E-6</v>
      </c>
      <c r="V567" s="93">
        <f t="shared" si="106"/>
        <v>5.4146399999999998E-7</v>
      </c>
      <c r="W567" s="93">
        <f t="shared" si="107"/>
        <v>5.4146399999999998E-7</v>
      </c>
      <c r="X567" s="93">
        <f t="shared" si="103"/>
        <v>6.0643968000000003E-5</v>
      </c>
      <c r="Y567" s="122"/>
    </row>
    <row r="568" spans="1:25" s="90" customFormat="1">
      <c r="A568" s="95" t="s">
        <v>1526</v>
      </c>
      <c r="B568" s="95" t="s">
        <v>1631</v>
      </c>
      <c r="C568" s="95" t="s">
        <v>1427</v>
      </c>
      <c r="D568" s="101" t="s">
        <v>1536</v>
      </c>
      <c r="E568" s="101" t="s">
        <v>1532</v>
      </c>
      <c r="F568" s="101" t="s">
        <v>1670</v>
      </c>
      <c r="G568" s="101" t="s">
        <v>1538</v>
      </c>
      <c r="H568" s="97" t="str">
        <f>IFERROR(VLOOKUP(I568,'Raw material list'!$A$3:$C$695,3,0),"")</f>
        <v>DRS1-1652</v>
      </c>
      <c r="I568" s="97" t="s">
        <v>1425</v>
      </c>
      <c r="J568" s="101" t="s">
        <v>111</v>
      </c>
      <c r="K568" s="101" t="str">
        <f>IFERROR(VLOOKUP(I568,'Raw material list'!$A$3:$E$695,5,0),"")</f>
        <v xml:space="preserve">Gram </v>
      </c>
      <c r="L568" s="95">
        <v>92.3</v>
      </c>
      <c r="M568" s="98">
        <f t="shared" si="104"/>
        <v>92.3</v>
      </c>
      <c r="N568" s="98">
        <v>100</v>
      </c>
      <c r="O568" s="95">
        <v>10</v>
      </c>
      <c r="P568" s="98">
        <f t="shared" si="114"/>
        <v>9.23</v>
      </c>
      <c r="Q568" s="99">
        <f>IFERROR(VLOOKUP(I568,'Raw material list'!$A$3:$F$695,6,0),"")</f>
        <v>1.2800000000000001E-2</v>
      </c>
      <c r="R568" s="100">
        <f t="shared" si="117"/>
        <v>0.11814400000000001</v>
      </c>
      <c r="S568" s="94">
        <f t="shared" si="115"/>
        <v>1.1814400000000003E-2</v>
      </c>
      <c r="T568" s="94">
        <f t="shared" si="116"/>
        <v>0.12995840000000003</v>
      </c>
      <c r="U568" s="93">
        <f t="shared" si="105"/>
        <v>1.2995840000000003E-2</v>
      </c>
      <c r="V568" s="93">
        <f t="shared" si="106"/>
        <v>1.2995840000000003E-3</v>
      </c>
      <c r="W568" s="93">
        <f t="shared" si="107"/>
        <v>1.2995840000000003E-3</v>
      </c>
      <c r="X568" s="93">
        <f t="shared" si="103"/>
        <v>0.14555340800000002</v>
      </c>
      <c r="Y568" s="122"/>
    </row>
    <row r="569" spans="1:25" s="90" customFormat="1">
      <c r="A569" s="95" t="s">
        <v>1527</v>
      </c>
      <c r="B569" s="95" t="s">
        <v>1668</v>
      </c>
      <c r="C569" s="95" t="s">
        <v>1427</v>
      </c>
      <c r="D569" s="101" t="s">
        <v>1539</v>
      </c>
      <c r="E569" s="101" t="s">
        <v>1532</v>
      </c>
      <c r="F569" s="101" t="s">
        <v>1671</v>
      </c>
      <c r="G569" s="101" t="s">
        <v>1591</v>
      </c>
      <c r="H569" s="97" t="str">
        <f>IFERROR(VLOOKUP(I569,'Raw material list'!$A$3:$C$695,3,0),"")</f>
        <v>PLT2-3278</v>
      </c>
      <c r="I569" s="97" t="s">
        <v>61</v>
      </c>
      <c r="J569" s="101" t="s">
        <v>111</v>
      </c>
      <c r="K569" s="101" t="str">
        <f>IFERROR(VLOOKUP(I569,'Raw material list'!$A$3:$E$695,5,0),"")</f>
        <v xml:space="preserve">Gram </v>
      </c>
      <c r="L569" s="95">
        <v>1400</v>
      </c>
      <c r="M569" s="98">
        <f t="shared" si="104"/>
        <v>1837.2703412073492</v>
      </c>
      <c r="N569" s="98">
        <v>76.2</v>
      </c>
      <c r="O569" s="95">
        <v>10</v>
      </c>
      <c r="P569" s="98">
        <f t="shared" si="114"/>
        <v>140</v>
      </c>
      <c r="Q569" s="99">
        <f>IFERROR(VLOOKUP(I569,'Raw material list'!$A$3:$F$695,6,0),"")</f>
        <v>3.035714285714285E-2</v>
      </c>
      <c r="R569" s="100">
        <f t="shared" si="117"/>
        <v>4.2499999999999991</v>
      </c>
      <c r="S569" s="94">
        <f t="shared" si="115"/>
        <v>0.42499999999999993</v>
      </c>
      <c r="T569" s="94">
        <f t="shared" si="116"/>
        <v>4.6749999999999989</v>
      </c>
      <c r="U569" s="93">
        <f t="shared" si="105"/>
        <v>0.46749999999999992</v>
      </c>
      <c r="V569" s="93">
        <f t="shared" si="106"/>
        <v>4.6749999999999993E-2</v>
      </c>
      <c r="W569" s="93">
        <f t="shared" si="107"/>
        <v>4.6749999999999993E-2</v>
      </c>
      <c r="X569" s="93">
        <f t="shared" si="103"/>
        <v>5.2359999999999998</v>
      </c>
      <c r="Y569" s="127" t="s">
        <v>1674</v>
      </c>
    </row>
    <row r="570" spans="1:25" s="90" customFormat="1">
      <c r="A570" s="95" t="s">
        <v>1527</v>
      </c>
      <c r="B570" s="95" t="s">
        <v>1668</v>
      </c>
      <c r="C570" s="95" t="s">
        <v>1427</v>
      </c>
      <c r="D570" s="101" t="s">
        <v>1539</v>
      </c>
      <c r="E570" s="101"/>
      <c r="F570" s="101" t="s">
        <v>1671</v>
      </c>
      <c r="G570" s="101" t="s">
        <v>1591</v>
      </c>
      <c r="H570" s="97" t="str">
        <f>IFERROR(VLOOKUP(I570,'Raw material list'!$A$3:$C$695,3,0),"")</f>
        <v>DRS6-1727</v>
      </c>
      <c r="I570" s="97" t="s">
        <v>41</v>
      </c>
      <c r="J570" s="101" t="s">
        <v>111</v>
      </c>
      <c r="K570" s="101" t="str">
        <f>IFERROR(VLOOKUP(I570,'Raw material list'!$A$3:$E$695,5,0),"")</f>
        <v xml:space="preserve">Gram </v>
      </c>
      <c r="L570" s="95">
        <v>12</v>
      </c>
      <c r="M570" s="98">
        <f t="shared" si="104"/>
        <v>12</v>
      </c>
      <c r="N570" s="98">
        <v>100</v>
      </c>
      <c r="O570" s="95">
        <v>10</v>
      </c>
      <c r="P570" s="98">
        <f t="shared" ref="P570:P573" si="118">IFERROR(L570/O570,0)</f>
        <v>1.2</v>
      </c>
      <c r="Q570" s="99">
        <f>IFERROR(VLOOKUP(I570,'Raw material list'!$A$3:$F$695,6,0),"")</f>
        <v>2.5000000000000001E-2</v>
      </c>
      <c r="R570" s="100">
        <f t="shared" ref="R570:R573" si="119">IFERROR(Q570*P570,0)</f>
        <v>0.03</v>
      </c>
      <c r="S570" s="94">
        <f t="shared" ref="S570:S573" si="120">R570*10%</f>
        <v>3.0000000000000001E-3</v>
      </c>
      <c r="T570" s="94">
        <f t="shared" ref="T570:T573" si="121">R570+S570</f>
        <v>3.3000000000000002E-2</v>
      </c>
      <c r="U570" s="93">
        <f t="shared" si="105"/>
        <v>3.3000000000000004E-3</v>
      </c>
      <c r="V570" s="93">
        <f t="shared" si="106"/>
        <v>3.3E-4</v>
      </c>
      <c r="W570" s="93">
        <f t="shared" si="107"/>
        <v>3.3E-4</v>
      </c>
      <c r="X570" s="93"/>
      <c r="Y570" s="127"/>
    </row>
    <row r="571" spans="1:25" s="90" customFormat="1">
      <c r="A571" s="95" t="s">
        <v>1527</v>
      </c>
      <c r="B571" s="95" t="s">
        <v>1668</v>
      </c>
      <c r="C571" s="95" t="s">
        <v>1427</v>
      </c>
      <c r="D571" s="101" t="s">
        <v>1539</v>
      </c>
      <c r="E571" s="101"/>
      <c r="F571" s="101" t="s">
        <v>1671</v>
      </c>
      <c r="G571" s="101" t="s">
        <v>1591</v>
      </c>
      <c r="H571" s="97" t="str">
        <f>IFERROR(VLOOKUP(I571,'Raw material list'!$A$3:$C$695,3,0),"")</f>
        <v>DRS6-5088</v>
      </c>
      <c r="I571" s="97" t="s">
        <v>668</v>
      </c>
      <c r="J571" s="101" t="s">
        <v>111</v>
      </c>
      <c r="K571" s="101" t="str">
        <f>IFERROR(VLOOKUP(I571,'Raw material list'!$A$3:$E$695,5,0),"")</f>
        <v xml:space="preserve">Gram </v>
      </c>
      <c r="L571" s="95">
        <v>12</v>
      </c>
      <c r="M571" s="98">
        <f t="shared" si="104"/>
        <v>12</v>
      </c>
      <c r="N571" s="98">
        <v>100</v>
      </c>
      <c r="O571" s="95">
        <v>10</v>
      </c>
      <c r="P571" s="98">
        <f t="shared" si="118"/>
        <v>1.2</v>
      </c>
      <c r="Q571" s="99">
        <f>IFERROR(VLOOKUP(I571,'Raw material list'!$A$3:$F$695,6,0),"")</f>
        <v>0.08</v>
      </c>
      <c r="R571" s="100">
        <f t="shared" si="119"/>
        <v>9.6000000000000002E-2</v>
      </c>
      <c r="S571" s="94">
        <f t="shared" si="120"/>
        <v>9.6000000000000009E-3</v>
      </c>
      <c r="T571" s="94">
        <f t="shared" si="121"/>
        <v>0.1056</v>
      </c>
      <c r="U571" s="93">
        <f t="shared" si="105"/>
        <v>1.056E-2</v>
      </c>
      <c r="V571" s="93">
        <f t="shared" si="106"/>
        <v>1.0560000000000001E-3</v>
      </c>
      <c r="W571" s="93">
        <f t="shared" si="107"/>
        <v>1.0560000000000001E-3</v>
      </c>
      <c r="X571" s="93"/>
      <c r="Y571" s="127"/>
    </row>
    <row r="572" spans="1:25" s="90" customFormat="1">
      <c r="A572" s="95" t="s">
        <v>1527</v>
      </c>
      <c r="B572" s="95" t="s">
        <v>1668</v>
      </c>
      <c r="C572" s="95" t="s">
        <v>1427</v>
      </c>
      <c r="D572" s="101" t="s">
        <v>1539</v>
      </c>
      <c r="E572" s="101"/>
      <c r="F572" s="101" t="s">
        <v>1671</v>
      </c>
      <c r="G572" s="101" t="s">
        <v>1591</v>
      </c>
      <c r="H572" s="97" t="str">
        <f>IFERROR(VLOOKUP(I572,'Raw material list'!$A$3:$C$695,3,0),"")</f>
        <v>DRS6-5376</v>
      </c>
      <c r="I572" s="97" t="s">
        <v>55</v>
      </c>
      <c r="J572" s="101" t="s">
        <v>111</v>
      </c>
      <c r="K572" s="101" t="str">
        <f>IFERROR(VLOOKUP(I572,'Raw material list'!$A$3:$E$695,5,0),"")</f>
        <v xml:space="preserve">Gram </v>
      </c>
      <c r="L572" s="95">
        <v>3</v>
      </c>
      <c r="M572" s="98">
        <f t="shared" si="104"/>
        <v>3</v>
      </c>
      <c r="N572" s="98">
        <v>100</v>
      </c>
      <c r="O572" s="95">
        <v>10</v>
      </c>
      <c r="P572" s="98">
        <f t="shared" si="118"/>
        <v>0.3</v>
      </c>
      <c r="Q572" s="99">
        <f>IFERROR(VLOOKUP(I572,'Raw material list'!$A$3:$F$695,6,0),"")</f>
        <v>2.8000000000000001E-2</v>
      </c>
      <c r="R572" s="100">
        <f t="shared" si="119"/>
        <v>8.3999999999999995E-3</v>
      </c>
      <c r="S572" s="94">
        <f t="shared" si="120"/>
        <v>8.4000000000000003E-4</v>
      </c>
      <c r="T572" s="94">
        <f t="shared" si="121"/>
        <v>9.2399999999999999E-3</v>
      </c>
      <c r="U572" s="93">
        <f t="shared" si="105"/>
        <v>9.2400000000000002E-4</v>
      </c>
      <c r="V572" s="93">
        <f t="shared" si="106"/>
        <v>9.2399999999999996E-5</v>
      </c>
      <c r="W572" s="93">
        <f t="shared" si="107"/>
        <v>9.2399999999999996E-5</v>
      </c>
      <c r="X572" s="93"/>
      <c r="Y572" s="127"/>
    </row>
    <row r="573" spans="1:25" s="90" customFormat="1">
      <c r="A573" s="95" t="s">
        <v>1527</v>
      </c>
      <c r="B573" s="95" t="s">
        <v>1668</v>
      </c>
      <c r="C573" s="95" t="s">
        <v>1427</v>
      </c>
      <c r="D573" s="101" t="s">
        <v>1539</v>
      </c>
      <c r="E573" s="101"/>
      <c r="F573" s="101" t="s">
        <v>1671</v>
      </c>
      <c r="G573" s="101" t="s">
        <v>1591</v>
      </c>
      <c r="H573" s="97" t="str">
        <f>IFERROR(VLOOKUP(I573,'Raw material list'!$A$3:$C$695,3,0),"")</f>
        <v>WAT-001</v>
      </c>
      <c r="I573" s="97" t="s">
        <v>1406</v>
      </c>
      <c r="J573" s="101" t="s">
        <v>161</v>
      </c>
      <c r="K573" s="101" t="str">
        <f>IFERROR(VLOOKUP(I573,'Raw material list'!$A$3:$E$695,5,0),"")</f>
        <v>Ml</v>
      </c>
      <c r="L573" s="95">
        <v>120</v>
      </c>
      <c r="M573" s="98">
        <f t="shared" si="104"/>
        <v>120</v>
      </c>
      <c r="N573" s="98">
        <v>100</v>
      </c>
      <c r="O573" s="95">
        <v>10</v>
      </c>
      <c r="P573" s="98">
        <f t="shared" si="118"/>
        <v>12</v>
      </c>
      <c r="Q573" s="99">
        <f>IFERROR(VLOOKUP(I573,'Raw material list'!$A$3:$F$695,6,0),"")</f>
        <v>8.0000000000000007E-5</v>
      </c>
      <c r="R573" s="100">
        <f t="shared" si="119"/>
        <v>9.6000000000000013E-4</v>
      </c>
      <c r="S573" s="94">
        <f t="shared" si="120"/>
        <v>9.6000000000000016E-5</v>
      </c>
      <c r="T573" s="94">
        <f t="shared" si="121"/>
        <v>1.0560000000000001E-3</v>
      </c>
      <c r="U573" s="93">
        <f t="shared" si="105"/>
        <v>1.0560000000000002E-4</v>
      </c>
      <c r="V573" s="93">
        <f t="shared" si="106"/>
        <v>1.0560000000000001E-5</v>
      </c>
      <c r="W573" s="93">
        <f t="shared" si="107"/>
        <v>1.0560000000000001E-5</v>
      </c>
      <c r="X573" s="93"/>
      <c r="Y573" s="127"/>
    </row>
    <row r="574" spans="1:25" s="90" customFormat="1">
      <c r="A574" s="95" t="s">
        <v>1527</v>
      </c>
      <c r="B574" s="95" t="s">
        <v>1668</v>
      </c>
      <c r="C574" s="95" t="s">
        <v>1427</v>
      </c>
      <c r="D574" s="101" t="s">
        <v>1539</v>
      </c>
      <c r="E574" s="101" t="s">
        <v>1532</v>
      </c>
      <c r="F574" s="101" t="s">
        <v>1670</v>
      </c>
      <c r="G574" s="101" t="s">
        <v>1445</v>
      </c>
      <c r="H574" s="97" t="str">
        <f>IFERROR(VLOOKUP(I574,'Raw material list'!$A$3:$C$695,3,0),"")</f>
        <v>PRD1-199</v>
      </c>
      <c r="I574" s="97" t="s">
        <v>998</v>
      </c>
      <c r="J574" s="101" t="s">
        <v>111</v>
      </c>
      <c r="K574" s="101" t="str">
        <f>IFERROR(VLOOKUP(I574,'Raw material list'!$A$3:$E$695,5,0),"")</f>
        <v xml:space="preserve">Gram </v>
      </c>
      <c r="L574" s="95">
        <v>10</v>
      </c>
      <c r="M574" s="98">
        <f t="shared" si="104"/>
        <v>28.571428571428569</v>
      </c>
      <c r="N574" s="98">
        <v>35</v>
      </c>
      <c r="O574" s="95">
        <v>10</v>
      </c>
      <c r="P574" s="98">
        <f t="shared" si="114"/>
        <v>1</v>
      </c>
      <c r="Q574" s="99">
        <f>IFERROR(VLOOKUP(I574,'Raw material list'!$A$3:$F$695,6,0),"")</f>
        <v>1.142857142857143E-2</v>
      </c>
      <c r="R574" s="100">
        <f t="shared" si="117"/>
        <v>1.142857142857143E-2</v>
      </c>
      <c r="S574" s="94">
        <f t="shared" si="115"/>
        <v>1.1428571428571432E-3</v>
      </c>
      <c r="T574" s="94">
        <f t="shared" si="116"/>
        <v>1.2571428571428574E-2</v>
      </c>
      <c r="U574" s="93">
        <f t="shared" si="105"/>
        <v>1.2571428571428575E-3</v>
      </c>
      <c r="V574" s="93">
        <f t="shared" si="106"/>
        <v>1.2571428571428575E-4</v>
      </c>
      <c r="W574" s="93">
        <f t="shared" si="107"/>
        <v>1.2571428571428575E-4</v>
      </c>
      <c r="X574" s="93">
        <f t="shared" si="103"/>
        <v>1.4080000000000004E-2</v>
      </c>
      <c r="Y574" s="117"/>
    </row>
    <row r="575" spans="1:25" s="90" customFormat="1">
      <c r="A575" s="95" t="s">
        <v>1527</v>
      </c>
      <c r="B575" s="95" t="s">
        <v>1668</v>
      </c>
      <c r="C575" s="95" t="s">
        <v>1427</v>
      </c>
      <c r="D575" s="101" t="s">
        <v>1539</v>
      </c>
      <c r="E575" s="101" t="s">
        <v>1532</v>
      </c>
      <c r="F575" s="101" t="s">
        <v>1670</v>
      </c>
      <c r="G575" s="101" t="s">
        <v>1445</v>
      </c>
      <c r="H575" s="97" t="str">
        <f>IFERROR(VLOOKUP(I575,'Raw material list'!$A$3:$C$695,3,0),"")</f>
        <v>PRD1-194</v>
      </c>
      <c r="I575" s="97" t="s">
        <v>991</v>
      </c>
      <c r="J575" s="101" t="s">
        <v>111</v>
      </c>
      <c r="K575" s="101" t="str">
        <f>IFERROR(VLOOKUP(I575,'Raw material list'!$A$3:$E$695,5,0),"")</f>
        <v xml:space="preserve">Gram </v>
      </c>
      <c r="L575" s="95">
        <v>10</v>
      </c>
      <c r="M575" s="98">
        <f t="shared" si="104"/>
        <v>10.869565217391305</v>
      </c>
      <c r="N575" s="133">
        <v>92</v>
      </c>
      <c r="O575" s="95">
        <v>10</v>
      </c>
      <c r="P575" s="98">
        <f t="shared" si="114"/>
        <v>1</v>
      </c>
      <c r="Q575" s="99">
        <f>IFERROR(VLOOKUP(I575,'Raw material list'!$A$3:$F$695,6,0),"")</f>
        <v>0.11</v>
      </c>
      <c r="R575" s="100">
        <f t="shared" si="117"/>
        <v>0.11</v>
      </c>
      <c r="S575" s="94">
        <f t="shared" si="115"/>
        <v>1.1000000000000001E-2</v>
      </c>
      <c r="T575" s="94">
        <f t="shared" si="116"/>
        <v>0.121</v>
      </c>
      <c r="U575" s="93">
        <f t="shared" si="105"/>
        <v>1.21E-2</v>
      </c>
      <c r="V575" s="93">
        <f t="shared" si="106"/>
        <v>1.2099999999999999E-3</v>
      </c>
      <c r="W575" s="93">
        <f t="shared" si="107"/>
        <v>1.2099999999999999E-3</v>
      </c>
      <c r="X575" s="93">
        <f t="shared" si="103"/>
        <v>0.13551999999999997</v>
      </c>
      <c r="Y575" s="117"/>
    </row>
    <row r="576" spans="1:25" s="90" customFormat="1">
      <c r="A576" s="95" t="s">
        <v>1527</v>
      </c>
      <c r="B576" s="95" t="s">
        <v>1668</v>
      </c>
      <c r="C576" s="95" t="s">
        <v>1427</v>
      </c>
      <c r="D576" s="101" t="s">
        <v>1539</v>
      </c>
      <c r="E576" s="101" t="s">
        <v>1532</v>
      </c>
      <c r="F576" s="101" t="s">
        <v>1670</v>
      </c>
      <c r="G576" s="101" t="s">
        <v>1442</v>
      </c>
      <c r="H576" s="97" t="str">
        <f>IFERROR(VLOOKUP(I576,'Raw material list'!$A$3:$C$695,3,0),"")</f>
        <v>DRY2-1008</v>
      </c>
      <c r="I576" s="97" t="s">
        <v>21</v>
      </c>
      <c r="J576" s="101" t="s">
        <v>111</v>
      </c>
      <c r="K576" s="101" t="str">
        <f>IFERROR(VLOOKUP(I576,'Raw material list'!$A$3:$E$695,5,0),"")</f>
        <v xml:space="preserve">Gram </v>
      </c>
      <c r="L576" s="95">
        <v>58.47</v>
      </c>
      <c r="M576" s="98">
        <f t="shared" si="104"/>
        <v>58.47</v>
      </c>
      <c r="N576" s="98">
        <v>100</v>
      </c>
      <c r="O576" s="95">
        <v>10</v>
      </c>
      <c r="P576" s="98">
        <f t="shared" si="114"/>
        <v>5.8469999999999995</v>
      </c>
      <c r="Q576" s="99">
        <f>IFERROR(VLOOKUP(I576,'Raw material list'!$A$3:$F$695,6,0),"")</f>
        <v>3.7999999999999999E-2</v>
      </c>
      <c r="R576" s="100">
        <f t="shared" si="117"/>
        <v>0.22218599999999997</v>
      </c>
      <c r="S576" s="94">
        <f t="shared" si="115"/>
        <v>2.2218599999999998E-2</v>
      </c>
      <c r="T576" s="94">
        <f t="shared" si="116"/>
        <v>0.24440459999999997</v>
      </c>
      <c r="U576" s="93">
        <f t="shared" si="105"/>
        <v>2.4440459999999997E-2</v>
      </c>
      <c r="V576" s="93">
        <f t="shared" si="106"/>
        <v>2.4440459999999996E-3</v>
      </c>
      <c r="W576" s="93">
        <f t="shared" si="107"/>
        <v>2.4440459999999996E-3</v>
      </c>
      <c r="X576" s="93">
        <f t="shared" si="103"/>
        <v>0.27373315199999992</v>
      </c>
      <c r="Y576" s="117"/>
    </row>
    <row r="577" spans="1:25" s="90" customFormat="1">
      <c r="A577" s="95" t="s">
        <v>1527</v>
      </c>
      <c r="B577" s="95" t="s">
        <v>1668</v>
      </c>
      <c r="C577" s="95" t="s">
        <v>1427</v>
      </c>
      <c r="D577" s="101" t="s">
        <v>1539</v>
      </c>
      <c r="E577" s="101" t="s">
        <v>1532</v>
      </c>
      <c r="F577" s="101" t="s">
        <v>1670</v>
      </c>
      <c r="G577" s="101" t="s">
        <v>1442</v>
      </c>
      <c r="H577" s="97" t="str">
        <f>IFERROR(VLOOKUP(I577,'Raw material list'!$A$3:$C$695,3,0),"")</f>
        <v>PRD1-4327</v>
      </c>
      <c r="I577" s="97" t="s">
        <v>11</v>
      </c>
      <c r="J577" s="101" t="s">
        <v>111</v>
      </c>
      <c r="K577" s="101" t="str">
        <f>IFERROR(VLOOKUP(I577,'Raw material list'!$A$3:$E$695,5,0),"")</f>
        <v xml:space="preserve">Gram </v>
      </c>
      <c r="L577" s="95">
        <v>10</v>
      </c>
      <c r="M577" s="98">
        <f t="shared" si="104"/>
        <v>12.5</v>
      </c>
      <c r="N577" s="133">
        <v>80</v>
      </c>
      <c r="O577" s="95">
        <v>10</v>
      </c>
      <c r="P577" s="98">
        <f t="shared" si="114"/>
        <v>1</v>
      </c>
      <c r="Q577" s="99">
        <f>IFERROR(VLOOKUP(I577,'Raw material list'!$A$3:$F$695,6,0),"")</f>
        <v>1.2999999999999999E-2</v>
      </c>
      <c r="R577" s="100">
        <f t="shared" si="117"/>
        <v>1.2999999999999999E-2</v>
      </c>
      <c r="S577" s="94">
        <f t="shared" si="115"/>
        <v>1.2999999999999999E-3</v>
      </c>
      <c r="T577" s="94">
        <f t="shared" si="116"/>
        <v>1.43E-2</v>
      </c>
      <c r="U577" s="93">
        <f t="shared" si="105"/>
        <v>1.4300000000000001E-3</v>
      </c>
      <c r="V577" s="93">
        <f t="shared" si="106"/>
        <v>1.4300000000000001E-4</v>
      </c>
      <c r="W577" s="93">
        <f t="shared" si="107"/>
        <v>1.4300000000000001E-4</v>
      </c>
      <c r="X577" s="93">
        <f t="shared" si="103"/>
        <v>1.6016000000000002E-2</v>
      </c>
      <c r="Y577" s="117"/>
    </row>
    <row r="578" spans="1:25" s="90" customFormat="1">
      <c r="A578" s="95" t="s">
        <v>1527</v>
      </c>
      <c r="B578" s="95" t="s">
        <v>1668</v>
      </c>
      <c r="C578" s="95" t="s">
        <v>1427</v>
      </c>
      <c r="D578" s="101" t="s">
        <v>1539</v>
      </c>
      <c r="E578" s="101" t="s">
        <v>1532</v>
      </c>
      <c r="F578" s="101" t="s">
        <v>1670</v>
      </c>
      <c r="G578" s="101" t="s">
        <v>1442</v>
      </c>
      <c r="H578" s="97" t="str">
        <f>IFERROR(VLOOKUP(I578,'Raw material list'!$A$3:$C$695,3,0),"")</f>
        <v>PRD1-4265</v>
      </c>
      <c r="I578" s="97" t="s">
        <v>10</v>
      </c>
      <c r="J578" s="101" t="s">
        <v>111</v>
      </c>
      <c r="K578" s="101" t="str">
        <f>IFERROR(VLOOKUP(I578,'Raw material list'!$A$3:$E$695,5,0),"")</f>
        <v xml:space="preserve">Gram </v>
      </c>
      <c r="L578" s="95">
        <v>116.95</v>
      </c>
      <c r="M578" s="98">
        <f t="shared" si="104"/>
        <v>137.58823529411765</v>
      </c>
      <c r="N578" s="98">
        <v>85</v>
      </c>
      <c r="O578" s="95">
        <v>10</v>
      </c>
      <c r="P578" s="98">
        <f t="shared" si="114"/>
        <v>11.695</v>
      </c>
      <c r="Q578" s="99">
        <f>IFERROR(VLOOKUP(I578,'Raw material list'!$A$3:$F$695,6,0),"")</f>
        <v>3.529411764705882E-3</v>
      </c>
      <c r="R578" s="100">
        <f t="shared" si="117"/>
        <v>4.1276470588235289E-2</v>
      </c>
      <c r="S578" s="94">
        <f t="shared" si="115"/>
        <v>4.1276470588235293E-3</v>
      </c>
      <c r="T578" s="94">
        <f t="shared" si="116"/>
        <v>4.5404117647058817E-2</v>
      </c>
      <c r="U578" s="93">
        <f t="shared" si="105"/>
        <v>4.5404117647058822E-3</v>
      </c>
      <c r="V578" s="93">
        <f t="shared" si="106"/>
        <v>4.5404117647058817E-4</v>
      </c>
      <c r="W578" s="93">
        <f t="shared" si="107"/>
        <v>4.5404117647058817E-4</v>
      </c>
      <c r="X578" s="93">
        <f t="shared" si="103"/>
        <v>5.0852611764705881E-2</v>
      </c>
      <c r="Y578" s="117"/>
    </row>
    <row r="579" spans="1:25" s="90" customFormat="1">
      <c r="A579" s="95" t="s">
        <v>1527</v>
      </c>
      <c r="B579" s="95" t="s">
        <v>1668</v>
      </c>
      <c r="C579" s="95" t="s">
        <v>1427</v>
      </c>
      <c r="D579" s="101" t="s">
        <v>1539</v>
      </c>
      <c r="E579" s="101" t="s">
        <v>1532</v>
      </c>
      <c r="F579" s="101" t="s">
        <v>1670</v>
      </c>
      <c r="G579" s="101" t="s">
        <v>1442</v>
      </c>
      <c r="H579" s="97" t="str">
        <f>IFERROR(VLOOKUP(I579,'Raw material list'!$A$3:$C$695,3,0),"")</f>
        <v>DRS6-261</v>
      </c>
      <c r="I579" s="97" t="s">
        <v>1565</v>
      </c>
      <c r="J579" s="101" t="s">
        <v>111</v>
      </c>
      <c r="K579" s="101" t="str">
        <f>IFERROR(VLOOKUP(I579,'Raw material list'!$A$3:$E$695,5,0),"")</f>
        <v xml:space="preserve">Gram </v>
      </c>
      <c r="L579" s="95">
        <v>14.61</v>
      </c>
      <c r="M579" s="98">
        <f t="shared" si="104"/>
        <v>14.610000000000001</v>
      </c>
      <c r="N579" s="98">
        <v>100</v>
      </c>
      <c r="O579" s="95">
        <v>10</v>
      </c>
      <c r="P579" s="98">
        <f t="shared" si="114"/>
        <v>1.4609999999999999</v>
      </c>
      <c r="Q579" s="99">
        <f>IFERROR(VLOOKUP(I579,'Raw material list'!$A$3:$F$695,6,0),"")</f>
        <v>1.4E-2</v>
      </c>
      <c r="R579" s="100">
        <f t="shared" si="117"/>
        <v>2.0454E-2</v>
      </c>
      <c r="S579" s="94">
        <f t="shared" si="115"/>
        <v>2.0454000000000002E-3</v>
      </c>
      <c r="T579" s="94">
        <f t="shared" si="116"/>
        <v>2.2499399999999999E-2</v>
      </c>
      <c r="U579" s="93">
        <f t="shared" si="105"/>
        <v>2.2499400000000002E-3</v>
      </c>
      <c r="V579" s="93">
        <f t="shared" si="106"/>
        <v>2.2499400000000001E-4</v>
      </c>
      <c r="W579" s="93">
        <f t="shared" si="107"/>
        <v>2.2499400000000001E-4</v>
      </c>
      <c r="X579" s="93">
        <f t="shared" si="103"/>
        <v>2.5199327999999997E-2</v>
      </c>
      <c r="Y579" s="117"/>
    </row>
    <row r="580" spans="1:25" s="90" customFormat="1">
      <c r="A580" s="95" t="s">
        <v>1527</v>
      </c>
      <c r="B580" s="95" t="s">
        <v>1668</v>
      </c>
      <c r="C580" s="95" t="s">
        <v>1427</v>
      </c>
      <c r="D580" s="101" t="s">
        <v>1539</v>
      </c>
      <c r="E580" s="101" t="s">
        <v>1532</v>
      </c>
      <c r="F580" s="101" t="s">
        <v>1670</v>
      </c>
      <c r="G580" s="101" t="s">
        <v>1442</v>
      </c>
      <c r="H580" s="97" t="str">
        <f>IFERROR(VLOOKUP(I580,'Raw material list'!$A$3:$C$695,3,0),"")</f>
        <v>DRS5-980</v>
      </c>
      <c r="I580" s="97" t="s">
        <v>410</v>
      </c>
      <c r="J580" s="101" t="s">
        <v>111</v>
      </c>
      <c r="K580" s="101" t="str">
        <f>IFERROR(VLOOKUP(I580,'Raw material list'!$A$3:$E$695,5,0),"")</f>
        <v xml:space="preserve">Gram </v>
      </c>
      <c r="L580" s="95">
        <v>23.39</v>
      </c>
      <c r="M580" s="98">
        <f t="shared" si="104"/>
        <v>23.39</v>
      </c>
      <c r="N580" s="98">
        <v>100</v>
      </c>
      <c r="O580" s="95">
        <v>10</v>
      </c>
      <c r="P580" s="98">
        <f t="shared" si="114"/>
        <v>2.339</v>
      </c>
      <c r="Q580" s="99">
        <f>IFERROR(VLOOKUP(I580,'Raw material list'!$A$3:$F$695,6,0),"")</f>
        <v>1E-3</v>
      </c>
      <c r="R580" s="100">
        <f t="shared" si="117"/>
        <v>2.3389999999999999E-3</v>
      </c>
      <c r="S580" s="94">
        <f t="shared" si="115"/>
        <v>2.3389999999999999E-4</v>
      </c>
      <c r="T580" s="94">
        <f t="shared" si="116"/>
        <v>2.5728999999999999E-3</v>
      </c>
      <c r="U580" s="93">
        <f t="shared" si="105"/>
        <v>2.5729000000000003E-4</v>
      </c>
      <c r="V580" s="93">
        <f t="shared" si="106"/>
        <v>2.5729E-5</v>
      </c>
      <c r="W580" s="93">
        <f t="shared" si="107"/>
        <v>2.5729E-5</v>
      </c>
      <c r="X580" s="93">
        <f t="shared" si="103"/>
        <v>2.8816479999999997E-3</v>
      </c>
      <c r="Y580" s="117"/>
    </row>
    <row r="581" spans="1:25" s="90" customFormat="1">
      <c r="A581" s="95" t="s">
        <v>1527</v>
      </c>
      <c r="B581" s="95" t="s">
        <v>1668</v>
      </c>
      <c r="C581" s="95" t="s">
        <v>1427</v>
      </c>
      <c r="D581" s="101" t="s">
        <v>1539</v>
      </c>
      <c r="E581" s="101" t="s">
        <v>1532</v>
      </c>
      <c r="F581" s="101" t="s">
        <v>1670</v>
      </c>
      <c r="G581" s="101" t="s">
        <v>1442</v>
      </c>
      <c r="H581" s="97" t="str">
        <f>IFERROR(VLOOKUP(I581,'Raw material list'!$A$3:$C$695,3,0),"")</f>
        <v>WAT-001</v>
      </c>
      <c r="I581" s="97" t="s">
        <v>1406</v>
      </c>
      <c r="J581" s="101" t="s">
        <v>161</v>
      </c>
      <c r="K581" s="101" t="str">
        <f>IFERROR(VLOOKUP(I581,'Raw material list'!$A$3:$E$695,5,0),"")</f>
        <v>Ml</v>
      </c>
      <c r="L581" s="95">
        <v>292.39</v>
      </c>
      <c r="M581" s="98">
        <f t="shared" si="104"/>
        <v>292.39</v>
      </c>
      <c r="N581" s="98">
        <v>100</v>
      </c>
      <c r="O581" s="95">
        <v>10</v>
      </c>
      <c r="P581" s="98">
        <f t="shared" si="114"/>
        <v>29.238999999999997</v>
      </c>
      <c r="Q581" s="99">
        <f>IFERROR(VLOOKUP(I581,'Raw material list'!$A$3:$F$695,6,0),"")</f>
        <v>8.0000000000000007E-5</v>
      </c>
      <c r="R581" s="100">
        <f t="shared" si="117"/>
        <v>2.3391200000000001E-3</v>
      </c>
      <c r="S581" s="94">
        <f t="shared" si="115"/>
        <v>2.3391200000000002E-4</v>
      </c>
      <c r="T581" s="94">
        <f t="shared" si="116"/>
        <v>2.5730320000000003E-3</v>
      </c>
      <c r="U581" s="93">
        <f t="shared" si="105"/>
        <v>2.5730320000000003E-4</v>
      </c>
      <c r="V581" s="93">
        <f t="shared" si="106"/>
        <v>2.5730320000000005E-5</v>
      </c>
      <c r="W581" s="93">
        <f t="shared" si="107"/>
        <v>2.5730320000000005E-5</v>
      </c>
      <c r="X581" s="93">
        <f t="shared" ref="X581:X642" si="122">T581+U581+V581+W581</f>
        <v>2.88179584E-3</v>
      </c>
      <c r="Y581" s="117"/>
    </row>
    <row r="582" spans="1:25" s="90" customFormat="1">
      <c r="A582" s="95" t="s">
        <v>1527</v>
      </c>
      <c r="B582" s="95" t="s">
        <v>1668</v>
      </c>
      <c r="C582" s="95" t="s">
        <v>1427</v>
      </c>
      <c r="D582" s="101" t="s">
        <v>1539</v>
      </c>
      <c r="E582" s="101" t="s">
        <v>1532</v>
      </c>
      <c r="F582" s="101" t="s">
        <v>1670</v>
      </c>
      <c r="G582" s="101" t="s">
        <v>1442</v>
      </c>
      <c r="H582" s="97" t="str">
        <f>IFERROR(VLOOKUP(I582,'Raw material list'!$A$3:$C$695,3,0),"")</f>
        <v>DRS1-1780</v>
      </c>
      <c r="I582" s="97" t="s">
        <v>235</v>
      </c>
      <c r="J582" s="101" t="s">
        <v>111</v>
      </c>
      <c r="K582" s="101" t="str">
        <f>IFERROR(VLOOKUP(I582,'Raw material list'!$A$3:$E$695,5,0),"")</f>
        <v xml:space="preserve">Gram </v>
      </c>
      <c r="L582" s="95">
        <v>29.23</v>
      </c>
      <c r="M582" s="98">
        <f t="shared" ref="M582:M645" si="123">L582/N582*100</f>
        <v>29.23</v>
      </c>
      <c r="N582" s="98">
        <v>100</v>
      </c>
      <c r="O582" s="95">
        <v>10</v>
      </c>
      <c r="P582" s="98">
        <f t="shared" si="114"/>
        <v>2.923</v>
      </c>
      <c r="Q582" s="99">
        <f>IFERROR(VLOOKUP(I582,'Raw material list'!$A$3:$F$695,6,0),"")</f>
        <v>0.04</v>
      </c>
      <c r="R582" s="100">
        <f t="shared" si="117"/>
        <v>0.11692000000000001</v>
      </c>
      <c r="S582" s="94">
        <f t="shared" si="115"/>
        <v>1.1692000000000001E-2</v>
      </c>
      <c r="T582" s="94">
        <f t="shared" si="116"/>
        <v>0.128612</v>
      </c>
      <c r="U582" s="93">
        <f t="shared" ref="U582:U645" si="124">T582*10%</f>
        <v>1.2861200000000001E-2</v>
      </c>
      <c r="V582" s="93">
        <f t="shared" ref="V582:V645" si="125">T582*1%</f>
        <v>1.28612E-3</v>
      </c>
      <c r="W582" s="93">
        <f t="shared" ref="W582:W645" si="126">T582*1%</f>
        <v>1.28612E-3</v>
      </c>
      <c r="X582" s="93">
        <f t="shared" si="122"/>
        <v>0.14404544</v>
      </c>
      <c r="Y582" s="117"/>
    </row>
    <row r="583" spans="1:25" s="90" customFormat="1">
      <c r="A583" s="95" t="s">
        <v>1527</v>
      </c>
      <c r="B583" s="95" t="s">
        <v>1668</v>
      </c>
      <c r="C583" s="95" t="s">
        <v>1427</v>
      </c>
      <c r="D583" s="101" t="s">
        <v>1539</v>
      </c>
      <c r="E583" s="101" t="s">
        <v>1532</v>
      </c>
      <c r="F583" s="101" t="s">
        <v>1670</v>
      </c>
      <c r="G583" s="101" t="s">
        <v>1442</v>
      </c>
      <c r="H583" s="97" t="str">
        <f>IFERROR(VLOOKUP(I583,'Raw material list'!$A$3:$C$695,3,0),"")</f>
        <v>DRS1-1549</v>
      </c>
      <c r="I583" s="97" t="s">
        <v>252</v>
      </c>
      <c r="J583" s="101" t="s">
        <v>111</v>
      </c>
      <c r="K583" s="101" t="str">
        <f>IFERROR(VLOOKUP(I583,'Raw material list'!$A$3:$E$695,5,0),"")</f>
        <v xml:space="preserve">Gram </v>
      </c>
      <c r="L583" s="95">
        <v>58.47</v>
      </c>
      <c r="M583" s="98">
        <f t="shared" si="123"/>
        <v>58.47</v>
      </c>
      <c r="N583" s="98">
        <v>100</v>
      </c>
      <c r="O583" s="95">
        <v>10</v>
      </c>
      <c r="P583" s="98">
        <f t="shared" si="114"/>
        <v>5.8469999999999995</v>
      </c>
      <c r="Q583" s="99">
        <f>IFERROR(VLOOKUP(I583,'Raw material list'!$A$3:$F$695,6,0),"")</f>
        <v>9.58E-3</v>
      </c>
      <c r="R583" s="100">
        <f t="shared" si="117"/>
        <v>5.6014259999999996E-2</v>
      </c>
      <c r="S583" s="94">
        <f t="shared" si="115"/>
        <v>5.6014259999999996E-3</v>
      </c>
      <c r="T583" s="94">
        <f t="shared" si="116"/>
        <v>6.1615685999999996E-2</v>
      </c>
      <c r="U583" s="93">
        <f t="shared" si="124"/>
        <v>6.1615686000000003E-3</v>
      </c>
      <c r="V583" s="93">
        <f t="shared" si="125"/>
        <v>6.1615686000000001E-4</v>
      </c>
      <c r="W583" s="93">
        <f t="shared" si="126"/>
        <v>6.1615686000000001E-4</v>
      </c>
      <c r="X583" s="93">
        <f t="shared" si="122"/>
        <v>6.9009568319999992E-2</v>
      </c>
      <c r="Y583" s="117"/>
    </row>
    <row r="584" spans="1:25" s="90" customFormat="1">
      <c r="A584" s="95" t="s">
        <v>1527</v>
      </c>
      <c r="B584" s="95" t="s">
        <v>1668</v>
      </c>
      <c r="C584" s="95" t="s">
        <v>1427</v>
      </c>
      <c r="D584" s="101" t="s">
        <v>1539</v>
      </c>
      <c r="E584" s="101" t="s">
        <v>1532</v>
      </c>
      <c r="F584" s="101" t="s">
        <v>1670</v>
      </c>
      <c r="G584" s="101" t="s">
        <v>1442</v>
      </c>
      <c r="H584" s="97" t="str">
        <f>IFERROR(VLOOKUP(I584,'Raw material list'!$A$3:$C$695,3,0),"")</f>
        <v>DRY2-1858</v>
      </c>
      <c r="I584" s="97" t="s">
        <v>42</v>
      </c>
      <c r="J584" s="101" t="s">
        <v>161</v>
      </c>
      <c r="K584" s="101" t="str">
        <f>IFERROR(VLOOKUP(I584,'Raw material list'!$A$3:$E$695,5,0),"")</f>
        <v>Ml</v>
      </c>
      <c r="L584" s="95">
        <v>1096.49</v>
      </c>
      <c r="M584" s="98">
        <f t="shared" si="123"/>
        <v>1096.49</v>
      </c>
      <c r="N584" s="98">
        <v>100</v>
      </c>
      <c r="O584" s="95">
        <v>10</v>
      </c>
      <c r="P584" s="98">
        <f t="shared" si="114"/>
        <v>109.649</v>
      </c>
      <c r="Q584" s="99">
        <f>IFERROR(VLOOKUP(I584,'Raw material list'!$A$3:$F$695,6,0),"")</f>
        <v>9.8800000000000016E-3</v>
      </c>
      <c r="R584" s="100">
        <f t="shared" si="117"/>
        <v>1.0833321200000001</v>
      </c>
      <c r="S584" s="94">
        <f t="shared" si="115"/>
        <v>0.10833321200000001</v>
      </c>
      <c r="T584" s="94">
        <f t="shared" si="116"/>
        <v>1.1916653320000001</v>
      </c>
      <c r="U584" s="93">
        <f t="shared" si="124"/>
        <v>0.11916653320000002</v>
      </c>
      <c r="V584" s="93">
        <f t="shared" si="125"/>
        <v>1.1916653320000001E-2</v>
      </c>
      <c r="W584" s="93">
        <f t="shared" si="126"/>
        <v>1.1916653320000001E-2</v>
      </c>
      <c r="X584" s="93">
        <f t="shared" si="122"/>
        <v>1.33466517184</v>
      </c>
      <c r="Y584" s="117"/>
    </row>
    <row r="585" spans="1:25" s="90" customFormat="1">
      <c r="A585" s="95" t="s">
        <v>1527</v>
      </c>
      <c r="B585" s="95" t="s">
        <v>1668</v>
      </c>
      <c r="C585" s="95" t="s">
        <v>1427</v>
      </c>
      <c r="D585" s="101" t="s">
        <v>1539</v>
      </c>
      <c r="E585" s="101" t="s">
        <v>1532</v>
      </c>
      <c r="F585" s="101" t="s">
        <v>1670</v>
      </c>
      <c r="G585" s="101" t="s">
        <v>1442</v>
      </c>
      <c r="H585" s="97" t="str">
        <f>IFERROR(VLOOKUP(I585,'Raw material list'!$A$3:$C$695,3,0),"")</f>
        <v>DRS6-5265</v>
      </c>
      <c r="I585" s="97" t="s">
        <v>675</v>
      </c>
      <c r="J585" s="101" t="s">
        <v>111</v>
      </c>
      <c r="K585" s="101" t="str">
        <f>IFERROR(VLOOKUP(I585,'Raw material list'!$A$3:$E$695,5,0),"")</f>
        <v xml:space="preserve">Gram </v>
      </c>
      <c r="L585" s="95">
        <v>2.04</v>
      </c>
      <c r="M585" s="98">
        <f t="shared" si="123"/>
        <v>2.04</v>
      </c>
      <c r="N585" s="98">
        <v>100</v>
      </c>
      <c r="O585" s="95">
        <v>10</v>
      </c>
      <c r="P585" s="98">
        <f t="shared" si="114"/>
        <v>0.20400000000000001</v>
      </c>
      <c r="Q585" s="99">
        <f>IFERROR(VLOOKUP(I585,'Raw material list'!$A$3:$F$695,6,0),"")</f>
        <v>0.19315673289183219</v>
      </c>
      <c r="R585" s="100">
        <f t="shared" si="117"/>
        <v>3.9403973509933771E-2</v>
      </c>
      <c r="S585" s="94">
        <f t="shared" si="115"/>
        <v>3.9403973509933776E-3</v>
      </c>
      <c r="T585" s="94">
        <f t="shared" si="116"/>
        <v>4.3344370860927149E-2</v>
      </c>
      <c r="U585" s="93">
        <f t="shared" si="124"/>
        <v>4.3344370860927154E-3</v>
      </c>
      <c r="V585" s="93">
        <f t="shared" si="125"/>
        <v>4.3344370860927151E-4</v>
      </c>
      <c r="W585" s="93">
        <f t="shared" si="126"/>
        <v>4.3344370860927151E-4</v>
      </c>
      <c r="X585" s="93">
        <f t="shared" si="122"/>
        <v>4.854569536423841E-2</v>
      </c>
      <c r="Y585" s="117"/>
    </row>
    <row r="586" spans="1:25" s="90" customFormat="1">
      <c r="A586" s="95" t="s">
        <v>1527</v>
      </c>
      <c r="B586" s="95" t="s">
        <v>1668</v>
      </c>
      <c r="C586" s="95" t="s">
        <v>1427</v>
      </c>
      <c r="D586" s="101" t="s">
        <v>1539</v>
      </c>
      <c r="E586" s="101" t="s">
        <v>1532</v>
      </c>
      <c r="F586" s="101" t="s">
        <v>1670</v>
      </c>
      <c r="G586" s="101" t="s">
        <v>1442</v>
      </c>
      <c r="H586" s="97" t="str">
        <f>IFERROR(VLOOKUP(I586,'Raw material list'!$A$3:$C$695,3,0),"")</f>
        <v>DRS6-1570</v>
      </c>
      <c r="I586" s="97" t="s">
        <v>16</v>
      </c>
      <c r="J586" s="101" t="s">
        <v>111</v>
      </c>
      <c r="K586" s="101" t="str">
        <f>IFERROR(VLOOKUP(I586,'Raw material list'!$A$3:$E$695,5,0),"")</f>
        <v xml:space="preserve">Gram </v>
      </c>
      <c r="L586" s="95">
        <v>2.33</v>
      </c>
      <c r="M586" s="98">
        <f t="shared" si="123"/>
        <v>2.33</v>
      </c>
      <c r="N586" s="98">
        <v>100</v>
      </c>
      <c r="O586" s="95">
        <v>10</v>
      </c>
      <c r="P586" s="98">
        <f t="shared" si="114"/>
        <v>0.23300000000000001</v>
      </c>
      <c r="Q586" s="99">
        <f>IFERROR(VLOOKUP(I586,'Raw material list'!$A$3:$F$695,6,0),"")</f>
        <v>2.8000000000000001E-2</v>
      </c>
      <c r="R586" s="100">
        <f t="shared" si="117"/>
        <v>6.5240000000000003E-3</v>
      </c>
      <c r="S586" s="94">
        <f t="shared" si="115"/>
        <v>6.5240000000000003E-4</v>
      </c>
      <c r="T586" s="94">
        <f t="shared" si="116"/>
        <v>7.1764000000000003E-3</v>
      </c>
      <c r="U586" s="93">
        <f t="shared" si="124"/>
        <v>7.1764000000000007E-4</v>
      </c>
      <c r="V586" s="93">
        <f t="shared" si="125"/>
        <v>7.1763999999999999E-5</v>
      </c>
      <c r="W586" s="93">
        <f t="shared" si="126"/>
        <v>7.1763999999999999E-5</v>
      </c>
      <c r="X586" s="93">
        <f t="shared" si="122"/>
        <v>8.0375680000000001E-3</v>
      </c>
      <c r="Y586" s="117"/>
    </row>
    <row r="587" spans="1:25" s="90" customFormat="1">
      <c r="A587" s="95" t="s">
        <v>1527</v>
      </c>
      <c r="B587" s="95" t="s">
        <v>1668</v>
      </c>
      <c r="C587" s="95" t="s">
        <v>1427</v>
      </c>
      <c r="D587" s="101" t="s">
        <v>1539</v>
      </c>
      <c r="E587" s="101" t="s">
        <v>1532</v>
      </c>
      <c r="F587" s="101" t="s">
        <v>1670</v>
      </c>
      <c r="G587" s="101" t="s">
        <v>1442</v>
      </c>
      <c r="H587" s="97" t="str">
        <f>IFERROR(VLOOKUP(I587,'Raw material list'!$A$3:$C$695,3,0),"")</f>
        <v>DRS1-3811</v>
      </c>
      <c r="I587" s="97" t="s">
        <v>36</v>
      </c>
      <c r="J587" s="101" t="s">
        <v>111</v>
      </c>
      <c r="K587" s="101" t="str">
        <f>IFERROR(VLOOKUP(I587,'Raw material list'!$A$3:$E$695,5,0),"")</f>
        <v xml:space="preserve">Gram </v>
      </c>
      <c r="L587" s="95">
        <v>13.15</v>
      </c>
      <c r="M587" s="98">
        <f t="shared" si="123"/>
        <v>13.15</v>
      </c>
      <c r="N587" s="98">
        <v>100</v>
      </c>
      <c r="O587" s="95">
        <v>10</v>
      </c>
      <c r="P587" s="98">
        <f t="shared" si="114"/>
        <v>1.3149999999999999</v>
      </c>
      <c r="Q587" s="99">
        <f>IFERROR(VLOOKUP(I587,'Raw material list'!$A$3:$F$695,6,0),"")</f>
        <v>2.8475E-2</v>
      </c>
      <c r="R587" s="100">
        <f t="shared" si="117"/>
        <v>3.7444625000000002E-2</v>
      </c>
      <c r="S587" s="94">
        <f t="shared" si="115"/>
        <v>3.7444625000000002E-3</v>
      </c>
      <c r="T587" s="94">
        <f t="shared" si="116"/>
        <v>4.1189087499999999E-2</v>
      </c>
      <c r="U587" s="93">
        <f t="shared" si="124"/>
        <v>4.1189087499999997E-3</v>
      </c>
      <c r="V587" s="93">
        <f t="shared" si="125"/>
        <v>4.1189087500000002E-4</v>
      </c>
      <c r="W587" s="93">
        <f t="shared" si="126"/>
        <v>4.1189087500000002E-4</v>
      </c>
      <c r="X587" s="93">
        <f t="shared" si="122"/>
        <v>4.6131777999999998E-2</v>
      </c>
      <c r="Y587" s="117"/>
    </row>
    <row r="588" spans="1:25" s="90" customFormat="1">
      <c r="A588" s="95" t="s">
        <v>1527</v>
      </c>
      <c r="B588" s="95" t="s">
        <v>1668</v>
      </c>
      <c r="C588" s="95" t="s">
        <v>1427</v>
      </c>
      <c r="D588" s="101" t="s">
        <v>1539</v>
      </c>
      <c r="E588" s="101" t="s">
        <v>1532</v>
      </c>
      <c r="F588" s="101" t="s">
        <v>1670</v>
      </c>
      <c r="G588" s="101" t="s">
        <v>1442</v>
      </c>
      <c r="H588" s="97" t="str">
        <f>IFERROR(VLOOKUP(I588,'Raw material list'!$A$3:$C$695,3,0),"")</f>
        <v>PRD1-199</v>
      </c>
      <c r="I588" s="97" t="s">
        <v>998</v>
      </c>
      <c r="J588" s="101" t="s">
        <v>111</v>
      </c>
      <c r="K588" s="101" t="str">
        <f>IFERROR(VLOOKUP(I588,'Raw material list'!$A$3:$E$695,5,0),"")</f>
        <v xml:space="preserve">Gram </v>
      </c>
      <c r="L588" s="95">
        <v>29.23</v>
      </c>
      <c r="M588" s="98">
        <f t="shared" si="123"/>
        <v>83.51428571428572</v>
      </c>
      <c r="N588" s="98">
        <v>35</v>
      </c>
      <c r="O588" s="95">
        <v>10</v>
      </c>
      <c r="P588" s="98">
        <f t="shared" si="114"/>
        <v>2.923</v>
      </c>
      <c r="Q588" s="99">
        <f>IFERROR(VLOOKUP(I588,'Raw material list'!$A$3:$F$695,6,0),"")</f>
        <v>1.142857142857143E-2</v>
      </c>
      <c r="R588" s="100">
        <f t="shared" si="117"/>
        <v>3.3405714285714289E-2</v>
      </c>
      <c r="S588" s="94">
        <f t="shared" si="115"/>
        <v>3.3405714285714289E-3</v>
      </c>
      <c r="T588" s="94">
        <f t="shared" si="116"/>
        <v>3.6746285714285717E-2</v>
      </c>
      <c r="U588" s="93">
        <f t="shared" si="124"/>
        <v>3.6746285714285721E-3</v>
      </c>
      <c r="V588" s="93">
        <f t="shared" si="125"/>
        <v>3.6746285714285717E-4</v>
      </c>
      <c r="W588" s="93">
        <f t="shared" si="126"/>
        <v>3.6746285714285717E-4</v>
      </c>
      <c r="X588" s="93">
        <f t="shared" si="122"/>
        <v>4.1155839999999999E-2</v>
      </c>
      <c r="Y588" s="117"/>
    </row>
    <row r="589" spans="1:25" s="90" customFormat="1">
      <c r="A589" s="95" t="s">
        <v>1527</v>
      </c>
      <c r="B589" s="95" t="s">
        <v>1668</v>
      </c>
      <c r="C589" s="95" t="s">
        <v>1427</v>
      </c>
      <c r="D589" s="101" t="s">
        <v>1539</v>
      </c>
      <c r="E589" s="101" t="s">
        <v>1532</v>
      </c>
      <c r="F589" s="101" t="s">
        <v>1670</v>
      </c>
      <c r="G589" s="101" t="s">
        <v>1433</v>
      </c>
      <c r="H589" s="97" t="str">
        <f>IFERROR(VLOOKUP(I589,'Raw material list'!$A$3:$C$695,3,0),"")</f>
        <v>DRS4-498</v>
      </c>
      <c r="I589" s="97" t="s">
        <v>62</v>
      </c>
      <c r="J589" s="101" t="s">
        <v>111</v>
      </c>
      <c r="K589" s="101" t="str">
        <f>IFERROR(VLOOKUP(I589,'Raw material list'!$A$3:$E$695,5,0),"")</f>
        <v xml:space="preserve">Gram </v>
      </c>
      <c r="L589" s="95">
        <v>600</v>
      </c>
      <c r="M589" s="98">
        <f t="shared" si="123"/>
        <v>600</v>
      </c>
      <c r="N589" s="98">
        <v>100</v>
      </c>
      <c r="O589" s="95">
        <v>10</v>
      </c>
      <c r="P589" s="98">
        <f t="shared" si="114"/>
        <v>60</v>
      </c>
      <c r="Q589" s="99">
        <f>IFERROR(VLOOKUP(I589,'Raw material list'!$A$3:$F$695,6,0),"")</f>
        <v>5.7499999999999999E-3</v>
      </c>
      <c r="R589" s="100">
        <f t="shared" si="117"/>
        <v>0.34499999999999997</v>
      </c>
      <c r="S589" s="94">
        <f t="shared" si="115"/>
        <v>3.4499999999999996E-2</v>
      </c>
      <c r="T589" s="94">
        <f t="shared" si="116"/>
        <v>0.37949999999999995</v>
      </c>
      <c r="U589" s="93">
        <f t="shared" si="124"/>
        <v>3.7949999999999998E-2</v>
      </c>
      <c r="V589" s="93">
        <f t="shared" si="125"/>
        <v>3.7949999999999998E-3</v>
      </c>
      <c r="W589" s="93">
        <f t="shared" si="126"/>
        <v>3.7949999999999998E-3</v>
      </c>
      <c r="X589" s="93">
        <f t="shared" si="122"/>
        <v>0.42503999999999992</v>
      </c>
      <c r="Y589" s="117"/>
    </row>
    <row r="590" spans="1:25" s="90" customFormat="1">
      <c r="A590" s="95" t="s">
        <v>1527</v>
      </c>
      <c r="B590" s="95" t="s">
        <v>1668</v>
      </c>
      <c r="C590" s="95" t="s">
        <v>1427</v>
      </c>
      <c r="D590" s="101" t="s">
        <v>1539</v>
      </c>
      <c r="E590" s="101" t="s">
        <v>1532</v>
      </c>
      <c r="F590" s="101" t="s">
        <v>1670</v>
      </c>
      <c r="G590" s="101" t="s">
        <v>1433</v>
      </c>
      <c r="H590" s="97" t="str">
        <f>IFERROR(VLOOKUP(I590,'Raw material list'!$A$3:$C$695,3,0),"")</f>
        <v>WAT-001</v>
      </c>
      <c r="I590" s="97" t="s">
        <v>1406</v>
      </c>
      <c r="J590" s="101" t="s">
        <v>161</v>
      </c>
      <c r="K590" s="101" t="str">
        <f>IFERROR(VLOOKUP(I590,'Raw material list'!$A$3:$E$695,5,0),"")</f>
        <v>Ml</v>
      </c>
      <c r="L590" s="95">
        <v>1100</v>
      </c>
      <c r="M590" s="98">
        <f t="shared" si="123"/>
        <v>1100</v>
      </c>
      <c r="N590" s="98">
        <v>100</v>
      </c>
      <c r="O590" s="95">
        <v>10</v>
      </c>
      <c r="P590" s="98">
        <f t="shared" si="114"/>
        <v>110</v>
      </c>
      <c r="Q590" s="99">
        <f>IFERROR(VLOOKUP(I590,'Raw material list'!$A$3:$F$695,6,0),"")</f>
        <v>8.0000000000000007E-5</v>
      </c>
      <c r="R590" s="100">
        <f t="shared" si="117"/>
        <v>8.8000000000000005E-3</v>
      </c>
      <c r="S590" s="94">
        <f t="shared" si="115"/>
        <v>8.8000000000000014E-4</v>
      </c>
      <c r="T590" s="94">
        <f t="shared" si="116"/>
        <v>9.6800000000000011E-3</v>
      </c>
      <c r="U590" s="93">
        <f t="shared" si="124"/>
        <v>9.6800000000000011E-4</v>
      </c>
      <c r="V590" s="93">
        <f t="shared" si="125"/>
        <v>9.6800000000000008E-5</v>
      </c>
      <c r="W590" s="93">
        <f t="shared" si="126"/>
        <v>9.6800000000000008E-5</v>
      </c>
      <c r="X590" s="93">
        <f t="shared" si="122"/>
        <v>1.08416E-2</v>
      </c>
      <c r="Y590" s="117"/>
    </row>
    <row r="591" spans="1:25" s="90" customFormat="1">
      <c r="A591" s="95" t="s">
        <v>1527</v>
      </c>
      <c r="B591" s="95" t="s">
        <v>1668</v>
      </c>
      <c r="C591" s="95" t="s">
        <v>1427</v>
      </c>
      <c r="D591" s="101" t="s">
        <v>1539</v>
      </c>
      <c r="E591" s="101" t="s">
        <v>1532</v>
      </c>
      <c r="F591" s="101" t="s">
        <v>1670</v>
      </c>
      <c r="G591" s="101" t="s">
        <v>1433</v>
      </c>
      <c r="H591" s="97" t="str">
        <f>IFERROR(VLOOKUP(I591,'Raw material list'!$A$3:$C$695,3,0),"")</f>
        <v>DRS1-3880</v>
      </c>
      <c r="I591" s="97" t="s">
        <v>1398</v>
      </c>
      <c r="J591" s="101" t="s">
        <v>111</v>
      </c>
      <c r="K591" s="101" t="str">
        <f>IFERROR(VLOOKUP(I591,'Raw material list'!$A$3:$E$695,5,0),"")</f>
        <v xml:space="preserve">Gram </v>
      </c>
      <c r="L591" s="95">
        <v>14</v>
      </c>
      <c r="M591" s="98">
        <f t="shared" si="123"/>
        <v>14.000000000000002</v>
      </c>
      <c r="N591" s="98">
        <v>100</v>
      </c>
      <c r="O591" s="95">
        <v>10</v>
      </c>
      <c r="P591" s="98">
        <f t="shared" si="114"/>
        <v>1.4</v>
      </c>
      <c r="Q591" s="99">
        <f>IFERROR(VLOOKUP(I591,'Raw material list'!$A$3:$F$695,6,0),"")</f>
        <v>5.0000000000000001E-4</v>
      </c>
      <c r="R591" s="100">
        <f t="shared" si="117"/>
        <v>6.9999999999999999E-4</v>
      </c>
      <c r="S591" s="94">
        <f t="shared" si="115"/>
        <v>7.0000000000000007E-5</v>
      </c>
      <c r="T591" s="94">
        <f t="shared" si="116"/>
        <v>7.6999999999999996E-4</v>
      </c>
      <c r="U591" s="93">
        <f t="shared" si="124"/>
        <v>7.7000000000000001E-5</v>
      </c>
      <c r="V591" s="93">
        <f t="shared" si="125"/>
        <v>7.6999999999999991E-6</v>
      </c>
      <c r="W591" s="93">
        <f t="shared" si="126"/>
        <v>7.6999999999999991E-6</v>
      </c>
      <c r="X591" s="93">
        <f t="shared" si="122"/>
        <v>8.6240000000000004E-4</v>
      </c>
      <c r="Y591" s="117"/>
    </row>
    <row r="592" spans="1:25" s="90" customFormat="1">
      <c r="A592" s="95" t="s">
        <v>1527</v>
      </c>
      <c r="B592" s="95" t="s">
        <v>1668</v>
      </c>
      <c r="C592" s="95" t="s">
        <v>1427</v>
      </c>
      <c r="D592" s="101" t="s">
        <v>1539</v>
      </c>
      <c r="E592" s="101" t="s">
        <v>1532</v>
      </c>
      <c r="F592" s="101" t="s">
        <v>1670</v>
      </c>
      <c r="G592" s="101" t="s">
        <v>1433</v>
      </c>
      <c r="H592" s="97" t="str">
        <f>IFERROR(VLOOKUP(I592,'Raw material list'!$A$3:$C$695,3,0),"")</f>
        <v>DRS6-309</v>
      </c>
      <c r="I592" s="97" t="s">
        <v>35</v>
      </c>
      <c r="J592" s="101" t="s">
        <v>111</v>
      </c>
      <c r="K592" s="101" t="str">
        <f>IFERROR(VLOOKUP(I592,'Raw material list'!$A$3:$E$695,5,0),"")</f>
        <v xml:space="preserve">Gram </v>
      </c>
      <c r="L592" s="95">
        <v>1</v>
      </c>
      <c r="M592" s="98">
        <f t="shared" si="123"/>
        <v>1</v>
      </c>
      <c r="N592" s="98">
        <v>100</v>
      </c>
      <c r="O592" s="95">
        <v>10</v>
      </c>
      <c r="P592" s="98">
        <f t="shared" si="114"/>
        <v>0.1</v>
      </c>
      <c r="Q592" s="99">
        <f>IFERROR(VLOOKUP(I592,'Raw material list'!$A$3:$F$695,6,0),"")</f>
        <v>2.8000000000000001E-2</v>
      </c>
      <c r="R592" s="100">
        <f t="shared" si="117"/>
        <v>2.8000000000000004E-3</v>
      </c>
      <c r="S592" s="94">
        <f t="shared" si="115"/>
        <v>2.8000000000000003E-4</v>
      </c>
      <c r="T592" s="94">
        <f t="shared" si="116"/>
        <v>3.0800000000000003E-3</v>
      </c>
      <c r="U592" s="93">
        <f t="shared" si="124"/>
        <v>3.0800000000000006E-4</v>
      </c>
      <c r="V592" s="93">
        <f t="shared" si="125"/>
        <v>3.0800000000000003E-5</v>
      </c>
      <c r="W592" s="93">
        <f t="shared" si="126"/>
        <v>3.0800000000000003E-5</v>
      </c>
      <c r="X592" s="93">
        <f t="shared" si="122"/>
        <v>3.4496000000000006E-3</v>
      </c>
      <c r="Y592" s="117"/>
    </row>
    <row r="593" spans="1:25" s="90" customFormat="1">
      <c r="A593" s="95" t="s">
        <v>1527</v>
      </c>
      <c r="B593" s="95" t="s">
        <v>1668</v>
      </c>
      <c r="C593" s="95" t="s">
        <v>1427</v>
      </c>
      <c r="D593" s="101" t="s">
        <v>1539</v>
      </c>
      <c r="E593" s="101" t="s">
        <v>1532</v>
      </c>
      <c r="F593" s="101" t="s">
        <v>1670</v>
      </c>
      <c r="G593" s="101" t="s">
        <v>1433</v>
      </c>
      <c r="H593" s="97" t="str">
        <f>IFERROR(VLOOKUP(I593,'Raw material list'!$A$3:$C$695,3,0),"")</f>
        <v>DRS6-3593</v>
      </c>
      <c r="I593" s="97" t="s">
        <v>1417</v>
      </c>
      <c r="J593" s="101" t="s">
        <v>111</v>
      </c>
      <c r="K593" s="101" t="str">
        <f>IFERROR(VLOOKUP(I593,'Raw material list'!$A$3:$E$695,5,0),"")</f>
        <v xml:space="preserve">Gram </v>
      </c>
      <c r="L593" s="95">
        <v>1</v>
      </c>
      <c r="M593" s="98">
        <f t="shared" si="123"/>
        <v>1</v>
      </c>
      <c r="N593" s="98">
        <v>100</v>
      </c>
      <c r="O593" s="95">
        <v>10</v>
      </c>
      <c r="P593" s="98">
        <f t="shared" si="114"/>
        <v>0.1</v>
      </c>
      <c r="Q593" s="99">
        <f>IFERROR(VLOOKUP(I593,'Raw material list'!$A$3:$F$695,6,0),"")</f>
        <v>1.0500000000000001E-2</v>
      </c>
      <c r="R593" s="100">
        <f t="shared" si="117"/>
        <v>1.0500000000000002E-3</v>
      </c>
      <c r="S593" s="94">
        <f t="shared" si="115"/>
        <v>1.0500000000000002E-4</v>
      </c>
      <c r="T593" s="94">
        <f t="shared" si="116"/>
        <v>1.1550000000000002E-3</v>
      </c>
      <c r="U593" s="93">
        <f t="shared" si="124"/>
        <v>1.1550000000000003E-4</v>
      </c>
      <c r="V593" s="93">
        <f t="shared" si="125"/>
        <v>1.1550000000000003E-5</v>
      </c>
      <c r="W593" s="93">
        <f t="shared" si="126"/>
        <v>1.1550000000000003E-5</v>
      </c>
      <c r="X593" s="93">
        <f t="shared" si="122"/>
        <v>1.2936E-3</v>
      </c>
      <c r="Y593" s="117"/>
    </row>
    <row r="594" spans="1:25" s="90" customFormat="1">
      <c r="A594" s="95" t="s">
        <v>1527</v>
      </c>
      <c r="B594" s="95" t="s">
        <v>1668</v>
      </c>
      <c r="C594" s="95" t="s">
        <v>1427</v>
      </c>
      <c r="D594" s="101" t="s">
        <v>1539</v>
      </c>
      <c r="E594" s="101" t="s">
        <v>1532</v>
      </c>
      <c r="F594" s="101" t="s">
        <v>1670</v>
      </c>
      <c r="G594" s="101" t="s">
        <v>1433</v>
      </c>
      <c r="H594" s="97" t="str">
        <f>IFERROR(VLOOKUP(I594,'Raw material list'!$A$3:$C$695,3,0),"")</f>
        <v>DRS3-1813</v>
      </c>
      <c r="I594" s="97" t="s">
        <v>39</v>
      </c>
      <c r="J594" s="101" t="s">
        <v>161</v>
      </c>
      <c r="K594" s="101" t="str">
        <f>IFERROR(VLOOKUP(I594,'Raw material list'!$A$3:$E$695,5,0),"")</f>
        <v>Ml</v>
      </c>
      <c r="L594" s="95">
        <v>30</v>
      </c>
      <c r="M594" s="98">
        <f t="shared" si="123"/>
        <v>30</v>
      </c>
      <c r="N594" s="98">
        <v>100</v>
      </c>
      <c r="O594" s="95">
        <v>10</v>
      </c>
      <c r="P594" s="98">
        <f t="shared" si="114"/>
        <v>3</v>
      </c>
      <c r="Q594" s="99">
        <f>IFERROR(VLOOKUP(I594,'Raw material list'!$A$3:$F$695,6,0),"")</f>
        <v>8.0555555555555554E-3</v>
      </c>
      <c r="R594" s="100">
        <f t="shared" si="117"/>
        <v>2.4166666666666666E-2</v>
      </c>
      <c r="S594" s="94">
        <f t="shared" si="115"/>
        <v>2.4166666666666668E-3</v>
      </c>
      <c r="T594" s="94">
        <f t="shared" si="116"/>
        <v>2.6583333333333334E-2</v>
      </c>
      <c r="U594" s="93">
        <f t="shared" si="124"/>
        <v>2.6583333333333337E-3</v>
      </c>
      <c r="V594" s="93">
        <f t="shared" si="125"/>
        <v>2.6583333333333336E-4</v>
      </c>
      <c r="W594" s="93">
        <f t="shared" si="126"/>
        <v>2.6583333333333336E-4</v>
      </c>
      <c r="X594" s="93">
        <f t="shared" si="122"/>
        <v>2.9773333333333332E-2</v>
      </c>
      <c r="Y594" s="117"/>
    </row>
    <row r="595" spans="1:25" s="90" customFormat="1">
      <c r="A595" s="95" t="s">
        <v>1527</v>
      </c>
      <c r="B595" s="95" t="s">
        <v>1668</v>
      </c>
      <c r="C595" s="95" t="s">
        <v>1427</v>
      </c>
      <c r="D595" s="101" t="s">
        <v>1539</v>
      </c>
      <c r="E595" s="101" t="s">
        <v>1532</v>
      </c>
      <c r="F595" s="101" t="s">
        <v>1670</v>
      </c>
      <c r="G595" s="101" t="s">
        <v>1433</v>
      </c>
      <c r="H595" s="97" t="str">
        <f>IFERROR(VLOOKUP(I595,'Raw material list'!$A$3:$C$695,3,0),"")</f>
        <v>DRS6-539</v>
      </c>
      <c r="I595" s="97" t="s">
        <v>717</v>
      </c>
      <c r="J595" s="101" t="s">
        <v>111</v>
      </c>
      <c r="K595" s="101" t="str">
        <f>IFERROR(VLOOKUP(I595,'Raw material list'!$A$3:$E$695,5,0),"")</f>
        <v xml:space="preserve">Gram </v>
      </c>
      <c r="L595" s="95">
        <v>2</v>
      </c>
      <c r="M595" s="98">
        <f t="shared" si="123"/>
        <v>2</v>
      </c>
      <c r="N595" s="98">
        <v>100</v>
      </c>
      <c r="O595" s="95">
        <v>10</v>
      </c>
      <c r="P595" s="98">
        <f t="shared" si="114"/>
        <v>0.2</v>
      </c>
      <c r="Q595" s="99">
        <f>IFERROR(VLOOKUP(I595,'Raw material list'!$A$3:$F$695,6,0),"")</f>
        <v>0.16</v>
      </c>
      <c r="R595" s="100">
        <f t="shared" si="117"/>
        <v>3.2000000000000001E-2</v>
      </c>
      <c r="S595" s="94">
        <f t="shared" si="115"/>
        <v>3.2000000000000002E-3</v>
      </c>
      <c r="T595" s="94">
        <f t="shared" si="116"/>
        <v>3.5200000000000002E-2</v>
      </c>
      <c r="U595" s="93">
        <f t="shared" si="124"/>
        <v>3.5200000000000006E-3</v>
      </c>
      <c r="V595" s="93">
        <f t="shared" si="125"/>
        <v>3.5200000000000005E-4</v>
      </c>
      <c r="W595" s="93">
        <f t="shared" si="126"/>
        <v>3.5200000000000005E-4</v>
      </c>
      <c r="X595" s="93">
        <f t="shared" si="122"/>
        <v>3.9424000000000001E-2</v>
      </c>
      <c r="Y595" s="117"/>
    </row>
    <row r="596" spans="1:25" s="90" customFormat="1">
      <c r="A596" s="95" t="s">
        <v>1527</v>
      </c>
      <c r="B596" s="95" t="s">
        <v>1668</v>
      </c>
      <c r="C596" s="95" t="s">
        <v>1427</v>
      </c>
      <c r="D596" s="101" t="s">
        <v>1539</v>
      </c>
      <c r="E596" s="101" t="s">
        <v>1532</v>
      </c>
      <c r="F596" s="101" t="s">
        <v>1670</v>
      </c>
      <c r="G596" s="101" t="s">
        <v>1433</v>
      </c>
      <c r="H596" s="97" t="str">
        <f>IFERROR(VLOOKUP(I596,'Raw material list'!$A$3:$C$695,3,0),"")</f>
        <v>DRS6-261</v>
      </c>
      <c r="I596" s="97" t="s">
        <v>1565</v>
      </c>
      <c r="J596" s="101" t="s">
        <v>111</v>
      </c>
      <c r="K596" s="101" t="str">
        <f>IFERROR(VLOOKUP(I596,'Raw material list'!$A$3:$E$695,5,0),"")</f>
        <v xml:space="preserve">Gram </v>
      </c>
      <c r="L596" s="95">
        <v>0.3</v>
      </c>
      <c r="M596" s="98">
        <f t="shared" si="123"/>
        <v>0.3</v>
      </c>
      <c r="N596" s="98">
        <v>100</v>
      </c>
      <c r="O596" s="95">
        <v>10</v>
      </c>
      <c r="P596" s="98">
        <f t="shared" si="114"/>
        <v>0.03</v>
      </c>
      <c r="Q596" s="99">
        <f>IFERROR(VLOOKUP(I596,'Raw material list'!$A$3:$F$695,6,0),"")</f>
        <v>1.4E-2</v>
      </c>
      <c r="R596" s="100">
        <f t="shared" si="117"/>
        <v>4.2000000000000002E-4</v>
      </c>
      <c r="S596" s="94">
        <f t="shared" si="115"/>
        <v>4.2000000000000004E-5</v>
      </c>
      <c r="T596" s="94">
        <f t="shared" si="116"/>
        <v>4.6200000000000001E-4</v>
      </c>
      <c r="U596" s="93">
        <f t="shared" si="124"/>
        <v>4.6200000000000005E-5</v>
      </c>
      <c r="V596" s="93">
        <f t="shared" si="125"/>
        <v>4.6199999999999998E-6</v>
      </c>
      <c r="W596" s="93">
        <f t="shared" si="126"/>
        <v>4.6199999999999998E-6</v>
      </c>
      <c r="X596" s="93">
        <f t="shared" si="122"/>
        <v>5.1743999999999998E-4</v>
      </c>
      <c r="Y596" s="117"/>
    </row>
    <row r="597" spans="1:25" s="90" customFormat="1">
      <c r="A597" s="95" t="s">
        <v>1612</v>
      </c>
      <c r="B597" s="95" t="s">
        <v>1668</v>
      </c>
      <c r="C597" s="95" t="s">
        <v>1427</v>
      </c>
      <c r="D597" s="101" t="s">
        <v>1540</v>
      </c>
      <c r="E597" s="101" t="s">
        <v>1532</v>
      </c>
      <c r="F597" s="101" t="s">
        <v>1671</v>
      </c>
      <c r="G597" s="97" t="s">
        <v>1591</v>
      </c>
      <c r="H597" s="97" t="str">
        <f>IFERROR(VLOOKUP(I597,'Raw material list'!$A$3:$C$695,3,0),"")</f>
        <v>PLT2-3278</v>
      </c>
      <c r="I597" s="97" t="s">
        <v>61</v>
      </c>
      <c r="J597" s="101" t="s">
        <v>111</v>
      </c>
      <c r="K597" s="101" t="str">
        <f>IFERROR(VLOOKUP(I597,'Raw material list'!$A$3:$E$695,5,0),"")</f>
        <v xml:space="preserve">Gram </v>
      </c>
      <c r="L597" s="95">
        <v>1200</v>
      </c>
      <c r="M597" s="98">
        <f t="shared" si="123"/>
        <v>1574.803149606299</v>
      </c>
      <c r="N597" s="98">
        <v>76.2</v>
      </c>
      <c r="O597" s="95">
        <v>10</v>
      </c>
      <c r="P597" s="98">
        <f t="shared" si="114"/>
        <v>120</v>
      </c>
      <c r="Q597" s="99">
        <f>IFERROR(VLOOKUP(I597,'Raw material list'!$A$3:$F$695,6,0),"")</f>
        <v>3.035714285714285E-2</v>
      </c>
      <c r="R597" s="100">
        <f t="shared" si="117"/>
        <v>3.6428571428571419</v>
      </c>
      <c r="S597" s="94">
        <f t="shared" si="115"/>
        <v>0.36428571428571421</v>
      </c>
      <c r="T597" s="94">
        <f t="shared" si="116"/>
        <v>4.0071428571428562</v>
      </c>
      <c r="U597" s="93">
        <f t="shared" si="124"/>
        <v>0.40071428571428563</v>
      </c>
      <c r="V597" s="93">
        <f t="shared" si="125"/>
        <v>4.0071428571428563E-2</v>
      </c>
      <c r="W597" s="93">
        <f t="shared" si="126"/>
        <v>4.0071428571428563E-2</v>
      </c>
      <c r="X597" s="93">
        <f t="shared" si="122"/>
        <v>4.4879999999999987</v>
      </c>
      <c r="Y597" s="127" t="s">
        <v>1674</v>
      </c>
    </row>
    <row r="598" spans="1:25" s="90" customFormat="1">
      <c r="A598" s="95" t="s">
        <v>1612</v>
      </c>
      <c r="B598" s="95" t="s">
        <v>1668</v>
      </c>
      <c r="C598" s="95" t="s">
        <v>1427</v>
      </c>
      <c r="D598" s="101" t="s">
        <v>1540</v>
      </c>
      <c r="E598" s="101" t="s">
        <v>1532</v>
      </c>
      <c r="F598" s="101" t="s">
        <v>1670</v>
      </c>
      <c r="G598" s="101"/>
      <c r="H598" s="97" t="str">
        <f>IFERROR(VLOOKUP(I598,'Raw material list'!$A$3:$C$695,3,0),"")</f>
        <v>DRS2-4321</v>
      </c>
      <c r="I598" s="97" t="s">
        <v>526</v>
      </c>
      <c r="J598" s="101" t="s">
        <v>111</v>
      </c>
      <c r="K598" s="101" t="str">
        <f>IFERROR(VLOOKUP(I598,'Raw material list'!$A$3:$E$695,5,0),"")</f>
        <v xml:space="preserve">Gram </v>
      </c>
      <c r="L598" s="95">
        <v>700</v>
      </c>
      <c r="M598" s="98">
        <f t="shared" si="123"/>
        <v>700</v>
      </c>
      <c r="N598" s="98">
        <v>100</v>
      </c>
      <c r="O598" s="95">
        <v>10</v>
      </c>
      <c r="P598" s="98">
        <f>IFERROR(L598/O598,0)</f>
        <v>70</v>
      </c>
      <c r="Q598" s="99">
        <f>IFERROR(VLOOKUP(I598,'Raw material list'!$A$3:$F$695,6,0),"")</f>
        <v>8.0299999999999989E-3</v>
      </c>
      <c r="R598" s="100">
        <f>IFERROR(Q598*P598,0)</f>
        <v>0.56209999999999993</v>
      </c>
      <c r="S598" s="94">
        <f t="shared" si="115"/>
        <v>5.6209999999999996E-2</v>
      </c>
      <c r="T598" s="94">
        <f t="shared" si="116"/>
        <v>0.61830999999999992</v>
      </c>
      <c r="U598" s="93">
        <f t="shared" si="124"/>
        <v>6.1830999999999997E-2</v>
      </c>
      <c r="V598" s="93">
        <f t="shared" si="125"/>
        <v>6.1830999999999995E-3</v>
      </c>
      <c r="W598" s="93">
        <f t="shared" si="126"/>
        <v>6.1830999999999995E-3</v>
      </c>
      <c r="X598" s="93">
        <f t="shared" si="122"/>
        <v>0.69250719999999988</v>
      </c>
      <c r="Y598" s="116"/>
    </row>
    <row r="599" spans="1:25" s="90" customFormat="1">
      <c r="A599" s="95" t="s">
        <v>1612</v>
      </c>
      <c r="B599" s="95" t="s">
        <v>1668</v>
      </c>
      <c r="C599" s="95" t="s">
        <v>1427</v>
      </c>
      <c r="D599" s="101" t="s">
        <v>1540</v>
      </c>
      <c r="E599" s="101" t="s">
        <v>1532</v>
      </c>
      <c r="F599" s="101" t="s">
        <v>1671</v>
      </c>
      <c r="G599" s="97" t="s">
        <v>1591</v>
      </c>
      <c r="H599" s="97" t="str">
        <f>IFERROR(VLOOKUP(I599,'Raw material list'!$A$3:$C$695,3,0),"")</f>
        <v>DRS6-1727</v>
      </c>
      <c r="I599" s="97" t="s">
        <v>41</v>
      </c>
      <c r="J599" s="101" t="s">
        <v>111</v>
      </c>
      <c r="K599" s="101" t="str">
        <f>IFERROR(VLOOKUP(I599,'Raw material list'!$A$3:$E$695,5,0),"")</f>
        <v xml:space="preserve">Gram </v>
      </c>
      <c r="L599" s="95">
        <v>12</v>
      </c>
      <c r="M599" s="98">
        <f t="shared" si="123"/>
        <v>12</v>
      </c>
      <c r="N599" s="98">
        <v>100</v>
      </c>
      <c r="O599" s="95">
        <v>10</v>
      </c>
      <c r="P599" s="98">
        <f t="shared" ref="P599:P602" si="127">IFERROR(L599/O599,0)</f>
        <v>1.2</v>
      </c>
      <c r="Q599" s="99">
        <f>IFERROR(VLOOKUP(I599,'Raw material list'!$A$3:$F$695,6,0),"")</f>
        <v>2.5000000000000001E-2</v>
      </c>
      <c r="R599" s="100">
        <f t="shared" ref="R599:R602" si="128">IFERROR(Q599*P599,0)</f>
        <v>0.03</v>
      </c>
      <c r="S599" s="94">
        <f t="shared" si="115"/>
        <v>3.0000000000000001E-3</v>
      </c>
      <c r="T599" s="94">
        <f t="shared" si="116"/>
        <v>3.3000000000000002E-2</v>
      </c>
      <c r="U599" s="93">
        <f t="shared" si="124"/>
        <v>3.3000000000000004E-3</v>
      </c>
      <c r="V599" s="93">
        <f t="shared" si="125"/>
        <v>3.3E-4</v>
      </c>
      <c r="W599" s="93">
        <f t="shared" si="126"/>
        <v>3.3E-4</v>
      </c>
      <c r="X599" s="93">
        <f t="shared" si="122"/>
        <v>3.6959999999999993E-2</v>
      </c>
      <c r="Y599" s="116"/>
    </row>
    <row r="600" spans="1:25" s="90" customFormat="1">
      <c r="A600" s="95" t="s">
        <v>1612</v>
      </c>
      <c r="B600" s="95" t="s">
        <v>1668</v>
      </c>
      <c r="C600" s="95" t="s">
        <v>1427</v>
      </c>
      <c r="D600" s="101" t="s">
        <v>1540</v>
      </c>
      <c r="E600" s="101" t="s">
        <v>1532</v>
      </c>
      <c r="F600" s="101" t="s">
        <v>1671</v>
      </c>
      <c r="G600" s="97" t="s">
        <v>1591</v>
      </c>
      <c r="H600" s="97" t="str">
        <f>IFERROR(VLOOKUP(I600,'Raw material list'!$A$3:$C$695,3,0),"")</f>
        <v>DRS6-5088</v>
      </c>
      <c r="I600" s="97" t="s">
        <v>668</v>
      </c>
      <c r="J600" s="101" t="s">
        <v>111</v>
      </c>
      <c r="K600" s="101" t="str">
        <f>IFERROR(VLOOKUP(I600,'Raw material list'!$A$3:$E$695,5,0),"")</f>
        <v xml:space="preserve">Gram </v>
      </c>
      <c r="L600" s="95">
        <v>12</v>
      </c>
      <c r="M600" s="98">
        <f t="shared" si="123"/>
        <v>12</v>
      </c>
      <c r="N600" s="98">
        <v>100</v>
      </c>
      <c r="O600" s="95">
        <v>10</v>
      </c>
      <c r="P600" s="98">
        <f t="shared" si="127"/>
        <v>1.2</v>
      </c>
      <c r="Q600" s="99">
        <f>IFERROR(VLOOKUP(I600,'Raw material list'!$A$3:$F$695,6,0),"")</f>
        <v>0.08</v>
      </c>
      <c r="R600" s="100">
        <f t="shared" si="128"/>
        <v>9.6000000000000002E-2</v>
      </c>
      <c r="S600" s="94">
        <f t="shared" ref="S600:S661" si="129">R600*10%</f>
        <v>9.6000000000000009E-3</v>
      </c>
      <c r="T600" s="94">
        <f t="shared" ref="T600:T661" si="130">R600+S600</f>
        <v>0.1056</v>
      </c>
      <c r="U600" s="93">
        <f t="shared" si="124"/>
        <v>1.056E-2</v>
      </c>
      <c r="V600" s="93">
        <f t="shared" si="125"/>
        <v>1.0560000000000001E-3</v>
      </c>
      <c r="W600" s="93">
        <f t="shared" si="126"/>
        <v>1.0560000000000001E-3</v>
      </c>
      <c r="X600" s="93">
        <f t="shared" si="122"/>
        <v>0.118272</v>
      </c>
      <c r="Y600" s="116"/>
    </row>
    <row r="601" spans="1:25" s="90" customFormat="1">
      <c r="A601" s="95" t="s">
        <v>1612</v>
      </c>
      <c r="B601" s="95" t="s">
        <v>1668</v>
      </c>
      <c r="C601" s="95" t="s">
        <v>1427</v>
      </c>
      <c r="D601" s="101" t="s">
        <v>1540</v>
      </c>
      <c r="E601" s="101" t="s">
        <v>1532</v>
      </c>
      <c r="F601" s="101" t="s">
        <v>1671</v>
      </c>
      <c r="G601" s="97" t="s">
        <v>1591</v>
      </c>
      <c r="H601" s="97" t="str">
        <f>IFERROR(VLOOKUP(I601,'Raw material list'!$A$3:$C$695,3,0),"")</f>
        <v>DRS6-5376</v>
      </c>
      <c r="I601" s="97" t="s">
        <v>55</v>
      </c>
      <c r="J601" s="101" t="s">
        <v>111</v>
      </c>
      <c r="K601" s="101" t="str">
        <f>IFERROR(VLOOKUP(I601,'Raw material list'!$A$3:$E$695,5,0),"")</f>
        <v xml:space="preserve">Gram </v>
      </c>
      <c r="L601" s="95">
        <v>3</v>
      </c>
      <c r="M601" s="98">
        <f t="shared" si="123"/>
        <v>3</v>
      </c>
      <c r="N601" s="98">
        <v>100</v>
      </c>
      <c r="O601" s="95">
        <v>10</v>
      </c>
      <c r="P601" s="98">
        <f t="shared" si="127"/>
        <v>0.3</v>
      </c>
      <c r="Q601" s="99">
        <f>IFERROR(VLOOKUP(I601,'Raw material list'!$A$3:$F$695,6,0),"")</f>
        <v>2.8000000000000001E-2</v>
      </c>
      <c r="R601" s="100">
        <f t="shared" si="128"/>
        <v>8.3999999999999995E-3</v>
      </c>
      <c r="S601" s="94">
        <f t="shared" si="129"/>
        <v>8.4000000000000003E-4</v>
      </c>
      <c r="T601" s="94">
        <f t="shared" si="130"/>
        <v>9.2399999999999999E-3</v>
      </c>
      <c r="U601" s="93">
        <f t="shared" si="124"/>
        <v>9.2400000000000002E-4</v>
      </c>
      <c r="V601" s="93">
        <f t="shared" si="125"/>
        <v>9.2399999999999996E-5</v>
      </c>
      <c r="W601" s="93">
        <f t="shared" si="126"/>
        <v>9.2399999999999996E-5</v>
      </c>
      <c r="X601" s="93">
        <f t="shared" si="122"/>
        <v>1.0348799999999998E-2</v>
      </c>
      <c r="Y601" s="116"/>
    </row>
    <row r="602" spans="1:25" s="90" customFormat="1">
      <c r="A602" s="95" t="s">
        <v>1612</v>
      </c>
      <c r="B602" s="95" t="s">
        <v>1668</v>
      </c>
      <c r="C602" s="95" t="s">
        <v>1427</v>
      </c>
      <c r="D602" s="101" t="s">
        <v>1540</v>
      </c>
      <c r="E602" s="101" t="s">
        <v>1532</v>
      </c>
      <c r="F602" s="101" t="s">
        <v>1671</v>
      </c>
      <c r="G602" s="97" t="s">
        <v>1591</v>
      </c>
      <c r="H602" s="97" t="str">
        <f>IFERROR(VLOOKUP(I602,'Raw material list'!$A$3:$C$695,3,0),"")</f>
        <v>WAT-001</v>
      </c>
      <c r="I602" s="97" t="s">
        <v>1406</v>
      </c>
      <c r="J602" s="101" t="s">
        <v>30</v>
      </c>
      <c r="K602" s="101"/>
      <c r="L602" s="95">
        <v>120</v>
      </c>
      <c r="M602" s="98">
        <f t="shared" si="123"/>
        <v>120</v>
      </c>
      <c r="N602" s="98">
        <v>100</v>
      </c>
      <c r="O602" s="95">
        <v>10</v>
      </c>
      <c r="P602" s="98">
        <f t="shared" si="127"/>
        <v>12</v>
      </c>
      <c r="Q602" s="99">
        <f>IFERROR(VLOOKUP(I602,'Raw material list'!$A$3:$F$695,6,0),"")</f>
        <v>8.0000000000000007E-5</v>
      </c>
      <c r="R602" s="100">
        <f t="shared" si="128"/>
        <v>9.6000000000000013E-4</v>
      </c>
      <c r="S602" s="94">
        <f t="shared" si="129"/>
        <v>9.6000000000000016E-5</v>
      </c>
      <c r="T602" s="94">
        <f t="shared" si="130"/>
        <v>1.0560000000000001E-3</v>
      </c>
      <c r="U602" s="93">
        <f t="shared" si="124"/>
        <v>1.0560000000000002E-4</v>
      </c>
      <c r="V602" s="93">
        <f t="shared" si="125"/>
        <v>1.0560000000000001E-5</v>
      </c>
      <c r="W602" s="93">
        <f t="shared" si="126"/>
        <v>1.0560000000000001E-5</v>
      </c>
      <c r="X602" s="93">
        <f t="shared" si="122"/>
        <v>1.18272E-3</v>
      </c>
      <c r="Y602" s="116"/>
    </row>
    <row r="603" spans="1:25" s="90" customFormat="1">
      <c r="A603" s="95" t="s">
        <v>1612</v>
      </c>
      <c r="B603" s="95" t="s">
        <v>1668</v>
      </c>
      <c r="C603" s="95" t="s">
        <v>1427</v>
      </c>
      <c r="D603" s="101" t="s">
        <v>1540</v>
      </c>
      <c r="E603" s="101" t="s">
        <v>1532</v>
      </c>
      <c r="F603" s="101" t="s">
        <v>1670</v>
      </c>
      <c r="G603" s="101" t="s">
        <v>1541</v>
      </c>
      <c r="H603" s="97" t="str">
        <f>IFERROR(VLOOKUP(I603,'Raw material list'!$A$3:$C$695,3,0),"")</f>
        <v>PRD3-1675</v>
      </c>
      <c r="I603" s="97" t="s">
        <v>943</v>
      </c>
      <c r="J603" s="101" t="s">
        <v>111</v>
      </c>
      <c r="K603" s="101" t="str">
        <f>IFERROR(VLOOKUP(I603,'Raw material list'!$A$3:$E$695,5,0),"")</f>
        <v xml:space="preserve">Gram </v>
      </c>
      <c r="L603" s="95">
        <v>10</v>
      </c>
      <c r="M603" s="98">
        <f t="shared" si="123"/>
        <v>10</v>
      </c>
      <c r="N603" s="98">
        <v>100</v>
      </c>
      <c r="O603" s="95">
        <v>10</v>
      </c>
      <c r="P603" s="98">
        <f t="shared" ref="P603:P678" si="131">IFERROR(L603/O603,0)</f>
        <v>1</v>
      </c>
      <c r="Q603" s="99">
        <f>IFERROR(VLOOKUP(I603,'Raw material list'!$A$3:$F$695,6,0),"")</f>
        <v>1.2E-2</v>
      </c>
      <c r="R603" s="100">
        <f t="shared" si="117"/>
        <v>1.2E-2</v>
      </c>
      <c r="S603" s="94">
        <f t="shared" si="129"/>
        <v>1.2000000000000001E-3</v>
      </c>
      <c r="T603" s="94">
        <f t="shared" si="130"/>
        <v>1.32E-2</v>
      </c>
      <c r="U603" s="93">
        <f t="shared" si="124"/>
        <v>1.32E-3</v>
      </c>
      <c r="V603" s="93">
        <f t="shared" si="125"/>
        <v>1.3200000000000001E-4</v>
      </c>
      <c r="W603" s="93">
        <f t="shared" si="126"/>
        <v>1.3200000000000001E-4</v>
      </c>
      <c r="X603" s="93">
        <f t="shared" si="122"/>
        <v>1.4784E-2</v>
      </c>
      <c r="Y603" s="117"/>
    </row>
    <row r="604" spans="1:25" s="90" customFormat="1">
      <c r="A604" s="95" t="s">
        <v>1612</v>
      </c>
      <c r="B604" s="95" t="s">
        <v>1668</v>
      </c>
      <c r="C604" s="95" t="s">
        <v>1427</v>
      </c>
      <c r="D604" s="101" t="s">
        <v>1540</v>
      </c>
      <c r="E604" s="101" t="s">
        <v>1532</v>
      </c>
      <c r="F604" s="101" t="s">
        <v>1670</v>
      </c>
      <c r="G604" s="101" t="s">
        <v>1542</v>
      </c>
      <c r="H604" s="97" t="str">
        <f>IFERROR(VLOOKUP(I604,'Raw material list'!$A$3:$C$695,3,0),"")</f>
        <v>PRD3-1675</v>
      </c>
      <c r="I604" s="97" t="s">
        <v>943</v>
      </c>
      <c r="J604" s="101" t="s">
        <v>111</v>
      </c>
      <c r="K604" s="101" t="str">
        <f>IFERROR(VLOOKUP(I604,'Raw material list'!$A$3:$E$695,5,0),"")</f>
        <v xml:space="preserve">Gram </v>
      </c>
      <c r="L604" s="95">
        <v>15.38</v>
      </c>
      <c r="M604" s="98">
        <f t="shared" si="123"/>
        <v>15.380000000000003</v>
      </c>
      <c r="N604" s="98">
        <v>100</v>
      </c>
      <c r="O604" s="95">
        <v>10</v>
      </c>
      <c r="P604" s="98">
        <f t="shared" si="131"/>
        <v>1.538</v>
      </c>
      <c r="Q604" s="99">
        <f>IFERROR(VLOOKUP(I604,'Raw material list'!$A$3:$F$695,6,0),"")</f>
        <v>1.2E-2</v>
      </c>
      <c r="R604" s="100">
        <f t="shared" si="117"/>
        <v>1.8456E-2</v>
      </c>
      <c r="S604" s="94">
        <f t="shared" si="129"/>
        <v>1.8456000000000002E-3</v>
      </c>
      <c r="T604" s="94">
        <f t="shared" si="130"/>
        <v>2.03016E-2</v>
      </c>
      <c r="U604" s="93">
        <f t="shared" si="124"/>
        <v>2.03016E-3</v>
      </c>
      <c r="V604" s="93">
        <f t="shared" si="125"/>
        <v>2.0301600000000001E-4</v>
      </c>
      <c r="W604" s="93">
        <f t="shared" si="126"/>
        <v>2.0301600000000001E-4</v>
      </c>
      <c r="X604" s="93">
        <f t="shared" si="122"/>
        <v>2.2737792E-2</v>
      </c>
      <c r="Y604" s="117"/>
    </row>
    <row r="605" spans="1:25" s="90" customFormat="1">
      <c r="A605" s="95" t="s">
        <v>1612</v>
      </c>
      <c r="B605" s="95" t="s">
        <v>1668</v>
      </c>
      <c r="C605" s="95" t="s">
        <v>1427</v>
      </c>
      <c r="D605" s="101" t="s">
        <v>1540</v>
      </c>
      <c r="E605" s="101" t="s">
        <v>1532</v>
      </c>
      <c r="F605" s="101" t="s">
        <v>1670</v>
      </c>
      <c r="G605" s="101" t="s">
        <v>1542</v>
      </c>
      <c r="H605" s="97" t="str">
        <f>IFERROR(VLOOKUP(I605,'Raw material list'!$A$3:$C$695,3,0),"")</f>
        <v>DRS6-537</v>
      </c>
      <c r="I605" s="97" t="s">
        <v>25</v>
      </c>
      <c r="J605" s="101" t="s">
        <v>111</v>
      </c>
      <c r="K605" s="101" t="str">
        <f>IFERROR(VLOOKUP(I605,'Raw material list'!$A$3:$E$695,5,0),"")</f>
        <v xml:space="preserve">Gram </v>
      </c>
      <c r="L605" s="95">
        <v>1.53</v>
      </c>
      <c r="M605" s="98">
        <f t="shared" si="123"/>
        <v>1.53</v>
      </c>
      <c r="N605" s="98">
        <v>100</v>
      </c>
      <c r="O605" s="95">
        <v>10</v>
      </c>
      <c r="P605" s="98">
        <f t="shared" si="131"/>
        <v>0.153</v>
      </c>
      <c r="Q605" s="99">
        <f>IFERROR(VLOOKUP(I605,'Raw material list'!$A$3:$F$695,6,0),"")</f>
        <v>3.5000000000000003E-2</v>
      </c>
      <c r="R605" s="100">
        <f t="shared" si="117"/>
        <v>5.3550000000000004E-3</v>
      </c>
      <c r="S605" s="94">
        <f t="shared" si="129"/>
        <v>5.3550000000000006E-4</v>
      </c>
      <c r="T605" s="94">
        <f t="shared" si="130"/>
        <v>5.8905000000000008E-3</v>
      </c>
      <c r="U605" s="93">
        <f t="shared" si="124"/>
        <v>5.8905000000000014E-4</v>
      </c>
      <c r="V605" s="93">
        <f t="shared" si="125"/>
        <v>5.8905000000000006E-5</v>
      </c>
      <c r="W605" s="93">
        <f t="shared" si="126"/>
        <v>5.8905000000000006E-5</v>
      </c>
      <c r="X605" s="93">
        <f t="shared" si="122"/>
        <v>6.59736E-3</v>
      </c>
      <c r="Y605" s="117"/>
    </row>
    <row r="606" spans="1:25" s="90" customFormat="1">
      <c r="A606" s="95" t="s">
        <v>1612</v>
      </c>
      <c r="B606" s="95" t="s">
        <v>1668</v>
      </c>
      <c r="C606" s="95" t="s">
        <v>1427</v>
      </c>
      <c r="D606" s="101" t="s">
        <v>1540</v>
      </c>
      <c r="E606" s="101" t="s">
        <v>1532</v>
      </c>
      <c r="F606" s="101" t="s">
        <v>1670</v>
      </c>
      <c r="G606" s="101" t="s">
        <v>1542</v>
      </c>
      <c r="H606" s="97" t="str">
        <f>IFERROR(VLOOKUP(I606,'Raw material list'!$A$3:$C$695,3,0),"")</f>
        <v>DRY2-1858</v>
      </c>
      <c r="I606" s="97" t="s">
        <v>42</v>
      </c>
      <c r="J606" s="101" t="s">
        <v>161</v>
      </c>
      <c r="K606" s="101" t="str">
        <f>IFERROR(VLOOKUP(I606,'Raw material list'!$A$3:$E$695,5,0),"")</f>
        <v>Ml</v>
      </c>
      <c r="L606" s="95">
        <v>876.92</v>
      </c>
      <c r="M606" s="98">
        <f t="shared" si="123"/>
        <v>876.92</v>
      </c>
      <c r="N606" s="98">
        <v>100</v>
      </c>
      <c r="O606" s="95">
        <v>10</v>
      </c>
      <c r="P606" s="98">
        <f t="shared" si="131"/>
        <v>87.691999999999993</v>
      </c>
      <c r="Q606" s="99">
        <f>IFERROR(VLOOKUP(I606,'Raw material list'!$A$3:$F$695,6,0),"")</f>
        <v>9.8800000000000016E-3</v>
      </c>
      <c r="R606" s="100">
        <f t="shared" si="117"/>
        <v>0.8663969600000001</v>
      </c>
      <c r="S606" s="94">
        <f t="shared" si="129"/>
        <v>8.6639696000000016E-2</v>
      </c>
      <c r="T606" s="94">
        <f t="shared" si="130"/>
        <v>0.95303665600000009</v>
      </c>
      <c r="U606" s="93">
        <f t="shared" si="124"/>
        <v>9.5303665600000018E-2</v>
      </c>
      <c r="V606" s="93">
        <f t="shared" si="125"/>
        <v>9.5303665600000014E-3</v>
      </c>
      <c r="W606" s="93">
        <f t="shared" si="126"/>
        <v>9.5303665600000014E-3</v>
      </c>
      <c r="X606" s="93">
        <f t="shared" si="122"/>
        <v>1.0674010547199999</v>
      </c>
      <c r="Y606" s="117"/>
    </row>
    <row r="607" spans="1:25" s="90" customFormat="1">
      <c r="A607" s="95" t="s">
        <v>1612</v>
      </c>
      <c r="B607" s="95" t="s">
        <v>1668</v>
      </c>
      <c r="C607" s="95" t="s">
        <v>1427</v>
      </c>
      <c r="D607" s="101" t="s">
        <v>1540</v>
      </c>
      <c r="E607" s="101" t="s">
        <v>1532</v>
      </c>
      <c r="F607" s="101" t="s">
        <v>1670</v>
      </c>
      <c r="G607" s="101" t="s">
        <v>1542</v>
      </c>
      <c r="H607" s="97" t="str">
        <f>IFERROR(VLOOKUP(I607,'Raw material list'!$A$3:$C$695,3,0),"")</f>
        <v>DRS1-3357</v>
      </c>
      <c r="I607" s="97" t="s">
        <v>56</v>
      </c>
      <c r="J607" s="101" t="s">
        <v>111</v>
      </c>
      <c r="K607" s="101" t="str">
        <f>IFERROR(VLOOKUP(I607,'Raw material list'!$A$3:$E$695,5,0),"")</f>
        <v xml:space="preserve">Gram </v>
      </c>
      <c r="L607" s="95">
        <v>13.84</v>
      </c>
      <c r="M607" s="98">
        <f t="shared" si="123"/>
        <v>13.84</v>
      </c>
      <c r="N607" s="98">
        <v>100</v>
      </c>
      <c r="O607" s="95">
        <v>10</v>
      </c>
      <c r="P607" s="98">
        <f t="shared" si="131"/>
        <v>1.3839999999999999</v>
      </c>
      <c r="Q607" s="99">
        <f>IFERROR(VLOOKUP(I607,'Raw material list'!$A$3:$F$695,6,0),"")</f>
        <v>6.8440000000000001E-2</v>
      </c>
      <c r="R607" s="100">
        <f t="shared" si="117"/>
        <v>9.4720959999999993E-2</v>
      </c>
      <c r="S607" s="94">
        <f t="shared" si="129"/>
        <v>9.4720959999999993E-3</v>
      </c>
      <c r="T607" s="94">
        <f t="shared" si="130"/>
        <v>0.10419305599999999</v>
      </c>
      <c r="U607" s="93">
        <f t="shared" si="124"/>
        <v>1.04193056E-2</v>
      </c>
      <c r="V607" s="93">
        <f t="shared" si="125"/>
        <v>1.0419305599999999E-3</v>
      </c>
      <c r="W607" s="93">
        <f t="shared" si="126"/>
        <v>1.0419305599999999E-3</v>
      </c>
      <c r="X607" s="93">
        <f t="shared" si="122"/>
        <v>0.11669622271999999</v>
      </c>
      <c r="Y607" s="117"/>
    </row>
    <row r="608" spans="1:25" s="90" customFormat="1">
      <c r="A608" s="95" t="s">
        <v>1612</v>
      </c>
      <c r="B608" s="95" t="s">
        <v>1668</v>
      </c>
      <c r="C608" s="95" t="s">
        <v>1427</v>
      </c>
      <c r="D608" s="101" t="s">
        <v>1540</v>
      </c>
      <c r="E608" s="101" t="s">
        <v>1532</v>
      </c>
      <c r="F608" s="101" t="s">
        <v>1670</v>
      </c>
      <c r="G608" s="101" t="s">
        <v>1542</v>
      </c>
      <c r="H608" s="97" t="str">
        <f>IFERROR(VLOOKUP(I608,'Raw material list'!$A$3:$C$695,3,0),"")</f>
        <v>PRD1-209</v>
      </c>
      <c r="I608" s="97" t="s">
        <v>26</v>
      </c>
      <c r="J608" s="101" t="s">
        <v>111</v>
      </c>
      <c r="K608" s="101" t="str">
        <f>IFERROR(VLOOKUP(I608,'Raw material list'!$A$3:$E$695,5,0),"")</f>
        <v xml:space="preserve">Gram </v>
      </c>
      <c r="L608" s="95">
        <v>15.38</v>
      </c>
      <c r="M608" s="98">
        <f t="shared" si="123"/>
        <v>40.473684210526315</v>
      </c>
      <c r="N608" s="98">
        <v>38</v>
      </c>
      <c r="O608" s="95">
        <v>10</v>
      </c>
      <c r="P608" s="98">
        <f t="shared" si="131"/>
        <v>1.538</v>
      </c>
      <c r="Q608" s="99">
        <f>IFERROR(VLOOKUP(I608,'Raw material list'!$A$3:$F$695,6,0),"")</f>
        <v>1.0088272383354351E-2</v>
      </c>
      <c r="R608" s="100">
        <f t="shared" si="117"/>
        <v>1.5515762925598992E-2</v>
      </c>
      <c r="S608" s="94">
        <f t="shared" si="129"/>
        <v>1.5515762925598993E-3</v>
      </c>
      <c r="T608" s="94">
        <f t="shared" si="130"/>
        <v>1.7067339218158891E-2</v>
      </c>
      <c r="U608" s="93">
        <f t="shared" si="124"/>
        <v>1.7067339218158892E-3</v>
      </c>
      <c r="V608" s="93">
        <f t="shared" si="125"/>
        <v>1.7067339218158892E-4</v>
      </c>
      <c r="W608" s="93">
        <f t="shared" si="126"/>
        <v>1.7067339218158892E-4</v>
      </c>
      <c r="X608" s="93">
        <f t="shared" si="122"/>
        <v>1.9115419924337958E-2</v>
      </c>
      <c r="Y608" s="117"/>
    </row>
    <row r="609" spans="1:25" s="90" customFormat="1">
      <c r="A609" s="95" t="s">
        <v>1612</v>
      </c>
      <c r="B609" s="95" t="s">
        <v>1668</v>
      </c>
      <c r="C609" s="95" t="s">
        <v>1427</v>
      </c>
      <c r="D609" s="101" t="s">
        <v>1540</v>
      </c>
      <c r="E609" s="101" t="s">
        <v>1532</v>
      </c>
      <c r="F609" s="101" t="s">
        <v>1670</v>
      </c>
      <c r="G609" s="101" t="s">
        <v>1542</v>
      </c>
      <c r="H609" s="97" t="str">
        <f>IFERROR(VLOOKUP(I609,'Raw material list'!$A$3:$C$695,3,0),"")</f>
        <v>WAT-001</v>
      </c>
      <c r="I609" s="97" t="s">
        <v>1406</v>
      </c>
      <c r="J609" s="101" t="s">
        <v>161</v>
      </c>
      <c r="K609" s="101" t="str">
        <f>IFERROR(VLOOKUP(I609,'Raw material list'!$A$3:$E$695,5,0),"")</f>
        <v>Ml</v>
      </c>
      <c r="L609" s="95">
        <v>307.69</v>
      </c>
      <c r="M609" s="98">
        <f t="shared" si="123"/>
        <v>307.69</v>
      </c>
      <c r="N609" s="98">
        <v>100</v>
      </c>
      <c r="O609" s="95">
        <v>10</v>
      </c>
      <c r="P609" s="98">
        <f t="shared" si="131"/>
        <v>30.768999999999998</v>
      </c>
      <c r="Q609" s="99">
        <f>IFERROR(VLOOKUP(I609,'Raw material list'!$A$3:$F$695,6,0),"")</f>
        <v>8.0000000000000007E-5</v>
      </c>
      <c r="R609" s="100">
        <f t="shared" si="117"/>
        <v>2.46152E-3</v>
      </c>
      <c r="S609" s="94">
        <f t="shared" si="129"/>
        <v>2.4615200000000002E-4</v>
      </c>
      <c r="T609" s="94">
        <f t="shared" si="130"/>
        <v>2.7076719999999999E-3</v>
      </c>
      <c r="U609" s="93">
        <f t="shared" si="124"/>
        <v>2.7076720000000001E-4</v>
      </c>
      <c r="V609" s="93">
        <f t="shared" si="125"/>
        <v>2.7076719999999999E-5</v>
      </c>
      <c r="W609" s="93">
        <f t="shared" si="126"/>
        <v>2.7076719999999999E-5</v>
      </c>
      <c r="X609" s="93">
        <f t="shared" si="122"/>
        <v>3.0325926400000002E-3</v>
      </c>
      <c r="Y609" s="117"/>
    </row>
    <row r="610" spans="1:25" s="90" customFormat="1">
      <c r="A610" s="95" t="s">
        <v>1612</v>
      </c>
      <c r="B610" s="95" t="s">
        <v>1668</v>
      </c>
      <c r="C610" s="95" t="s">
        <v>1427</v>
      </c>
      <c r="D610" s="101" t="s">
        <v>1540</v>
      </c>
      <c r="E610" s="101" t="s">
        <v>1532</v>
      </c>
      <c r="F610" s="101" t="s">
        <v>1670</v>
      </c>
      <c r="G610" s="101" t="s">
        <v>1542</v>
      </c>
      <c r="H610" s="97" t="str">
        <f>IFERROR(VLOOKUP(I610,'Raw material list'!$A$3:$C$695,3,0),"")</f>
        <v>DRS5-21</v>
      </c>
      <c r="I610" s="97" t="s">
        <v>412</v>
      </c>
      <c r="J610" s="101" t="s">
        <v>111</v>
      </c>
      <c r="K610" s="101" t="str">
        <f>IFERROR(VLOOKUP(I610,'Raw material list'!$A$3:$E$695,5,0),"")</f>
        <v xml:space="preserve">Gram </v>
      </c>
      <c r="L610" s="95">
        <v>7.69</v>
      </c>
      <c r="M610" s="98">
        <f t="shared" si="123"/>
        <v>7.6900000000000013</v>
      </c>
      <c r="N610" s="98">
        <v>100</v>
      </c>
      <c r="O610" s="95">
        <v>10</v>
      </c>
      <c r="P610" s="98">
        <f t="shared" si="131"/>
        <v>0.76900000000000002</v>
      </c>
      <c r="Q610" s="99">
        <f>IFERROR(VLOOKUP(I610,'Raw material list'!$A$3:$F$695,6,0),"")</f>
        <v>2.0799999999999998E-3</v>
      </c>
      <c r="R610" s="100">
        <f t="shared" si="117"/>
        <v>1.5995199999999999E-3</v>
      </c>
      <c r="S610" s="94">
        <f t="shared" si="129"/>
        <v>1.5995199999999999E-4</v>
      </c>
      <c r="T610" s="94">
        <f t="shared" si="130"/>
        <v>1.7594719999999998E-3</v>
      </c>
      <c r="U610" s="93">
        <f t="shared" si="124"/>
        <v>1.7594719999999999E-4</v>
      </c>
      <c r="V610" s="93">
        <f t="shared" si="125"/>
        <v>1.7594719999999997E-5</v>
      </c>
      <c r="W610" s="93">
        <f t="shared" si="126"/>
        <v>1.7594719999999997E-5</v>
      </c>
      <c r="X610" s="93">
        <f t="shared" si="122"/>
        <v>1.9706086399999996E-3</v>
      </c>
      <c r="Y610" s="117"/>
    </row>
    <row r="611" spans="1:25" s="90" customFormat="1">
      <c r="A611" s="95" t="s">
        <v>1612</v>
      </c>
      <c r="B611" s="95" t="s">
        <v>1668</v>
      </c>
      <c r="C611" s="95" t="s">
        <v>1427</v>
      </c>
      <c r="D611" s="101" t="s">
        <v>1540</v>
      </c>
      <c r="E611" s="101" t="s">
        <v>1532</v>
      </c>
      <c r="F611" s="101" t="s">
        <v>1670</v>
      </c>
      <c r="G611" s="101" t="s">
        <v>1542</v>
      </c>
      <c r="H611" s="97" t="str">
        <f>IFERROR(VLOOKUP(I611,'Raw material list'!$A$3:$C$695,3,0),"")</f>
        <v>WAT-001</v>
      </c>
      <c r="I611" s="97" t="s">
        <v>1406</v>
      </c>
      <c r="J611" s="101" t="s">
        <v>161</v>
      </c>
      <c r="K611" s="101" t="str">
        <f>IFERROR(VLOOKUP(I611,'Raw material list'!$A$3:$E$695,5,0),"")</f>
        <v>Ml</v>
      </c>
      <c r="L611" s="95">
        <v>23.07</v>
      </c>
      <c r="M611" s="98">
        <f t="shared" si="123"/>
        <v>23.07</v>
      </c>
      <c r="N611" s="98">
        <v>100</v>
      </c>
      <c r="O611" s="95">
        <v>10</v>
      </c>
      <c r="P611" s="98">
        <f t="shared" si="131"/>
        <v>2.3069999999999999</v>
      </c>
      <c r="Q611" s="99">
        <f>IFERROR(VLOOKUP(I611,'Raw material list'!$A$3:$F$695,6,0),"")</f>
        <v>8.0000000000000007E-5</v>
      </c>
      <c r="R611" s="100">
        <f t="shared" si="117"/>
        <v>1.8456000000000001E-4</v>
      </c>
      <c r="S611" s="94">
        <f t="shared" si="129"/>
        <v>1.8456000000000001E-5</v>
      </c>
      <c r="T611" s="94">
        <f t="shared" si="130"/>
        <v>2.0301600000000001E-4</v>
      </c>
      <c r="U611" s="93">
        <f t="shared" si="124"/>
        <v>2.0301600000000002E-5</v>
      </c>
      <c r="V611" s="93">
        <f t="shared" si="125"/>
        <v>2.0301600000000002E-6</v>
      </c>
      <c r="W611" s="93">
        <f t="shared" si="126"/>
        <v>2.0301600000000002E-6</v>
      </c>
      <c r="X611" s="93">
        <f t="shared" si="122"/>
        <v>2.2737792E-4</v>
      </c>
      <c r="Y611" s="117"/>
    </row>
    <row r="612" spans="1:25" s="90" customFormat="1">
      <c r="A612" s="95" t="s">
        <v>1612</v>
      </c>
      <c r="B612" s="95" t="s">
        <v>1668</v>
      </c>
      <c r="C612" s="95" t="s">
        <v>1427</v>
      </c>
      <c r="D612" s="101" t="s">
        <v>1540</v>
      </c>
      <c r="E612" s="101" t="s">
        <v>1532</v>
      </c>
      <c r="F612" s="101" t="s">
        <v>1670</v>
      </c>
      <c r="G612" s="101" t="s">
        <v>1542</v>
      </c>
      <c r="H612" s="97" t="str">
        <f>IFERROR(VLOOKUP(I612,'Raw material list'!$A$3:$C$695,3,0),"")</f>
        <v>DRS1-114</v>
      </c>
      <c r="I612" s="97" t="s">
        <v>279</v>
      </c>
      <c r="J612" s="101" t="s">
        <v>111</v>
      </c>
      <c r="K612" s="101" t="str">
        <f>IFERROR(VLOOKUP(I612,'Raw material list'!$A$3:$E$695,5,0),"")</f>
        <v xml:space="preserve">Gram </v>
      </c>
      <c r="L612" s="95">
        <v>2.5</v>
      </c>
      <c r="M612" s="98">
        <f t="shared" si="123"/>
        <v>2.5</v>
      </c>
      <c r="N612" s="98">
        <v>100</v>
      </c>
      <c r="O612" s="95">
        <v>10</v>
      </c>
      <c r="P612" s="98">
        <f t="shared" si="131"/>
        <v>0.25</v>
      </c>
      <c r="Q612" s="99">
        <f>IFERROR(VLOOKUP(I612,'Raw material list'!$A$3:$F$695,6,0),"")</f>
        <v>4.7489823609226586E-3</v>
      </c>
      <c r="R612" s="100">
        <f t="shared" ref="R612:R686" si="132">IFERROR(Q612*P612,0)</f>
        <v>1.1872455902306647E-3</v>
      </c>
      <c r="S612" s="94">
        <f t="shared" si="129"/>
        <v>1.1872455902306647E-4</v>
      </c>
      <c r="T612" s="94">
        <f t="shared" si="130"/>
        <v>1.3059701492537312E-3</v>
      </c>
      <c r="U612" s="93">
        <f t="shared" si="124"/>
        <v>1.3059701492537312E-4</v>
      </c>
      <c r="V612" s="93">
        <f t="shared" si="125"/>
        <v>1.3059701492537312E-5</v>
      </c>
      <c r="W612" s="93">
        <f t="shared" si="126"/>
        <v>1.3059701492537312E-5</v>
      </c>
      <c r="X612" s="93">
        <f t="shared" si="122"/>
        <v>1.4626865671641791E-3</v>
      </c>
      <c r="Y612" s="117"/>
    </row>
    <row r="613" spans="1:25" s="90" customFormat="1">
      <c r="A613" s="95" t="s">
        <v>1528</v>
      </c>
      <c r="B613" s="95" t="s">
        <v>1668</v>
      </c>
      <c r="C613" s="95" t="s">
        <v>1427</v>
      </c>
      <c r="D613" s="101" t="s">
        <v>1551</v>
      </c>
      <c r="E613" s="101" t="s">
        <v>1550</v>
      </c>
      <c r="F613" s="101" t="s">
        <v>1671</v>
      </c>
      <c r="G613" s="101" t="s">
        <v>1616</v>
      </c>
      <c r="H613" s="97" t="str">
        <f>IFERROR(VLOOKUP(I613,'Raw material list'!$A$3:$C$695,3,0),"")</f>
        <v>MET2-1051</v>
      </c>
      <c r="I613" s="97" t="s">
        <v>882</v>
      </c>
      <c r="J613" s="101" t="s">
        <v>111</v>
      </c>
      <c r="K613" s="101" t="str">
        <f>IFERROR(VLOOKUP(I613,'Raw material list'!$A$3:$E$695,5,0),"")</f>
        <v xml:space="preserve">Gram </v>
      </c>
      <c r="L613" s="95">
        <v>1500</v>
      </c>
      <c r="M613" s="98">
        <f t="shared" si="123"/>
        <v>2918.2879377431905</v>
      </c>
      <c r="N613" s="98">
        <v>51.4</v>
      </c>
      <c r="O613" s="95">
        <v>10</v>
      </c>
      <c r="P613" s="98">
        <f t="shared" si="131"/>
        <v>150</v>
      </c>
      <c r="Q613" s="99">
        <f>IFERROR(VLOOKUP(I613,'Raw material list'!$A$3:$F$695,6,0),"")</f>
        <v>8.4705882352941173E-2</v>
      </c>
      <c r="R613" s="100">
        <f t="shared" si="132"/>
        <v>12.705882352941176</v>
      </c>
      <c r="S613" s="94">
        <f t="shared" si="129"/>
        <v>1.2705882352941176</v>
      </c>
      <c r="T613" s="94">
        <f t="shared" si="130"/>
        <v>13.976470588235294</v>
      </c>
      <c r="U613" s="93">
        <f t="shared" si="124"/>
        <v>1.3976470588235295</v>
      </c>
      <c r="V613" s="93">
        <f t="shared" si="125"/>
        <v>0.13976470588235296</v>
      </c>
      <c r="W613" s="93">
        <f t="shared" si="126"/>
        <v>0.13976470588235296</v>
      </c>
      <c r="X613" s="93">
        <f t="shared" si="122"/>
        <v>15.65364705882353</v>
      </c>
      <c r="Y613" s="127" t="s">
        <v>1677</v>
      </c>
    </row>
    <row r="614" spans="1:25" s="90" customFormat="1">
      <c r="A614" s="95" t="s">
        <v>1528</v>
      </c>
      <c r="B614" s="95" t="s">
        <v>1668</v>
      </c>
      <c r="C614" s="95" t="s">
        <v>1427</v>
      </c>
      <c r="D614" s="101" t="s">
        <v>1551</v>
      </c>
      <c r="E614" s="101" t="s">
        <v>1550</v>
      </c>
      <c r="F614" s="101" t="s">
        <v>1670</v>
      </c>
      <c r="G614" s="101"/>
      <c r="H614" s="97" t="str">
        <f>IFERROR(VLOOKUP(I614,'Raw material list'!$A$3:$C$695,3,0),"")</f>
        <v>DRS2-4321</v>
      </c>
      <c r="I614" s="97" t="s">
        <v>526</v>
      </c>
      <c r="J614" s="101" t="s">
        <v>111</v>
      </c>
      <c r="K614" s="101" t="str">
        <f>IFERROR(VLOOKUP(I614,'Raw material list'!$A$3:$E$695,5,0),"")</f>
        <v xml:space="preserve">Gram </v>
      </c>
      <c r="L614" s="95">
        <v>700</v>
      </c>
      <c r="M614" s="98">
        <f t="shared" si="123"/>
        <v>700</v>
      </c>
      <c r="N614" s="98">
        <v>100</v>
      </c>
      <c r="O614" s="95">
        <v>10</v>
      </c>
      <c r="P614" s="98">
        <f t="shared" si="131"/>
        <v>70</v>
      </c>
      <c r="Q614" s="99">
        <f>IFERROR(VLOOKUP(I614,'Raw material list'!$A$3:$F$695,6,0),"")</f>
        <v>8.0299999999999989E-3</v>
      </c>
      <c r="R614" s="100">
        <f t="shared" si="132"/>
        <v>0.56209999999999993</v>
      </c>
      <c r="S614" s="94">
        <f t="shared" si="129"/>
        <v>5.6209999999999996E-2</v>
      </c>
      <c r="T614" s="94">
        <f t="shared" si="130"/>
        <v>0.61830999999999992</v>
      </c>
      <c r="U614" s="93">
        <f t="shared" si="124"/>
        <v>6.1830999999999997E-2</v>
      </c>
      <c r="V614" s="93">
        <f t="shared" si="125"/>
        <v>6.1830999999999995E-3</v>
      </c>
      <c r="W614" s="93">
        <f t="shared" si="126"/>
        <v>6.1830999999999995E-3</v>
      </c>
      <c r="X614" s="93">
        <f t="shared" si="122"/>
        <v>0.69250719999999988</v>
      </c>
      <c r="Y614" s="117"/>
    </row>
    <row r="615" spans="1:25" s="90" customFormat="1">
      <c r="A615" s="95" t="s">
        <v>1528</v>
      </c>
      <c r="B615" s="95" t="s">
        <v>1668</v>
      </c>
      <c r="C615" s="95" t="s">
        <v>1427</v>
      </c>
      <c r="D615" s="101" t="s">
        <v>1551</v>
      </c>
      <c r="E615" s="101" t="s">
        <v>1550</v>
      </c>
      <c r="F615" s="101" t="s">
        <v>1671</v>
      </c>
      <c r="G615" s="101" t="s">
        <v>1616</v>
      </c>
      <c r="H615" s="97" t="str">
        <f>IFERROR(VLOOKUP(I615,'Raw material list'!$A$3:$C$695,3,0),"")</f>
        <v>DRS1-1142</v>
      </c>
      <c r="I615" s="97" t="s">
        <v>775</v>
      </c>
      <c r="J615" s="101" t="s">
        <v>111</v>
      </c>
      <c r="K615" s="101" t="str">
        <f>IFERROR(VLOOKUP(I615,'Raw material list'!$A$3:$E$695,5,0),"")</f>
        <v>Ml</v>
      </c>
      <c r="L615" s="95">
        <v>100</v>
      </c>
      <c r="M615" s="98">
        <f t="shared" si="123"/>
        <v>100</v>
      </c>
      <c r="N615" s="98">
        <v>100</v>
      </c>
      <c r="O615" s="95">
        <v>10</v>
      </c>
      <c r="P615" s="98">
        <f t="shared" ref="P615:P620" si="133">IFERROR(L615/O615,0)</f>
        <v>10</v>
      </c>
      <c r="Q615" s="99">
        <f>IFERROR(VLOOKUP(I615,'Raw material list'!$A$3:$F$695,6,0),"")</f>
        <v>2.358E-2</v>
      </c>
      <c r="R615" s="100">
        <f t="shared" ref="R615:R620" si="134">IFERROR(Q615*P615,0)</f>
        <v>0.23580000000000001</v>
      </c>
      <c r="S615" s="94">
        <f t="shared" si="129"/>
        <v>2.3580000000000004E-2</v>
      </c>
      <c r="T615" s="94">
        <f t="shared" si="130"/>
        <v>0.25938</v>
      </c>
      <c r="U615" s="93">
        <f t="shared" si="124"/>
        <v>2.5938000000000003E-2</v>
      </c>
      <c r="V615" s="93">
        <f t="shared" si="125"/>
        <v>2.5937999999999998E-3</v>
      </c>
      <c r="W615" s="93">
        <f t="shared" si="126"/>
        <v>2.5937999999999998E-3</v>
      </c>
      <c r="X615" s="93">
        <f t="shared" si="122"/>
        <v>0.29050559999999997</v>
      </c>
      <c r="Y615" s="117"/>
    </row>
    <row r="616" spans="1:25" s="90" customFormat="1">
      <c r="A616" s="95" t="s">
        <v>1528</v>
      </c>
      <c r="B616" s="95" t="s">
        <v>1668</v>
      </c>
      <c r="C616" s="95" t="s">
        <v>1427</v>
      </c>
      <c r="D616" s="101" t="s">
        <v>1551</v>
      </c>
      <c r="E616" s="101" t="s">
        <v>1550</v>
      </c>
      <c r="F616" s="101" t="s">
        <v>1671</v>
      </c>
      <c r="G616" s="101" t="s">
        <v>1616</v>
      </c>
      <c r="H616" s="97" t="str">
        <f>IFERROR(VLOOKUP(I616,'Raw material list'!$A$3:$C$695,3,0),"")</f>
        <v>PRD1-4327</v>
      </c>
      <c r="I616" s="97" t="s">
        <v>11</v>
      </c>
      <c r="J616" s="101" t="s">
        <v>111</v>
      </c>
      <c r="K616" s="101" t="str">
        <f>IFERROR(VLOOKUP(I616,'Raw material list'!$A$3:$E$695,5,0),"")</f>
        <v xml:space="preserve">Gram </v>
      </c>
      <c r="L616" s="95">
        <v>10</v>
      </c>
      <c r="M616" s="98">
        <f t="shared" si="123"/>
        <v>12.5</v>
      </c>
      <c r="N616" s="133">
        <v>80</v>
      </c>
      <c r="O616" s="95">
        <v>10</v>
      </c>
      <c r="P616" s="98">
        <f t="shared" si="133"/>
        <v>1</v>
      </c>
      <c r="Q616" s="99">
        <f>IFERROR(VLOOKUP(I616,'Raw material list'!$A$3:$F$695,6,0),"")</f>
        <v>1.2999999999999999E-2</v>
      </c>
      <c r="R616" s="100">
        <f t="shared" si="134"/>
        <v>1.2999999999999999E-2</v>
      </c>
      <c r="S616" s="94">
        <f t="shared" si="129"/>
        <v>1.2999999999999999E-3</v>
      </c>
      <c r="T616" s="94">
        <f t="shared" si="130"/>
        <v>1.43E-2</v>
      </c>
      <c r="U616" s="93">
        <f t="shared" si="124"/>
        <v>1.4300000000000001E-3</v>
      </c>
      <c r="V616" s="93">
        <f t="shared" si="125"/>
        <v>1.4300000000000001E-4</v>
      </c>
      <c r="W616" s="93">
        <f t="shared" si="126"/>
        <v>1.4300000000000001E-4</v>
      </c>
      <c r="X616" s="93">
        <f t="shared" si="122"/>
        <v>1.6016000000000002E-2</v>
      </c>
      <c r="Y616" s="117"/>
    </row>
    <row r="617" spans="1:25" s="90" customFormat="1">
      <c r="A617" s="95" t="s">
        <v>1528</v>
      </c>
      <c r="B617" s="95" t="s">
        <v>1668</v>
      </c>
      <c r="C617" s="95" t="s">
        <v>1427</v>
      </c>
      <c r="D617" s="101" t="s">
        <v>1551</v>
      </c>
      <c r="E617" s="101" t="s">
        <v>1550</v>
      </c>
      <c r="F617" s="101" t="s">
        <v>1671</v>
      </c>
      <c r="G617" s="101" t="s">
        <v>1616</v>
      </c>
      <c r="H617" s="97" t="str">
        <f>IFERROR(VLOOKUP(I617,'Raw material list'!$A$3:$C$695,3,0),"")</f>
        <v>PRD1-209</v>
      </c>
      <c r="I617" s="97" t="s">
        <v>26</v>
      </c>
      <c r="J617" s="101" t="s">
        <v>111</v>
      </c>
      <c r="K617" s="101" t="str">
        <f>IFERROR(VLOOKUP(I617,'Raw material list'!$A$3:$E$695,5,0),"")</f>
        <v xml:space="preserve">Gram </v>
      </c>
      <c r="L617" s="95">
        <v>15</v>
      </c>
      <c r="M617" s="98">
        <f t="shared" si="123"/>
        <v>39.473684210526315</v>
      </c>
      <c r="N617" s="98">
        <v>38</v>
      </c>
      <c r="O617" s="95">
        <v>10</v>
      </c>
      <c r="P617" s="98">
        <f t="shared" si="133"/>
        <v>1.5</v>
      </c>
      <c r="Q617" s="99">
        <f>IFERROR(VLOOKUP(I617,'Raw material list'!$A$3:$F$695,6,0),"")</f>
        <v>1.0088272383354351E-2</v>
      </c>
      <c r="R617" s="100">
        <f t="shared" si="134"/>
        <v>1.5132408575031526E-2</v>
      </c>
      <c r="S617" s="94">
        <f t="shared" si="129"/>
        <v>1.5132408575031526E-3</v>
      </c>
      <c r="T617" s="94">
        <f t="shared" si="130"/>
        <v>1.664564943253468E-2</v>
      </c>
      <c r="U617" s="93">
        <f t="shared" si="124"/>
        <v>1.6645649432534681E-3</v>
      </c>
      <c r="V617" s="93">
        <f t="shared" si="125"/>
        <v>1.6645649432534682E-4</v>
      </c>
      <c r="W617" s="93">
        <f t="shared" si="126"/>
        <v>1.6645649432534682E-4</v>
      </c>
      <c r="X617" s="93">
        <f t="shared" si="122"/>
        <v>1.8643127364438843E-2</v>
      </c>
      <c r="Y617" s="117"/>
    </row>
    <row r="618" spans="1:25" s="90" customFormat="1">
      <c r="A618" s="95" t="s">
        <v>1528</v>
      </c>
      <c r="B618" s="95" t="s">
        <v>1668</v>
      </c>
      <c r="C618" s="95" t="s">
        <v>1427</v>
      </c>
      <c r="D618" s="101" t="s">
        <v>1551</v>
      </c>
      <c r="E618" s="101" t="s">
        <v>1550</v>
      </c>
      <c r="F618" s="101" t="s">
        <v>1671</v>
      </c>
      <c r="G618" s="101" t="s">
        <v>1616</v>
      </c>
      <c r="H618" s="97" t="str">
        <f>IFERROR(VLOOKUP(I618,'Raw material list'!$A$3:$C$695,3,0),"")</f>
        <v>DRS6-537</v>
      </c>
      <c r="I618" s="97" t="s">
        <v>25</v>
      </c>
      <c r="J618" s="101" t="s">
        <v>111</v>
      </c>
      <c r="K618" s="101" t="str">
        <f>IFERROR(VLOOKUP(I618,'Raw material list'!$A$3:$E$695,5,0),"")</f>
        <v xml:space="preserve">Gram </v>
      </c>
      <c r="L618" s="95">
        <v>1</v>
      </c>
      <c r="M618" s="98">
        <f t="shared" si="123"/>
        <v>1</v>
      </c>
      <c r="N618" s="98">
        <v>100</v>
      </c>
      <c r="O618" s="95">
        <v>10</v>
      </c>
      <c r="P618" s="98">
        <f t="shared" si="133"/>
        <v>0.1</v>
      </c>
      <c r="Q618" s="99">
        <f>IFERROR(VLOOKUP(I618,'Raw material list'!$A$3:$F$695,6,0),"")</f>
        <v>3.5000000000000003E-2</v>
      </c>
      <c r="R618" s="100">
        <f t="shared" si="134"/>
        <v>3.5000000000000005E-3</v>
      </c>
      <c r="S618" s="94">
        <f t="shared" si="129"/>
        <v>3.5000000000000005E-4</v>
      </c>
      <c r="T618" s="94">
        <f t="shared" si="130"/>
        <v>3.8500000000000006E-3</v>
      </c>
      <c r="U618" s="93">
        <f t="shared" si="124"/>
        <v>3.8500000000000009E-4</v>
      </c>
      <c r="V618" s="93">
        <f t="shared" si="125"/>
        <v>3.8500000000000007E-5</v>
      </c>
      <c r="W618" s="93">
        <f t="shared" si="126"/>
        <v>3.8500000000000007E-5</v>
      </c>
      <c r="X618" s="93">
        <f t="shared" si="122"/>
        <v>4.3120000000000016E-3</v>
      </c>
      <c r="Y618" s="117"/>
    </row>
    <row r="619" spans="1:25" s="90" customFormat="1">
      <c r="A619" s="95" t="s">
        <v>1528</v>
      </c>
      <c r="B619" s="95" t="s">
        <v>1668</v>
      </c>
      <c r="C619" s="95" t="s">
        <v>1427</v>
      </c>
      <c r="D619" s="101" t="s">
        <v>1551</v>
      </c>
      <c r="E619" s="101" t="s">
        <v>1550</v>
      </c>
      <c r="F619" s="101" t="s">
        <v>1671</v>
      </c>
      <c r="G619" s="101" t="s">
        <v>1616</v>
      </c>
      <c r="H619" s="97" t="str">
        <f>IFERROR(VLOOKUP(I619,'Raw material list'!$A$3:$C$695,3,0),"")</f>
        <v>WAT-001</v>
      </c>
      <c r="I619" s="97" t="s">
        <v>1406</v>
      </c>
      <c r="J619" s="101" t="s">
        <v>111</v>
      </c>
      <c r="K619" s="101" t="str">
        <f>IFERROR(VLOOKUP(I619,'Raw material list'!$A$3:$E$695,5,0),"")</f>
        <v>Ml</v>
      </c>
      <c r="L619" s="95">
        <v>100</v>
      </c>
      <c r="M619" s="98">
        <f t="shared" si="123"/>
        <v>100</v>
      </c>
      <c r="N619" s="98">
        <v>100</v>
      </c>
      <c r="O619" s="95">
        <v>10</v>
      </c>
      <c r="P619" s="98">
        <f t="shared" si="133"/>
        <v>10</v>
      </c>
      <c r="Q619" s="99">
        <f>IFERROR(VLOOKUP(I619,'Raw material list'!$A$3:$F$695,6,0),"")</f>
        <v>8.0000000000000007E-5</v>
      </c>
      <c r="R619" s="100">
        <f t="shared" si="134"/>
        <v>8.0000000000000004E-4</v>
      </c>
      <c r="S619" s="94">
        <f t="shared" si="129"/>
        <v>8.0000000000000007E-5</v>
      </c>
      <c r="T619" s="94">
        <f t="shared" si="130"/>
        <v>8.8000000000000003E-4</v>
      </c>
      <c r="U619" s="93">
        <f t="shared" si="124"/>
        <v>8.8000000000000011E-5</v>
      </c>
      <c r="V619" s="93">
        <f t="shared" si="125"/>
        <v>8.8000000000000004E-6</v>
      </c>
      <c r="W619" s="93">
        <f t="shared" si="126"/>
        <v>8.8000000000000004E-6</v>
      </c>
      <c r="X619" s="93">
        <f t="shared" si="122"/>
        <v>9.856000000000001E-4</v>
      </c>
      <c r="Y619" s="117"/>
    </row>
    <row r="620" spans="1:25" s="90" customFormat="1">
      <c r="A620" s="95" t="s">
        <v>1528</v>
      </c>
      <c r="B620" s="95" t="s">
        <v>1668</v>
      </c>
      <c r="C620" s="95" t="s">
        <v>1427</v>
      </c>
      <c r="D620" s="101" t="s">
        <v>1551</v>
      </c>
      <c r="E620" s="101" t="s">
        <v>1550</v>
      </c>
      <c r="F620" s="101" t="s">
        <v>1671</v>
      </c>
      <c r="G620" s="101" t="s">
        <v>1616</v>
      </c>
      <c r="H620" s="97" t="str">
        <f>IFERROR(VLOOKUP(I620,'Raw material list'!$A$3:$C$695,3,0),"")</f>
        <v>PRD1-573</v>
      </c>
      <c r="I620" s="97" t="s">
        <v>1059</v>
      </c>
      <c r="J620" s="101" t="s">
        <v>111</v>
      </c>
      <c r="K620" s="101" t="str">
        <f>IFERROR(VLOOKUP(I620,'Raw material list'!$A$3:$E$695,5,0),"")</f>
        <v xml:space="preserve">Gram </v>
      </c>
      <c r="L620" s="95">
        <v>10</v>
      </c>
      <c r="M620" s="98">
        <f t="shared" si="123"/>
        <v>13.698630136986301</v>
      </c>
      <c r="N620" s="98">
        <v>73</v>
      </c>
      <c r="O620" s="95">
        <v>10</v>
      </c>
      <c r="P620" s="98">
        <f t="shared" si="133"/>
        <v>1</v>
      </c>
      <c r="Q620" s="99">
        <f>IFERROR(VLOOKUP(I620,'Raw material list'!$A$3:$F$695,6,0),"")</f>
        <v>5.4794520547945206E-3</v>
      </c>
      <c r="R620" s="100">
        <f t="shared" si="134"/>
        <v>5.4794520547945206E-3</v>
      </c>
      <c r="S620" s="94">
        <f t="shared" si="129"/>
        <v>5.4794520547945212E-4</v>
      </c>
      <c r="T620" s="94">
        <f t="shared" si="130"/>
        <v>6.0273972602739728E-3</v>
      </c>
      <c r="U620" s="93">
        <f t="shared" si="124"/>
        <v>6.027397260273973E-4</v>
      </c>
      <c r="V620" s="93">
        <f t="shared" si="125"/>
        <v>6.027397260273973E-5</v>
      </c>
      <c r="W620" s="93">
        <f t="shared" si="126"/>
        <v>6.027397260273973E-5</v>
      </c>
      <c r="X620" s="93">
        <f t="shared" si="122"/>
        <v>6.7506849315068507E-3</v>
      </c>
      <c r="Y620" s="117"/>
    </row>
    <row r="621" spans="1:25" s="90" customFormat="1">
      <c r="A621" s="95" t="s">
        <v>1528</v>
      </c>
      <c r="B621" s="95" t="s">
        <v>1668</v>
      </c>
      <c r="C621" s="95" t="s">
        <v>1427</v>
      </c>
      <c r="D621" s="101" t="s">
        <v>1551</v>
      </c>
      <c r="E621" s="101" t="s">
        <v>1550</v>
      </c>
      <c r="F621" s="101" t="s">
        <v>1670</v>
      </c>
      <c r="G621" s="101" t="s">
        <v>1687</v>
      </c>
      <c r="H621" s="97" t="str">
        <f>IFERROR(VLOOKUP(I621,'Raw material list'!$A$3:$C$695,3,0),"")</f>
        <v>PRD1-194</v>
      </c>
      <c r="I621" s="97" t="s">
        <v>991</v>
      </c>
      <c r="J621" s="101" t="s">
        <v>111</v>
      </c>
      <c r="K621" s="101" t="str">
        <f>IFERROR(VLOOKUP(I621,'Raw material list'!$A$3:$E$695,5,0),"")</f>
        <v xml:space="preserve">Gram </v>
      </c>
      <c r="L621" s="95">
        <v>10</v>
      </c>
      <c r="M621" s="98">
        <f t="shared" si="123"/>
        <v>10.869565217391305</v>
      </c>
      <c r="N621" s="133">
        <v>92</v>
      </c>
      <c r="O621" s="95">
        <v>10</v>
      </c>
      <c r="P621" s="98">
        <f t="shared" si="131"/>
        <v>1</v>
      </c>
      <c r="Q621" s="99">
        <f>IFERROR(VLOOKUP(I621,'Raw material list'!$A$3:$F$695,6,0),"")</f>
        <v>0.11</v>
      </c>
      <c r="R621" s="100">
        <f t="shared" si="132"/>
        <v>0.11</v>
      </c>
      <c r="S621" s="94">
        <f t="shared" si="129"/>
        <v>1.1000000000000001E-2</v>
      </c>
      <c r="T621" s="94">
        <f t="shared" si="130"/>
        <v>0.121</v>
      </c>
      <c r="U621" s="93">
        <f t="shared" si="124"/>
        <v>1.21E-2</v>
      </c>
      <c r="V621" s="93">
        <f t="shared" si="125"/>
        <v>1.2099999999999999E-3</v>
      </c>
      <c r="W621" s="93">
        <f t="shared" si="126"/>
        <v>1.2099999999999999E-3</v>
      </c>
      <c r="X621" s="93">
        <f t="shared" si="122"/>
        <v>0.13551999999999997</v>
      </c>
      <c r="Y621" s="117"/>
    </row>
    <row r="622" spans="1:25" s="90" customFormat="1">
      <c r="A622" s="95" t="s">
        <v>1528</v>
      </c>
      <c r="B622" s="95" t="s">
        <v>1668</v>
      </c>
      <c r="C622" s="95" t="s">
        <v>1427</v>
      </c>
      <c r="D622" s="101" t="s">
        <v>1551</v>
      </c>
      <c r="E622" s="101" t="s">
        <v>1550</v>
      </c>
      <c r="F622" s="101" t="s">
        <v>1670</v>
      </c>
      <c r="G622" s="101" t="s">
        <v>1688</v>
      </c>
      <c r="H622" s="97" t="str">
        <f>IFERROR(VLOOKUP(I622,'Raw material list'!$A$3:$C$695,3,0),"")</f>
        <v>DRY1-602</v>
      </c>
      <c r="I622" s="97" t="s">
        <v>65</v>
      </c>
      <c r="J622" s="101" t="s">
        <v>111</v>
      </c>
      <c r="K622" s="101" t="str">
        <f>IFERROR(VLOOKUP(I622,'Raw material list'!$A$3:$E$695,5,0),"")</f>
        <v xml:space="preserve">Gram </v>
      </c>
      <c r="L622" s="95">
        <v>40</v>
      </c>
      <c r="M622" s="98">
        <f t="shared" si="123"/>
        <v>40</v>
      </c>
      <c r="N622" s="98">
        <v>100</v>
      </c>
      <c r="O622" s="95">
        <v>10</v>
      </c>
      <c r="P622" s="98">
        <f t="shared" si="131"/>
        <v>4</v>
      </c>
      <c r="Q622" s="99">
        <f>IFERROR(VLOOKUP(I622,'Raw material list'!$A$3:$F$695,6,0),"")</f>
        <v>5.5E-2</v>
      </c>
      <c r="R622" s="100">
        <f t="shared" si="132"/>
        <v>0.22</v>
      </c>
      <c r="S622" s="94">
        <f t="shared" si="129"/>
        <v>2.2000000000000002E-2</v>
      </c>
      <c r="T622" s="94">
        <f t="shared" si="130"/>
        <v>0.24199999999999999</v>
      </c>
      <c r="U622" s="93">
        <f t="shared" si="124"/>
        <v>2.4199999999999999E-2</v>
      </c>
      <c r="V622" s="93">
        <f t="shared" si="125"/>
        <v>2.4199999999999998E-3</v>
      </c>
      <c r="W622" s="93">
        <f t="shared" si="126"/>
        <v>2.4199999999999998E-3</v>
      </c>
      <c r="X622" s="93">
        <f t="shared" si="122"/>
        <v>0.27103999999999995</v>
      </c>
      <c r="Y622" s="117"/>
    </row>
    <row r="623" spans="1:25" s="90" customFormat="1">
      <c r="A623" s="95" t="s">
        <v>1528</v>
      </c>
      <c r="B623" s="95" t="s">
        <v>1668</v>
      </c>
      <c r="C623" s="95" t="s">
        <v>1427</v>
      </c>
      <c r="D623" s="101" t="s">
        <v>1551</v>
      </c>
      <c r="E623" s="101" t="s">
        <v>1550</v>
      </c>
      <c r="F623" s="101" t="s">
        <v>1670</v>
      </c>
      <c r="G623" s="101" t="s">
        <v>1442</v>
      </c>
      <c r="H623" s="97" t="str">
        <f>IFERROR(VLOOKUP(I623,'Raw material list'!$A$3:$C$695,3,0),"")</f>
        <v>PRD1-4265</v>
      </c>
      <c r="I623" s="97" t="s">
        <v>10</v>
      </c>
      <c r="J623" s="101" t="s">
        <v>111</v>
      </c>
      <c r="K623" s="101" t="str">
        <f>IFERROR(VLOOKUP(I623,'Raw material list'!$A$3:$E$695,5,0),"")</f>
        <v xml:space="preserve">Gram </v>
      </c>
      <c r="L623" s="95">
        <v>80</v>
      </c>
      <c r="M623" s="98">
        <f t="shared" si="123"/>
        <v>94.117647058823522</v>
      </c>
      <c r="N623" s="98">
        <v>85</v>
      </c>
      <c r="O623" s="95">
        <v>10</v>
      </c>
      <c r="P623" s="98">
        <f t="shared" si="131"/>
        <v>8</v>
      </c>
      <c r="Q623" s="99">
        <f>IFERROR(VLOOKUP(I623,'Raw material list'!$A$3:$F$695,6,0),"")</f>
        <v>3.529411764705882E-3</v>
      </c>
      <c r="R623" s="100">
        <f t="shared" si="132"/>
        <v>2.8235294117647056E-2</v>
      </c>
      <c r="S623" s="94">
        <f t="shared" si="129"/>
        <v>2.8235294117647056E-3</v>
      </c>
      <c r="T623" s="94">
        <f t="shared" si="130"/>
        <v>3.1058823529411764E-2</v>
      </c>
      <c r="U623" s="93">
        <f t="shared" si="124"/>
        <v>3.1058823529411766E-3</v>
      </c>
      <c r="V623" s="93">
        <f t="shared" si="125"/>
        <v>3.1058823529411762E-4</v>
      </c>
      <c r="W623" s="93">
        <f t="shared" si="126"/>
        <v>3.1058823529411762E-4</v>
      </c>
      <c r="X623" s="93">
        <f t="shared" si="122"/>
        <v>3.4785882352941173E-2</v>
      </c>
      <c r="Y623" s="117"/>
    </row>
    <row r="624" spans="1:25" s="90" customFormat="1">
      <c r="A624" s="95" t="s">
        <v>1528</v>
      </c>
      <c r="B624" s="95" t="s">
        <v>1668</v>
      </c>
      <c r="C624" s="95" t="s">
        <v>1427</v>
      </c>
      <c r="D624" s="101" t="s">
        <v>1551</v>
      </c>
      <c r="E624" s="101" t="s">
        <v>1550</v>
      </c>
      <c r="F624" s="101" t="s">
        <v>1670</v>
      </c>
      <c r="G624" s="101" t="s">
        <v>1442</v>
      </c>
      <c r="H624" s="97" t="str">
        <f>IFERROR(VLOOKUP(I624,'Raw material list'!$A$3:$C$695,3,0),"")</f>
        <v>PRD1-4327</v>
      </c>
      <c r="I624" s="97" t="s">
        <v>11</v>
      </c>
      <c r="J624" s="101" t="s">
        <v>111</v>
      </c>
      <c r="K624" s="101" t="str">
        <f>IFERROR(VLOOKUP(I624,'Raw material list'!$A$3:$E$695,5,0),"")</f>
        <v xml:space="preserve">Gram </v>
      </c>
      <c r="L624" s="95">
        <v>20</v>
      </c>
      <c r="M624" s="98">
        <f t="shared" si="123"/>
        <v>25</v>
      </c>
      <c r="N624" s="133">
        <v>80</v>
      </c>
      <c r="O624" s="95">
        <v>10</v>
      </c>
      <c r="P624" s="98">
        <f t="shared" si="131"/>
        <v>2</v>
      </c>
      <c r="Q624" s="99">
        <f>IFERROR(VLOOKUP(I624,'Raw material list'!$A$3:$F$695,6,0),"")</f>
        <v>1.2999999999999999E-2</v>
      </c>
      <c r="R624" s="100">
        <f t="shared" si="132"/>
        <v>2.5999999999999999E-2</v>
      </c>
      <c r="S624" s="94">
        <f t="shared" si="129"/>
        <v>2.5999999999999999E-3</v>
      </c>
      <c r="T624" s="94">
        <f t="shared" si="130"/>
        <v>2.86E-2</v>
      </c>
      <c r="U624" s="93">
        <f t="shared" si="124"/>
        <v>2.8600000000000001E-3</v>
      </c>
      <c r="V624" s="93">
        <f t="shared" si="125"/>
        <v>2.8600000000000001E-4</v>
      </c>
      <c r="W624" s="93">
        <f t="shared" si="126"/>
        <v>2.8600000000000001E-4</v>
      </c>
      <c r="X624" s="93">
        <f t="shared" si="122"/>
        <v>3.2032000000000005E-2</v>
      </c>
      <c r="Y624" s="117"/>
    </row>
    <row r="625" spans="1:25" s="90" customFormat="1">
      <c r="A625" s="95" t="s">
        <v>1528</v>
      </c>
      <c r="B625" s="95" t="s">
        <v>1668</v>
      </c>
      <c r="C625" s="95" t="s">
        <v>1427</v>
      </c>
      <c r="D625" s="101" t="s">
        <v>1551</v>
      </c>
      <c r="E625" s="101" t="s">
        <v>1550</v>
      </c>
      <c r="F625" s="101" t="s">
        <v>1670</v>
      </c>
      <c r="G625" s="101" t="s">
        <v>1442</v>
      </c>
      <c r="H625" s="97" t="str">
        <f>IFERROR(VLOOKUP(I625,'Raw material list'!$A$3:$C$695,3,0),"")</f>
        <v>PRD1-3182</v>
      </c>
      <c r="I625" s="97" t="s">
        <v>1028</v>
      </c>
      <c r="J625" s="101" t="s">
        <v>111</v>
      </c>
      <c r="K625" s="101" t="str">
        <f>IFERROR(VLOOKUP(I625,'Raw material list'!$A$3:$E$695,5,0),"")</f>
        <v xml:space="preserve">Gram </v>
      </c>
      <c r="L625" s="95">
        <v>500</v>
      </c>
      <c r="M625" s="98">
        <f t="shared" si="123"/>
        <v>526.31578947368428</v>
      </c>
      <c r="N625" s="98">
        <v>95</v>
      </c>
      <c r="O625" s="95">
        <v>10</v>
      </c>
      <c r="P625" s="98">
        <f t="shared" si="131"/>
        <v>50</v>
      </c>
      <c r="Q625" s="99">
        <f>IFERROR(VLOOKUP(I625,'Raw material list'!$A$3:$F$695,6,0),"")</f>
        <v>3.3684210526315803E-2</v>
      </c>
      <c r="R625" s="100">
        <f t="shared" si="132"/>
        <v>1.68421052631579</v>
      </c>
      <c r="S625" s="94">
        <f t="shared" si="129"/>
        <v>0.16842105263157903</v>
      </c>
      <c r="T625" s="94">
        <f t="shared" si="130"/>
        <v>1.8526315789473691</v>
      </c>
      <c r="U625" s="93">
        <f t="shared" si="124"/>
        <v>0.18526315789473691</v>
      </c>
      <c r="V625" s="93">
        <f t="shared" si="125"/>
        <v>1.8526315789473693E-2</v>
      </c>
      <c r="W625" s="93">
        <f t="shared" si="126"/>
        <v>1.8526315789473693E-2</v>
      </c>
      <c r="X625" s="93">
        <f t="shared" si="122"/>
        <v>2.0749473684210535</v>
      </c>
      <c r="Y625" s="117"/>
    </row>
    <row r="626" spans="1:25" s="90" customFormat="1">
      <c r="A626" s="95" t="s">
        <v>1528</v>
      </c>
      <c r="B626" s="95" t="s">
        <v>1668</v>
      </c>
      <c r="C626" s="95" t="s">
        <v>1427</v>
      </c>
      <c r="D626" s="101" t="s">
        <v>1551</v>
      </c>
      <c r="E626" s="101" t="s">
        <v>1550</v>
      </c>
      <c r="F626" s="101" t="s">
        <v>1670</v>
      </c>
      <c r="G626" s="101" t="s">
        <v>1442</v>
      </c>
      <c r="H626" s="97" t="str">
        <f>IFERROR(VLOOKUP(I626,'Raw material list'!$A$3:$C$695,3,0),"")</f>
        <v>DRS1-114</v>
      </c>
      <c r="I626" s="97" t="s">
        <v>279</v>
      </c>
      <c r="J626" s="101" t="s">
        <v>111</v>
      </c>
      <c r="K626" s="101" t="str">
        <f>IFERROR(VLOOKUP(I626,'Raw material list'!$A$3:$E$695,5,0),"")</f>
        <v xml:space="preserve">Gram </v>
      </c>
      <c r="L626" s="95">
        <v>14</v>
      </c>
      <c r="M626" s="98">
        <f t="shared" si="123"/>
        <v>14.000000000000002</v>
      </c>
      <c r="N626" s="98">
        <v>100</v>
      </c>
      <c r="O626" s="95">
        <v>10</v>
      </c>
      <c r="P626" s="98">
        <f t="shared" si="131"/>
        <v>1.4</v>
      </c>
      <c r="Q626" s="99">
        <f>IFERROR(VLOOKUP(I626,'Raw material list'!$A$3:$F$695,6,0),"")</f>
        <v>4.7489823609226586E-3</v>
      </c>
      <c r="R626" s="100">
        <f t="shared" si="132"/>
        <v>6.6485753052917219E-3</v>
      </c>
      <c r="S626" s="94">
        <f t="shared" si="129"/>
        <v>6.6485753052917228E-4</v>
      </c>
      <c r="T626" s="94">
        <f t="shared" si="130"/>
        <v>7.3134328358208942E-3</v>
      </c>
      <c r="U626" s="93">
        <f t="shared" si="124"/>
        <v>7.3134328358208942E-4</v>
      </c>
      <c r="V626" s="93">
        <f t="shared" si="125"/>
        <v>7.3134328358208945E-5</v>
      </c>
      <c r="W626" s="93">
        <f t="shared" si="126"/>
        <v>7.3134328358208945E-5</v>
      </c>
      <c r="X626" s="93">
        <f t="shared" si="122"/>
        <v>8.1910447761194029E-3</v>
      </c>
      <c r="Y626" s="117"/>
    </row>
    <row r="627" spans="1:25" s="90" customFormat="1">
      <c r="A627" s="95" t="s">
        <v>1528</v>
      </c>
      <c r="B627" s="95" t="s">
        <v>1668</v>
      </c>
      <c r="C627" s="95" t="s">
        <v>1427</v>
      </c>
      <c r="D627" s="101" t="s">
        <v>1551</v>
      </c>
      <c r="E627" s="101" t="s">
        <v>1550</v>
      </c>
      <c r="F627" s="101" t="s">
        <v>1670</v>
      </c>
      <c r="G627" s="101" t="s">
        <v>1442</v>
      </c>
      <c r="H627" s="97" t="str">
        <f>IFERROR(VLOOKUP(I627,'Raw material list'!$A$3:$C$695,3,0),"")</f>
        <v>DRS6-537</v>
      </c>
      <c r="I627" s="97" t="s">
        <v>25</v>
      </c>
      <c r="J627" s="101" t="s">
        <v>111</v>
      </c>
      <c r="K627" s="101" t="str">
        <f>IFERROR(VLOOKUP(I627,'Raw material list'!$A$3:$E$695,5,0),"")</f>
        <v xml:space="preserve">Gram </v>
      </c>
      <c r="L627" s="95">
        <v>2</v>
      </c>
      <c r="M627" s="98">
        <f t="shared" si="123"/>
        <v>2</v>
      </c>
      <c r="N627" s="98">
        <v>100</v>
      </c>
      <c r="O627" s="95">
        <v>10</v>
      </c>
      <c r="P627" s="98">
        <f t="shared" si="131"/>
        <v>0.2</v>
      </c>
      <c r="Q627" s="99">
        <f>IFERROR(VLOOKUP(I627,'Raw material list'!$A$3:$F$695,6,0),"")</f>
        <v>3.5000000000000003E-2</v>
      </c>
      <c r="R627" s="100">
        <f t="shared" si="132"/>
        <v>7.000000000000001E-3</v>
      </c>
      <c r="S627" s="94">
        <f t="shared" si="129"/>
        <v>7.000000000000001E-4</v>
      </c>
      <c r="T627" s="94">
        <f t="shared" si="130"/>
        <v>7.7000000000000011E-3</v>
      </c>
      <c r="U627" s="93">
        <f t="shared" si="124"/>
        <v>7.7000000000000018E-4</v>
      </c>
      <c r="V627" s="93">
        <f t="shared" si="125"/>
        <v>7.7000000000000015E-5</v>
      </c>
      <c r="W627" s="93">
        <f t="shared" si="126"/>
        <v>7.7000000000000015E-5</v>
      </c>
      <c r="X627" s="93">
        <f t="shared" si="122"/>
        <v>8.6240000000000032E-3</v>
      </c>
      <c r="Y627" s="117"/>
    </row>
    <row r="628" spans="1:25" s="90" customFormat="1">
      <c r="A628" s="95" t="s">
        <v>1528</v>
      </c>
      <c r="B628" s="95" t="s">
        <v>1668</v>
      </c>
      <c r="C628" s="95" t="s">
        <v>1427</v>
      </c>
      <c r="D628" s="101" t="s">
        <v>1551</v>
      </c>
      <c r="E628" s="101" t="s">
        <v>1550</v>
      </c>
      <c r="F628" s="101" t="s">
        <v>1670</v>
      </c>
      <c r="G628" s="101" t="s">
        <v>1442</v>
      </c>
      <c r="H628" s="97" t="str">
        <f>IFERROR(VLOOKUP(I628,'Raw material list'!$A$3:$C$695,3,0),"")</f>
        <v>DRS1-5339</v>
      </c>
      <c r="I628" s="97" t="s">
        <v>905</v>
      </c>
      <c r="J628" s="101" t="s">
        <v>111</v>
      </c>
      <c r="K628" s="101" t="str">
        <f>IFERROR(VLOOKUP(I628,'Raw material list'!$A$3:$E$695,5,0),"")</f>
        <v xml:space="preserve">Gram </v>
      </c>
      <c r="L628" s="95">
        <v>2</v>
      </c>
      <c r="M628" s="98">
        <f t="shared" si="123"/>
        <v>2</v>
      </c>
      <c r="N628" s="98">
        <v>100</v>
      </c>
      <c r="O628" s="95">
        <v>10</v>
      </c>
      <c r="P628" s="98">
        <f t="shared" si="131"/>
        <v>0.2</v>
      </c>
      <c r="Q628" s="99">
        <f>IFERROR(VLOOKUP(I628,'Raw material list'!$A$3:$F$695,6,0),"")</f>
        <v>0.03</v>
      </c>
      <c r="R628" s="100">
        <f t="shared" si="132"/>
        <v>6.0000000000000001E-3</v>
      </c>
      <c r="S628" s="94">
        <f t="shared" si="129"/>
        <v>6.0000000000000006E-4</v>
      </c>
      <c r="T628" s="94">
        <f t="shared" si="130"/>
        <v>6.6E-3</v>
      </c>
      <c r="U628" s="93">
        <f t="shared" si="124"/>
        <v>6.6E-4</v>
      </c>
      <c r="V628" s="93">
        <f t="shared" si="125"/>
        <v>6.6000000000000005E-5</v>
      </c>
      <c r="W628" s="93">
        <f t="shared" si="126"/>
        <v>6.6000000000000005E-5</v>
      </c>
      <c r="X628" s="93">
        <f t="shared" si="122"/>
        <v>7.3920000000000001E-3</v>
      </c>
      <c r="Y628" s="117"/>
    </row>
    <row r="629" spans="1:25" s="90" customFormat="1">
      <c r="A629" s="95" t="s">
        <v>1528</v>
      </c>
      <c r="B629" s="95" t="s">
        <v>1668</v>
      </c>
      <c r="C629" s="95" t="s">
        <v>1427</v>
      </c>
      <c r="D629" s="101" t="s">
        <v>1551</v>
      </c>
      <c r="E629" s="101" t="s">
        <v>1550</v>
      </c>
      <c r="F629" s="101" t="s">
        <v>1670</v>
      </c>
      <c r="G629" s="101" t="s">
        <v>1442</v>
      </c>
      <c r="H629" s="97" t="str">
        <f>IFERROR(VLOOKUP(I629,'Raw material list'!$A$3:$C$695,3,0),"")</f>
        <v>DRS6-5376</v>
      </c>
      <c r="I629" s="97" t="s">
        <v>55</v>
      </c>
      <c r="J629" s="101" t="s">
        <v>111</v>
      </c>
      <c r="K629" s="101" t="str">
        <f>IFERROR(VLOOKUP(I629,'Raw material list'!$A$3:$E$695,5,0),"")</f>
        <v xml:space="preserve">Gram </v>
      </c>
      <c r="L629" s="95">
        <v>2</v>
      </c>
      <c r="M629" s="98">
        <f t="shared" si="123"/>
        <v>2</v>
      </c>
      <c r="N629" s="98">
        <v>100</v>
      </c>
      <c r="O629" s="95">
        <v>10</v>
      </c>
      <c r="P629" s="98">
        <f t="shared" si="131"/>
        <v>0.2</v>
      </c>
      <c r="Q629" s="99">
        <f>IFERROR(VLOOKUP(I629,'Raw material list'!$A$3:$F$695,6,0),"")</f>
        <v>2.8000000000000001E-2</v>
      </c>
      <c r="R629" s="100">
        <f t="shared" si="132"/>
        <v>5.6000000000000008E-3</v>
      </c>
      <c r="S629" s="94">
        <f t="shared" si="129"/>
        <v>5.6000000000000006E-4</v>
      </c>
      <c r="T629" s="94">
        <f t="shared" si="130"/>
        <v>6.1600000000000005E-3</v>
      </c>
      <c r="U629" s="93">
        <f t="shared" si="124"/>
        <v>6.1600000000000012E-4</v>
      </c>
      <c r="V629" s="93">
        <f t="shared" si="125"/>
        <v>6.1600000000000007E-5</v>
      </c>
      <c r="W629" s="93">
        <f t="shared" si="126"/>
        <v>6.1600000000000007E-5</v>
      </c>
      <c r="X629" s="93">
        <f t="shared" si="122"/>
        <v>6.8992000000000012E-3</v>
      </c>
      <c r="Y629" s="117"/>
    </row>
    <row r="630" spans="1:25" s="90" customFormat="1">
      <c r="A630" s="95" t="s">
        <v>1528</v>
      </c>
      <c r="B630" s="95" t="s">
        <v>1668</v>
      </c>
      <c r="C630" s="95" t="s">
        <v>1427</v>
      </c>
      <c r="D630" s="101" t="s">
        <v>1551</v>
      </c>
      <c r="E630" s="101" t="s">
        <v>1550</v>
      </c>
      <c r="F630" s="101" t="s">
        <v>1670</v>
      </c>
      <c r="G630" s="101" t="s">
        <v>1442</v>
      </c>
      <c r="H630" s="97" t="str">
        <f>IFERROR(VLOOKUP(I630,'Raw material list'!$A$3:$C$695,3,0),"")</f>
        <v>DRY2-1858</v>
      </c>
      <c r="I630" s="97" t="s">
        <v>42</v>
      </c>
      <c r="J630" s="101" t="s">
        <v>161</v>
      </c>
      <c r="K630" s="101" t="str">
        <f>IFERROR(VLOOKUP(I630,'Raw material list'!$A$3:$E$695,5,0),"")</f>
        <v>Ml</v>
      </c>
      <c r="L630" s="95">
        <v>900</v>
      </c>
      <c r="M630" s="98">
        <f t="shared" si="123"/>
        <v>900</v>
      </c>
      <c r="N630" s="98">
        <v>100</v>
      </c>
      <c r="O630" s="95">
        <v>10</v>
      </c>
      <c r="P630" s="98">
        <f t="shared" si="131"/>
        <v>90</v>
      </c>
      <c r="Q630" s="99">
        <f>IFERROR(VLOOKUP(I630,'Raw material list'!$A$3:$F$695,6,0),"")</f>
        <v>9.8800000000000016E-3</v>
      </c>
      <c r="R630" s="100">
        <f t="shared" si="132"/>
        <v>0.8892000000000001</v>
      </c>
      <c r="S630" s="94">
        <f t="shared" si="129"/>
        <v>8.8920000000000013E-2</v>
      </c>
      <c r="T630" s="94">
        <f t="shared" si="130"/>
        <v>0.9781200000000001</v>
      </c>
      <c r="U630" s="93">
        <f t="shared" si="124"/>
        <v>9.781200000000001E-2</v>
      </c>
      <c r="V630" s="93">
        <f t="shared" si="125"/>
        <v>9.781200000000002E-3</v>
      </c>
      <c r="W630" s="93">
        <f t="shared" si="126"/>
        <v>9.781200000000002E-3</v>
      </c>
      <c r="X630" s="93">
        <f t="shared" si="122"/>
        <v>1.0954944</v>
      </c>
      <c r="Y630" s="117"/>
    </row>
    <row r="631" spans="1:25" s="90" customFormat="1">
      <c r="A631" s="95" t="s">
        <v>1528</v>
      </c>
      <c r="B631" s="95" t="s">
        <v>1668</v>
      </c>
      <c r="C631" s="95" t="s">
        <v>1427</v>
      </c>
      <c r="D631" s="101" t="s">
        <v>1551</v>
      </c>
      <c r="E631" s="101" t="s">
        <v>1550</v>
      </c>
      <c r="F631" s="101" t="s">
        <v>1670</v>
      </c>
      <c r="G631" s="101" t="s">
        <v>1442</v>
      </c>
      <c r="H631" s="97" t="str">
        <f>IFERROR(VLOOKUP(I631,'Raw material list'!$A$3:$C$695,3,0),"")</f>
        <v>DRS3-1615</v>
      </c>
      <c r="I631" s="97" t="s">
        <v>24</v>
      </c>
      <c r="J631" s="101" t="s">
        <v>161</v>
      </c>
      <c r="K631" s="101" t="str">
        <f>IFERROR(VLOOKUP(I631,'Raw material list'!$A$3:$E$695,5,0),"")</f>
        <v>Ml</v>
      </c>
      <c r="L631" s="95">
        <v>40</v>
      </c>
      <c r="M631" s="98">
        <f t="shared" si="123"/>
        <v>40</v>
      </c>
      <c r="N631" s="98">
        <v>100</v>
      </c>
      <c r="O631" s="95">
        <v>10</v>
      </c>
      <c r="P631" s="98">
        <f t="shared" si="131"/>
        <v>4</v>
      </c>
      <c r="Q631" s="99">
        <f>IFERROR(VLOOKUP(I631,'Raw material list'!$A$3:$F$695,6,0),"")</f>
        <v>1.2E-2</v>
      </c>
      <c r="R631" s="100">
        <f t="shared" si="132"/>
        <v>4.8000000000000001E-2</v>
      </c>
      <c r="S631" s="94">
        <f t="shared" si="129"/>
        <v>4.8000000000000004E-3</v>
      </c>
      <c r="T631" s="94">
        <f t="shared" si="130"/>
        <v>5.28E-2</v>
      </c>
      <c r="U631" s="93">
        <f t="shared" si="124"/>
        <v>5.28E-3</v>
      </c>
      <c r="V631" s="93">
        <f t="shared" si="125"/>
        <v>5.2800000000000004E-4</v>
      </c>
      <c r="W631" s="93">
        <f t="shared" si="126"/>
        <v>5.2800000000000004E-4</v>
      </c>
      <c r="X631" s="93">
        <f t="shared" si="122"/>
        <v>5.9136000000000001E-2</v>
      </c>
      <c r="Y631" s="117"/>
    </row>
    <row r="632" spans="1:25" s="90" customFormat="1">
      <c r="A632" s="95" t="s">
        <v>1528</v>
      </c>
      <c r="B632" s="95" t="s">
        <v>1668</v>
      </c>
      <c r="C632" s="95" t="s">
        <v>1427</v>
      </c>
      <c r="D632" s="101" t="s">
        <v>1551</v>
      </c>
      <c r="E632" s="101" t="s">
        <v>1550</v>
      </c>
      <c r="F632" s="101" t="s">
        <v>1670</v>
      </c>
      <c r="G632" s="101" t="s">
        <v>1442</v>
      </c>
      <c r="H632" s="97" t="str">
        <f>IFERROR(VLOOKUP(I632,'Raw material list'!$A$3:$C$695,3,0),"")</f>
        <v>WAT-001</v>
      </c>
      <c r="I632" s="97" t="s">
        <v>1406</v>
      </c>
      <c r="J632" s="101" t="s">
        <v>161</v>
      </c>
      <c r="K632" s="101" t="str">
        <f>IFERROR(VLOOKUP(I632,'Raw material list'!$A$3:$E$695,5,0),"")</f>
        <v>Ml</v>
      </c>
      <c r="L632" s="95">
        <v>300</v>
      </c>
      <c r="M632" s="98">
        <f t="shared" si="123"/>
        <v>300</v>
      </c>
      <c r="N632" s="98">
        <v>100</v>
      </c>
      <c r="O632" s="95">
        <v>10</v>
      </c>
      <c r="P632" s="98">
        <f t="shared" si="131"/>
        <v>30</v>
      </c>
      <c r="Q632" s="99">
        <f>IFERROR(VLOOKUP(I632,'Raw material list'!$A$3:$F$695,6,0),"")</f>
        <v>8.0000000000000007E-5</v>
      </c>
      <c r="R632" s="100">
        <f t="shared" si="132"/>
        <v>2.4000000000000002E-3</v>
      </c>
      <c r="S632" s="94">
        <f t="shared" si="129"/>
        <v>2.4000000000000003E-4</v>
      </c>
      <c r="T632" s="94">
        <f t="shared" si="130"/>
        <v>2.6400000000000004E-3</v>
      </c>
      <c r="U632" s="93">
        <f t="shared" si="124"/>
        <v>2.6400000000000007E-4</v>
      </c>
      <c r="V632" s="93">
        <f t="shared" si="125"/>
        <v>2.6400000000000005E-5</v>
      </c>
      <c r="W632" s="93">
        <f t="shared" si="126"/>
        <v>2.6400000000000005E-5</v>
      </c>
      <c r="X632" s="93">
        <f t="shared" si="122"/>
        <v>2.9568000000000007E-3</v>
      </c>
      <c r="Y632" s="117"/>
    </row>
    <row r="633" spans="1:25" s="90" customFormat="1">
      <c r="A633" s="95" t="s">
        <v>1528</v>
      </c>
      <c r="B633" s="95" t="s">
        <v>1668</v>
      </c>
      <c r="C633" s="95" t="s">
        <v>1427</v>
      </c>
      <c r="D633" s="101" t="s">
        <v>1551</v>
      </c>
      <c r="E633" s="101" t="s">
        <v>1550</v>
      </c>
      <c r="F633" s="101" t="s">
        <v>1670</v>
      </c>
      <c r="G633" s="101" t="s">
        <v>1689</v>
      </c>
      <c r="H633" s="97" t="str">
        <f>IFERROR(VLOOKUP(I633,'Raw material list'!$A$3:$C$695,3,0),"")</f>
        <v>DRS3-1615</v>
      </c>
      <c r="I633" s="97" t="s">
        <v>24</v>
      </c>
      <c r="J633" s="101" t="s">
        <v>161</v>
      </c>
      <c r="K633" s="101" t="str">
        <f>IFERROR(VLOOKUP(I633,'Raw material list'!$A$3:$E$695,5,0),"")</f>
        <v>Ml</v>
      </c>
      <c r="L633" s="95">
        <v>26.22</v>
      </c>
      <c r="M633" s="98">
        <f t="shared" si="123"/>
        <v>26.22</v>
      </c>
      <c r="N633" s="98">
        <v>100</v>
      </c>
      <c r="O633" s="95">
        <v>10</v>
      </c>
      <c r="P633" s="98">
        <f t="shared" si="131"/>
        <v>2.6219999999999999</v>
      </c>
      <c r="Q633" s="99">
        <f>IFERROR(VLOOKUP(I633,'Raw material list'!$A$3:$F$695,6,0),"")</f>
        <v>1.2E-2</v>
      </c>
      <c r="R633" s="100">
        <f t="shared" si="132"/>
        <v>3.1463999999999999E-2</v>
      </c>
      <c r="S633" s="94">
        <f t="shared" si="129"/>
        <v>3.1464000000000002E-3</v>
      </c>
      <c r="T633" s="94">
        <f t="shared" si="130"/>
        <v>3.4610399999999999E-2</v>
      </c>
      <c r="U633" s="93">
        <f t="shared" si="124"/>
        <v>3.4610400000000003E-3</v>
      </c>
      <c r="V633" s="93">
        <f t="shared" si="125"/>
        <v>3.4610400000000002E-4</v>
      </c>
      <c r="W633" s="93">
        <f t="shared" si="126"/>
        <v>3.4610400000000002E-4</v>
      </c>
      <c r="X633" s="93">
        <f t="shared" si="122"/>
        <v>3.8763647999999998E-2</v>
      </c>
      <c r="Y633" s="117"/>
    </row>
    <row r="634" spans="1:25" s="90" customFormat="1">
      <c r="A634" s="95" t="s">
        <v>1528</v>
      </c>
      <c r="B634" s="95" t="s">
        <v>1668</v>
      </c>
      <c r="C634" s="95" t="s">
        <v>1427</v>
      </c>
      <c r="D634" s="101" t="s">
        <v>1551</v>
      </c>
      <c r="E634" s="101" t="s">
        <v>1550</v>
      </c>
      <c r="F634" s="101" t="s">
        <v>1670</v>
      </c>
      <c r="G634" s="101" t="s">
        <v>1689</v>
      </c>
      <c r="H634" s="97" t="str">
        <f>IFERROR(VLOOKUP(I634,'Raw material list'!$A$3:$C$695,3,0),"")</f>
        <v>PRD1-227</v>
      </c>
      <c r="I634" s="97" t="s">
        <v>1033</v>
      </c>
      <c r="J634" s="101" t="s">
        <v>111</v>
      </c>
      <c r="K634" s="101" t="str">
        <f>IFERROR(VLOOKUP(I634,'Raw material list'!$A$3:$E$695,5,0),"")</f>
        <v xml:space="preserve">Gram </v>
      </c>
      <c r="L634" s="95">
        <v>3.48</v>
      </c>
      <c r="M634" s="98">
        <f t="shared" si="123"/>
        <v>10.038461538461537</v>
      </c>
      <c r="N634" s="98">
        <v>34.666666666666671</v>
      </c>
      <c r="O634" s="95">
        <v>10</v>
      </c>
      <c r="P634" s="98">
        <f t="shared" si="131"/>
        <v>0.34799999999999998</v>
      </c>
      <c r="Q634" s="99">
        <f>IFERROR(VLOOKUP(I634,'Raw material list'!$A$3:$F$695,6,0),"")</f>
        <v>1.5850144092219021E-2</v>
      </c>
      <c r="R634" s="100">
        <f t="shared" si="132"/>
        <v>5.5158501440922192E-3</v>
      </c>
      <c r="S634" s="94">
        <f t="shared" si="129"/>
        <v>5.5158501440922192E-4</v>
      </c>
      <c r="T634" s="94">
        <f t="shared" si="130"/>
        <v>6.0674351585014406E-3</v>
      </c>
      <c r="U634" s="93">
        <f t="shared" si="124"/>
        <v>6.0674351585014415E-4</v>
      </c>
      <c r="V634" s="93">
        <f t="shared" si="125"/>
        <v>6.0674351585014407E-5</v>
      </c>
      <c r="W634" s="93">
        <f t="shared" si="126"/>
        <v>6.0674351585014407E-5</v>
      </c>
      <c r="X634" s="93">
        <f t="shared" si="122"/>
        <v>6.7955273775216138E-3</v>
      </c>
      <c r="Y634" s="117"/>
    </row>
    <row r="635" spans="1:25" s="90" customFormat="1">
      <c r="A635" s="95" t="s">
        <v>1528</v>
      </c>
      <c r="B635" s="95" t="s">
        <v>1668</v>
      </c>
      <c r="C635" s="95" t="s">
        <v>1427</v>
      </c>
      <c r="D635" s="101" t="s">
        <v>1551</v>
      </c>
      <c r="E635" s="101" t="s">
        <v>1550</v>
      </c>
      <c r="F635" s="101" t="s">
        <v>1670</v>
      </c>
      <c r="G635" s="101" t="s">
        <v>1689</v>
      </c>
      <c r="H635" s="97" t="str">
        <f>IFERROR(VLOOKUP(I635,'Raw material list'!$A$3:$C$695,3,0),"")</f>
        <v>DRS1-3880</v>
      </c>
      <c r="I635" s="97" t="s">
        <v>1398</v>
      </c>
      <c r="J635" s="101" t="s">
        <v>111</v>
      </c>
      <c r="K635" s="101" t="str">
        <f>IFERROR(VLOOKUP(I635,'Raw material list'!$A$3:$E$695,5,0),"")</f>
        <v xml:space="preserve">Gram </v>
      </c>
      <c r="L635" s="95">
        <v>7.0000000000000007E-2</v>
      </c>
      <c r="M635" s="98">
        <f t="shared" si="123"/>
        <v>7.0000000000000007E-2</v>
      </c>
      <c r="N635" s="98">
        <v>100</v>
      </c>
      <c r="O635" s="95">
        <v>10</v>
      </c>
      <c r="P635" s="98">
        <f t="shared" si="131"/>
        <v>7.000000000000001E-3</v>
      </c>
      <c r="Q635" s="99">
        <f>IFERROR(VLOOKUP(I635,'Raw material list'!$A$3:$F$695,6,0),"")</f>
        <v>5.0000000000000001E-4</v>
      </c>
      <c r="R635" s="100">
        <f t="shared" si="132"/>
        <v>3.5000000000000004E-6</v>
      </c>
      <c r="S635" s="94">
        <f t="shared" si="129"/>
        <v>3.5000000000000004E-7</v>
      </c>
      <c r="T635" s="94">
        <f t="shared" si="130"/>
        <v>3.8500000000000004E-6</v>
      </c>
      <c r="U635" s="93">
        <f t="shared" si="124"/>
        <v>3.8500000000000007E-7</v>
      </c>
      <c r="V635" s="93">
        <f t="shared" si="125"/>
        <v>3.8500000000000007E-8</v>
      </c>
      <c r="W635" s="93">
        <f t="shared" si="126"/>
        <v>3.8500000000000007E-8</v>
      </c>
      <c r="X635" s="93">
        <f t="shared" si="122"/>
        <v>4.3119999999999995E-6</v>
      </c>
      <c r="Y635" s="117"/>
    </row>
    <row r="636" spans="1:25" s="90" customFormat="1">
      <c r="A636" s="95" t="s">
        <v>1528</v>
      </c>
      <c r="B636" s="95" t="s">
        <v>1668</v>
      </c>
      <c r="C636" s="95" t="s">
        <v>1427</v>
      </c>
      <c r="D636" s="101" t="s">
        <v>1551</v>
      </c>
      <c r="E636" s="101" t="s">
        <v>1550</v>
      </c>
      <c r="F636" s="101" t="s">
        <v>1670</v>
      </c>
      <c r="G636" s="101" t="s">
        <v>1689</v>
      </c>
      <c r="H636" s="97" t="str">
        <f>IFERROR(VLOOKUP(I636,'Raw material list'!$A$3:$C$695,3,0),"")</f>
        <v>DRS6-537</v>
      </c>
      <c r="I636" s="97" t="s">
        <v>25</v>
      </c>
      <c r="J636" s="101" t="s">
        <v>111</v>
      </c>
      <c r="K636" s="101" t="str">
        <f>IFERROR(VLOOKUP(I636,'Raw material list'!$A$3:$E$695,5,0),"")</f>
        <v xml:space="preserve">Gram </v>
      </c>
      <c r="L636" s="95">
        <v>0.7</v>
      </c>
      <c r="M636" s="98">
        <f t="shared" si="123"/>
        <v>0.7</v>
      </c>
      <c r="N636" s="98">
        <v>100</v>
      </c>
      <c r="O636" s="95">
        <v>10</v>
      </c>
      <c r="P636" s="98">
        <f t="shared" si="131"/>
        <v>6.9999999999999993E-2</v>
      </c>
      <c r="Q636" s="99">
        <f>IFERROR(VLOOKUP(I636,'Raw material list'!$A$3:$F$695,6,0),"")</f>
        <v>3.5000000000000003E-2</v>
      </c>
      <c r="R636" s="100">
        <f t="shared" si="132"/>
        <v>2.4499999999999999E-3</v>
      </c>
      <c r="S636" s="94">
        <f t="shared" si="129"/>
        <v>2.4499999999999999E-4</v>
      </c>
      <c r="T636" s="94">
        <f t="shared" si="130"/>
        <v>2.6949999999999999E-3</v>
      </c>
      <c r="U636" s="93">
        <f t="shared" si="124"/>
        <v>2.6949999999999999E-4</v>
      </c>
      <c r="V636" s="93">
        <f t="shared" si="125"/>
        <v>2.6950000000000001E-5</v>
      </c>
      <c r="W636" s="93">
        <f t="shared" si="126"/>
        <v>2.6950000000000001E-5</v>
      </c>
      <c r="X636" s="93">
        <f t="shared" si="122"/>
        <v>3.0184000000000001E-3</v>
      </c>
      <c r="Y636" s="117"/>
    </row>
    <row r="637" spans="1:25" s="90" customFormat="1">
      <c r="A637" s="95" t="s">
        <v>1528</v>
      </c>
      <c r="B637" s="95" t="s">
        <v>1668</v>
      </c>
      <c r="C637" s="95" t="s">
        <v>1427</v>
      </c>
      <c r="D637" s="101" t="s">
        <v>1551</v>
      </c>
      <c r="E637" s="101" t="s">
        <v>1550</v>
      </c>
      <c r="F637" s="101" t="s">
        <v>1670</v>
      </c>
      <c r="G637" s="101" t="s">
        <v>1690</v>
      </c>
      <c r="H637" s="97" t="str">
        <f>IFERROR(VLOOKUP(I637,'Raw material list'!$A$3:$C$695,3,0),"")</f>
        <v>DRS3-1813</v>
      </c>
      <c r="I637" s="97" t="s">
        <v>39</v>
      </c>
      <c r="J637" s="101" t="s">
        <v>161</v>
      </c>
      <c r="K637" s="101" t="str">
        <f>IFERROR(VLOOKUP(I637,'Raw material list'!$A$3:$E$695,5,0),"")</f>
        <v>Ml</v>
      </c>
      <c r="L637" s="95">
        <v>25</v>
      </c>
      <c r="M637" s="98">
        <f t="shared" si="123"/>
        <v>25</v>
      </c>
      <c r="N637" s="98">
        <v>100</v>
      </c>
      <c r="O637" s="95">
        <v>10</v>
      </c>
      <c r="P637" s="98">
        <f t="shared" si="131"/>
        <v>2.5</v>
      </c>
      <c r="Q637" s="99">
        <f>IFERROR(VLOOKUP(I637,'Raw material list'!$A$3:$F$695,6,0),"")</f>
        <v>8.0555555555555554E-3</v>
      </c>
      <c r="R637" s="100">
        <f t="shared" si="132"/>
        <v>2.0138888888888887E-2</v>
      </c>
      <c r="S637" s="94">
        <f t="shared" si="129"/>
        <v>2.0138888888888888E-3</v>
      </c>
      <c r="T637" s="94">
        <f t="shared" si="130"/>
        <v>2.2152777777777775E-2</v>
      </c>
      <c r="U637" s="93">
        <f t="shared" si="124"/>
        <v>2.2152777777777774E-3</v>
      </c>
      <c r="V637" s="93">
        <f t="shared" si="125"/>
        <v>2.2152777777777774E-4</v>
      </c>
      <c r="W637" s="93">
        <f t="shared" si="126"/>
        <v>2.2152777777777774E-4</v>
      </c>
      <c r="X637" s="93">
        <f t="shared" si="122"/>
        <v>2.481111111111111E-2</v>
      </c>
      <c r="Y637" s="117"/>
    </row>
    <row r="638" spans="1:25" s="90" customFormat="1">
      <c r="A638" s="95" t="s">
        <v>1528</v>
      </c>
      <c r="B638" s="95" t="s">
        <v>1668</v>
      </c>
      <c r="C638" s="95" t="s">
        <v>1427</v>
      </c>
      <c r="D638" s="101" t="s">
        <v>1551</v>
      </c>
      <c r="E638" s="101" t="s">
        <v>1550</v>
      </c>
      <c r="F638" s="101" t="s">
        <v>1670</v>
      </c>
      <c r="G638" s="101" t="s">
        <v>1690</v>
      </c>
      <c r="H638" s="97" t="str">
        <f>IFERROR(VLOOKUP(I638,'Raw material list'!$A$3:$C$695,3,0),"")</f>
        <v>PRD1-3182</v>
      </c>
      <c r="I638" s="97" t="s">
        <v>1028</v>
      </c>
      <c r="J638" s="101" t="s">
        <v>111</v>
      </c>
      <c r="K638" s="101" t="str">
        <f>IFERROR(VLOOKUP(I638,'Raw material list'!$A$3:$E$695,5,0),"")</f>
        <v xml:space="preserve">Gram </v>
      </c>
      <c r="L638" s="95">
        <v>125</v>
      </c>
      <c r="M638" s="98">
        <f t="shared" si="123"/>
        <v>131.57894736842107</v>
      </c>
      <c r="N638" s="98">
        <v>95</v>
      </c>
      <c r="O638" s="95">
        <v>10</v>
      </c>
      <c r="P638" s="98">
        <f t="shared" si="131"/>
        <v>12.5</v>
      </c>
      <c r="Q638" s="99">
        <f>IFERROR(VLOOKUP(I638,'Raw material list'!$A$3:$F$695,6,0),"")</f>
        <v>3.3684210526315803E-2</v>
      </c>
      <c r="R638" s="100">
        <f t="shared" si="132"/>
        <v>0.42105263157894751</v>
      </c>
      <c r="S638" s="94">
        <f t="shared" si="129"/>
        <v>4.2105263157894757E-2</v>
      </c>
      <c r="T638" s="94">
        <f t="shared" si="130"/>
        <v>0.46315789473684227</v>
      </c>
      <c r="U638" s="93">
        <f t="shared" si="124"/>
        <v>4.6315789473684227E-2</v>
      </c>
      <c r="V638" s="93">
        <f t="shared" si="125"/>
        <v>4.6315789473684232E-3</v>
      </c>
      <c r="W638" s="93">
        <f t="shared" si="126"/>
        <v>4.6315789473684232E-3</v>
      </c>
      <c r="X638" s="93">
        <f t="shared" si="122"/>
        <v>0.51873684210526338</v>
      </c>
      <c r="Y638" s="117"/>
    </row>
    <row r="639" spans="1:25" s="90" customFormat="1">
      <c r="A639" s="95" t="s">
        <v>1528</v>
      </c>
      <c r="B639" s="95" t="s">
        <v>1668</v>
      </c>
      <c r="C639" s="95" t="s">
        <v>1427</v>
      </c>
      <c r="D639" s="101" t="s">
        <v>1551</v>
      </c>
      <c r="E639" s="101" t="s">
        <v>1550</v>
      </c>
      <c r="F639" s="101" t="s">
        <v>1670</v>
      </c>
      <c r="G639" s="101" t="s">
        <v>1690</v>
      </c>
      <c r="H639" s="97" t="str">
        <f>IFERROR(VLOOKUP(I639,'Raw material list'!$A$3:$C$695,3,0),"")</f>
        <v>DRS1-3880</v>
      </c>
      <c r="I639" s="97" t="s">
        <v>1398</v>
      </c>
      <c r="J639" s="101" t="s">
        <v>111</v>
      </c>
      <c r="K639" s="101" t="str">
        <f>IFERROR(VLOOKUP(I639,'Raw material list'!$A$3:$E$695,5,0),"")</f>
        <v xml:space="preserve">Gram </v>
      </c>
      <c r="L639" s="95">
        <v>1</v>
      </c>
      <c r="M639" s="98">
        <f t="shared" si="123"/>
        <v>1</v>
      </c>
      <c r="N639" s="98">
        <v>100</v>
      </c>
      <c r="O639" s="95">
        <v>10</v>
      </c>
      <c r="P639" s="98">
        <f t="shared" si="131"/>
        <v>0.1</v>
      </c>
      <c r="Q639" s="99">
        <f>IFERROR(VLOOKUP(I639,'Raw material list'!$A$3:$F$695,6,0),"")</f>
        <v>5.0000000000000001E-4</v>
      </c>
      <c r="R639" s="100">
        <f t="shared" si="132"/>
        <v>5.0000000000000002E-5</v>
      </c>
      <c r="S639" s="94">
        <f t="shared" si="129"/>
        <v>5.0000000000000004E-6</v>
      </c>
      <c r="T639" s="94">
        <f t="shared" si="130"/>
        <v>5.5000000000000002E-5</v>
      </c>
      <c r="U639" s="93">
        <f t="shared" si="124"/>
        <v>5.5000000000000007E-6</v>
      </c>
      <c r="V639" s="93">
        <f t="shared" si="125"/>
        <v>5.5000000000000003E-7</v>
      </c>
      <c r="W639" s="93">
        <f t="shared" si="126"/>
        <v>5.5000000000000003E-7</v>
      </c>
      <c r="X639" s="93">
        <f t="shared" si="122"/>
        <v>6.1600000000000007E-5</v>
      </c>
      <c r="Y639" s="117"/>
    </row>
    <row r="640" spans="1:25" s="90" customFormat="1">
      <c r="A640" s="95" t="s">
        <v>1529</v>
      </c>
      <c r="B640" s="95" t="s">
        <v>1668</v>
      </c>
      <c r="C640" s="95" t="s">
        <v>1427</v>
      </c>
      <c r="D640" s="101" t="s">
        <v>1552</v>
      </c>
      <c r="E640" s="101" t="s">
        <v>1550</v>
      </c>
      <c r="F640" s="101" t="s">
        <v>1671</v>
      </c>
      <c r="G640" s="101" t="s">
        <v>1591</v>
      </c>
      <c r="H640" s="97" t="str">
        <f>IFERROR(VLOOKUP(I640,'Raw material list'!$A$3:$C$695,3,0),"")</f>
        <v>PLT2-3278</v>
      </c>
      <c r="I640" s="97" t="s">
        <v>61</v>
      </c>
      <c r="J640" s="101" t="s">
        <v>111</v>
      </c>
      <c r="K640" s="101" t="str">
        <f>IFERROR(VLOOKUP(I640,'Raw material list'!$A$3:$E$695,5,0),"")</f>
        <v xml:space="preserve">Gram </v>
      </c>
      <c r="L640" s="95">
        <v>1200</v>
      </c>
      <c r="M640" s="98">
        <f t="shared" si="123"/>
        <v>1574.803149606299</v>
      </c>
      <c r="N640" s="98">
        <v>76.2</v>
      </c>
      <c r="O640" s="95">
        <v>10</v>
      </c>
      <c r="P640" s="98">
        <f t="shared" si="131"/>
        <v>120</v>
      </c>
      <c r="Q640" s="99">
        <f>IFERROR(VLOOKUP(I640,'Raw material list'!$A$3:$F$695,6,0),"")</f>
        <v>3.035714285714285E-2</v>
      </c>
      <c r="R640" s="100">
        <f t="shared" si="132"/>
        <v>3.6428571428571419</v>
      </c>
      <c r="S640" s="94">
        <f t="shared" si="129"/>
        <v>0.36428571428571421</v>
      </c>
      <c r="T640" s="94">
        <f t="shared" si="130"/>
        <v>4.0071428571428562</v>
      </c>
      <c r="U640" s="93">
        <f t="shared" si="124"/>
        <v>0.40071428571428563</v>
      </c>
      <c r="V640" s="93">
        <f t="shared" si="125"/>
        <v>4.0071428571428563E-2</v>
      </c>
      <c r="W640" s="93">
        <f t="shared" si="126"/>
        <v>4.0071428571428563E-2</v>
      </c>
      <c r="X640" s="93">
        <f t="shared" si="122"/>
        <v>4.4879999999999987</v>
      </c>
      <c r="Y640" s="117" t="s">
        <v>1674</v>
      </c>
    </row>
    <row r="641" spans="1:25" s="90" customFormat="1">
      <c r="A641" s="95" t="s">
        <v>1529</v>
      </c>
      <c r="B641" s="95" t="s">
        <v>1668</v>
      </c>
      <c r="C641" s="95" t="s">
        <v>1427</v>
      </c>
      <c r="D641" s="101" t="s">
        <v>1552</v>
      </c>
      <c r="E641" s="101" t="s">
        <v>1550</v>
      </c>
      <c r="F641" s="101" t="s">
        <v>1671</v>
      </c>
      <c r="G641" s="101" t="s">
        <v>1591</v>
      </c>
      <c r="H641" s="97" t="str">
        <f>IFERROR(VLOOKUP(I641,'Raw material list'!$A$3:$C$695,3,0),"")</f>
        <v>DRS6-1727</v>
      </c>
      <c r="I641" s="97" t="s">
        <v>41</v>
      </c>
      <c r="J641" s="101" t="s">
        <v>111</v>
      </c>
      <c r="K641" s="101" t="str">
        <f>IFERROR(VLOOKUP(I641,'Raw material list'!$A$3:$E$695,5,0),"")</f>
        <v xml:space="preserve">Gram </v>
      </c>
      <c r="L641" s="95">
        <v>12</v>
      </c>
      <c r="M641" s="98">
        <f t="shared" si="123"/>
        <v>12</v>
      </c>
      <c r="N641" s="98">
        <v>100</v>
      </c>
      <c r="O641" s="95">
        <v>10</v>
      </c>
      <c r="P641" s="98">
        <f t="shared" ref="P641:P644" si="135">IFERROR(L641/O641,0)</f>
        <v>1.2</v>
      </c>
      <c r="Q641" s="99">
        <f>IFERROR(VLOOKUP(I641,'Raw material list'!$A$3:$F$695,6,0),"")</f>
        <v>2.5000000000000001E-2</v>
      </c>
      <c r="R641" s="100">
        <f t="shared" ref="R641:R644" si="136">IFERROR(Q641*P641,0)</f>
        <v>0.03</v>
      </c>
      <c r="S641" s="94">
        <f t="shared" si="129"/>
        <v>3.0000000000000001E-3</v>
      </c>
      <c r="T641" s="94">
        <f t="shared" si="130"/>
        <v>3.3000000000000002E-2</v>
      </c>
      <c r="U641" s="93">
        <f t="shared" si="124"/>
        <v>3.3000000000000004E-3</v>
      </c>
      <c r="V641" s="93">
        <f t="shared" si="125"/>
        <v>3.3E-4</v>
      </c>
      <c r="W641" s="93">
        <f t="shared" si="126"/>
        <v>3.3E-4</v>
      </c>
      <c r="X641" s="93">
        <f t="shared" si="122"/>
        <v>3.6959999999999993E-2</v>
      </c>
      <c r="Y641" s="117"/>
    </row>
    <row r="642" spans="1:25" s="90" customFormat="1">
      <c r="A642" s="95" t="s">
        <v>1529</v>
      </c>
      <c r="B642" s="95" t="s">
        <v>1668</v>
      </c>
      <c r="C642" s="95" t="s">
        <v>1427</v>
      </c>
      <c r="D642" s="101" t="s">
        <v>1552</v>
      </c>
      <c r="E642" s="101" t="s">
        <v>1550</v>
      </c>
      <c r="F642" s="101" t="s">
        <v>1671</v>
      </c>
      <c r="G642" s="101" t="s">
        <v>1591</v>
      </c>
      <c r="H642" s="97" t="str">
        <f>IFERROR(VLOOKUP(I642,'Raw material list'!$A$3:$C$695,3,0),"")</f>
        <v>DRS6-5088</v>
      </c>
      <c r="I642" s="97" t="s">
        <v>668</v>
      </c>
      <c r="J642" s="101" t="s">
        <v>111</v>
      </c>
      <c r="K642" s="101" t="str">
        <f>IFERROR(VLOOKUP(I642,'Raw material list'!$A$3:$E$695,5,0),"")</f>
        <v xml:space="preserve">Gram </v>
      </c>
      <c r="L642" s="95">
        <v>12</v>
      </c>
      <c r="M642" s="98">
        <f t="shared" si="123"/>
        <v>12</v>
      </c>
      <c r="N642" s="98">
        <v>100</v>
      </c>
      <c r="O642" s="95">
        <v>10</v>
      </c>
      <c r="P642" s="98">
        <f t="shared" si="135"/>
        <v>1.2</v>
      </c>
      <c r="Q642" s="99">
        <f>IFERROR(VLOOKUP(I642,'Raw material list'!$A$3:$F$695,6,0),"")</f>
        <v>0.08</v>
      </c>
      <c r="R642" s="100">
        <f t="shared" si="136"/>
        <v>9.6000000000000002E-2</v>
      </c>
      <c r="S642" s="94">
        <f t="shared" si="129"/>
        <v>9.6000000000000009E-3</v>
      </c>
      <c r="T642" s="94">
        <f t="shared" si="130"/>
        <v>0.1056</v>
      </c>
      <c r="U642" s="93">
        <f t="shared" si="124"/>
        <v>1.056E-2</v>
      </c>
      <c r="V642" s="93">
        <f t="shared" si="125"/>
        <v>1.0560000000000001E-3</v>
      </c>
      <c r="W642" s="93">
        <f t="shared" si="126"/>
        <v>1.0560000000000001E-3</v>
      </c>
      <c r="X642" s="93">
        <f t="shared" si="122"/>
        <v>0.118272</v>
      </c>
      <c r="Y642" s="117"/>
    </row>
    <row r="643" spans="1:25" s="90" customFormat="1">
      <c r="A643" s="95" t="s">
        <v>1529</v>
      </c>
      <c r="B643" s="95" t="s">
        <v>1668</v>
      </c>
      <c r="C643" s="95" t="s">
        <v>1427</v>
      </c>
      <c r="D643" s="101" t="s">
        <v>1552</v>
      </c>
      <c r="E643" s="101" t="s">
        <v>1550</v>
      </c>
      <c r="F643" s="101" t="s">
        <v>1671</v>
      </c>
      <c r="G643" s="101" t="s">
        <v>1591</v>
      </c>
      <c r="H643" s="97" t="str">
        <f>IFERROR(VLOOKUP(I643,'Raw material list'!$A$3:$C$695,3,0),"")</f>
        <v>DRS6-5376</v>
      </c>
      <c r="I643" s="97" t="s">
        <v>55</v>
      </c>
      <c r="J643" s="101" t="s">
        <v>111</v>
      </c>
      <c r="K643" s="101" t="str">
        <f>IFERROR(VLOOKUP(I643,'Raw material list'!$A$3:$E$695,5,0),"")</f>
        <v xml:space="preserve">Gram </v>
      </c>
      <c r="L643" s="95">
        <v>3</v>
      </c>
      <c r="M643" s="98">
        <f t="shared" si="123"/>
        <v>3</v>
      </c>
      <c r="N643" s="98">
        <v>100</v>
      </c>
      <c r="O643" s="95">
        <v>10</v>
      </c>
      <c r="P643" s="98">
        <f t="shared" si="135"/>
        <v>0.3</v>
      </c>
      <c r="Q643" s="99">
        <f>IFERROR(VLOOKUP(I643,'Raw material list'!$A$3:$F$695,6,0),"")</f>
        <v>2.8000000000000001E-2</v>
      </c>
      <c r="R643" s="100">
        <f t="shared" si="136"/>
        <v>8.3999999999999995E-3</v>
      </c>
      <c r="S643" s="94">
        <f t="shared" si="129"/>
        <v>8.4000000000000003E-4</v>
      </c>
      <c r="T643" s="94">
        <f t="shared" si="130"/>
        <v>9.2399999999999999E-3</v>
      </c>
      <c r="U643" s="93">
        <f t="shared" si="124"/>
        <v>9.2400000000000002E-4</v>
      </c>
      <c r="V643" s="93">
        <f t="shared" si="125"/>
        <v>9.2399999999999996E-5</v>
      </c>
      <c r="W643" s="93">
        <f t="shared" si="126"/>
        <v>9.2399999999999996E-5</v>
      </c>
      <c r="X643" s="93">
        <f t="shared" ref="X643:X705" si="137">T643+U643+V643+W643</f>
        <v>1.0348799999999998E-2</v>
      </c>
      <c r="Y643" s="117"/>
    </row>
    <row r="644" spans="1:25" s="90" customFormat="1">
      <c r="A644" s="95" t="s">
        <v>1529</v>
      </c>
      <c r="B644" s="95" t="s">
        <v>1668</v>
      </c>
      <c r="C644" s="95" t="s">
        <v>1427</v>
      </c>
      <c r="D644" s="101" t="s">
        <v>1552</v>
      </c>
      <c r="E644" s="101" t="s">
        <v>1550</v>
      </c>
      <c r="F644" s="101" t="s">
        <v>1671</v>
      </c>
      <c r="G644" s="101" t="s">
        <v>1591</v>
      </c>
      <c r="H644" s="97" t="str">
        <f>IFERROR(VLOOKUP(I644,'Raw material list'!$A$3:$C$695,3,0),"")</f>
        <v>WAT-001</v>
      </c>
      <c r="I644" s="97" t="s">
        <v>1406</v>
      </c>
      <c r="J644" s="101" t="s">
        <v>161</v>
      </c>
      <c r="K644" s="101" t="str">
        <f>IFERROR(VLOOKUP(I644,'Raw material list'!$A$3:$E$695,5,0),"")</f>
        <v>Ml</v>
      </c>
      <c r="L644" s="95">
        <v>120</v>
      </c>
      <c r="M644" s="98">
        <f t="shared" si="123"/>
        <v>120</v>
      </c>
      <c r="N644" s="98">
        <v>100</v>
      </c>
      <c r="O644" s="95">
        <v>10</v>
      </c>
      <c r="P644" s="98">
        <f t="shared" si="135"/>
        <v>12</v>
      </c>
      <c r="Q644" s="99">
        <f>IFERROR(VLOOKUP(I644,'Raw material list'!$A$3:$F$695,6,0),"")</f>
        <v>8.0000000000000007E-5</v>
      </c>
      <c r="R644" s="100">
        <f t="shared" si="136"/>
        <v>9.6000000000000013E-4</v>
      </c>
      <c r="S644" s="94">
        <f t="shared" si="129"/>
        <v>9.6000000000000016E-5</v>
      </c>
      <c r="T644" s="94">
        <f t="shared" si="130"/>
        <v>1.0560000000000001E-3</v>
      </c>
      <c r="U644" s="93">
        <f t="shared" si="124"/>
        <v>1.0560000000000002E-4</v>
      </c>
      <c r="V644" s="93">
        <f t="shared" si="125"/>
        <v>1.0560000000000001E-5</v>
      </c>
      <c r="W644" s="93">
        <f t="shared" si="126"/>
        <v>1.0560000000000001E-5</v>
      </c>
      <c r="X644" s="93">
        <f t="shared" si="137"/>
        <v>1.18272E-3</v>
      </c>
      <c r="Y644" s="117"/>
    </row>
    <row r="645" spans="1:25" s="90" customFormat="1">
      <c r="A645" s="95" t="s">
        <v>1529</v>
      </c>
      <c r="B645" s="95" t="s">
        <v>1668</v>
      </c>
      <c r="C645" s="95" t="s">
        <v>1427</v>
      </c>
      <c r="D645" s="101" t="s">
        <v>1552</v>
      </c>
      <c r="E645" s="101" t="s">
        <v>1550</v>
      </c>
      <c r="F645" s="101" t="s">
        <v>1670</v>
      </c>
      <c r="G645" s="101" t="s">
        <v>1426</v>
      </c>
      <c r="H645" s="97" t="str">
        <f>IFERROR(VLOOKUP(I645,'Raw material list'!$A$3:$C$695,3,0),"")</f>
        <v>DRY2-1008</v>
      </c>
      <c r="I645" s="97" t="s">
        <v>21</v>
      </c>
      <c r="J645" s="101" t="s">
        <v>111</v>
      </c>
      <c r="K645" s="101" t="str">
        <f>IFERROR(VLOOKUP(I645,'Raw material list'!$A$3:$E$695,5,0),"")</f>
        <v xml:space="preserve">Gram </v>
      </c>
      <c r="L645" s="95">
        <v>30</v>
      </c>
      <c r="M645" s="98">
        <f t="shared" si="123"/>
        <v>30</v>
      </c>
      <c r="N645" s="98">
        <v>100</v>
      </c>
      <c r="O645" s="95">
        <v>10</v>
      </c>
      <c r="P645" s="98">
        <f t="shared" si="131"/>
        <v>3</v>
      </c>
      <c r="Q645" s="99">
        <f>IFERROR(VLOOKUP(I645,'Raw material list'!$A$3:$F$695,6,0),"")</f>
        <v>3.7999999999999999E-2</v>
      </c>
      <c r="R645" s="100">
        <f t="shared" si="132"/>
        <v>0.11399999999999999</v>
      </c>
      <c r="S645" s="94">
        <f t="shared" si="129"/>
        <v>1.14E-2</v>
      </c>
      <c r="T645" s="94">
        <f t="shared" si="130"/>
        <v>0.12539999999999998</v>
      </c>
      <c r="U645" s="93">
        <f t="shared" si="124"/>
        <v>1.2539999999999999E-2</v>
      </c>
      <c r="V645" s="93">
        <f t="shared" si="125"/>
        <v>1.2539999999999999E-3</v>
      </c>
      <c r="W645" s="93">
        <f t="shared" si="126"/>
        <v>1.2539999999999999E-3</v>
      </c>
      <c r="X645" s="93">
        <f t="shared" si="137"/>
        <v>0.14044799999999999</v>
      </c>
      <c r="Y645" s="117"/>
    </row>
    <row r="646" spans="1:25" s="90" customFormat="1">
      <c r="A646" s="95" t="s">
        <v>1529</v>
      </c>
      <c r="B646" s="95" t="s">
        <v>1668</v>
      </c>
      <c r="C646" s="95" t="s">
        <v>1427</v>
      </c>
      <c r="D646" s="101" t="s">
        <v>1552</v>
      </c>
      <c r="E646" s="101" t="s">
        <v>1550</v>
      </c>
      <c r="F646" s="101" t="s">
        <v>1670</v>
      </c>
      <c r="G646" s="101" t="s">
        <v>1426</v>
      </c>
      <c r="H646" s="97" t="str">
        <f>IFERROR(VLOOKUP(I646,'Raw material list'!$A$3:$C$695,3,0),"")</f>
        <v>DRS6-1727</v>
      </c>
      <c r="I646" s="97" t="s">
        <v>41</v>
      </c>
      <c r="J646" s="101" t="s">
        <v>111</v>
      </c>
      <c r="K646" s="101" t="str">
        <f>IFERROR(VLOOKUP(I646,'Raw material list'!$A$3:$E$695,5,0),"")</f>
        <v xml:space="preserve">Gram </v>
      </c>
      <c r="L646" s="95">
        <v>10</v>
      </c>
      <c r="M646" s="98">
        <f t="shared" ref="M646:M709" si="138">L646/N646*100</f>
        <v>10</v>
      </c>
      <c r="N646" s="98">
        <v>100</v>
      </c>
      <c r="O646" s="95">
        <v>10</v>
      </c>
      <c r="P646" s="98">
        <f t="shared" si="131"/>
        <v>1</v>
      </c>
      <c r="Q646" s="99">
        <f>IFERROR(VLOOKUP(I646,'Raw material list'!$A$3:$F$695,6,0),"")</f>
        <v>2.5000000000000001E-2</v>
      </c>
      <c r="R646" s="100">
        <f t="shared" si="132"/>
        <v>2.5000000000000001E-2</v>
      </c>
      <c r="S646" s="94">
        <f t="shared" si="129"/>
        <v>2.5000000000000005E-3</v>
      </c>
      <c r="T646" s="94">
        <f t="shared" si="130"/>
        <v>2.7500000000000004E-2</v>
      </c>
      <c r="U646" s="93">
        <f t="shared" ref="U646:U709" si="139">T646*10%</f>
        <v>2.7500000000000007E-3</v>
      </c>
      <c r="V646" s="93">
        <f t="shared" ref="V646:V709" si="140">T646*1%</f>
        <v>2.7500000000000002E-4</v>
      </c>
      <c r="W646" s="93">
        <f t="shared" ref="W646:W709" si="141">T646*1%</f>
        <v>2.7500000000000002E-4</v>
      </c>
      <c r="X646" s="93">
        <f t="shared" si="137"/>
        <v>3.0800000000000008E-2</v>
      </c>
      <c r="Y646" s="117"/>
    </row>
    <row r="647" spans="1:25" s="90" customFormat="1">
      <c r="A647" s="95" t="s">
        <v>1529</v>
      </c>
      <c r="B647" s="95" t="s">
        <v>1668</v>
      </c>
      <c r="C647" s="95" t="s">
        <v>1427</v>
      </c>
      <c r="D647" s="101" t="s">
        <v>1552</v>
      </c>
      <c r="E647" s="101" t="s">
        <v>1550</v>
      </c>
      <c r="F647" s="101" t="s">
        <v>1670</v>
      </c>
      <c r="G647" s="101" t="s">
        <v>1426</v>
      </c>
      <c r="H647" s="97" t="str">
        <f>IFERROR(VLOOKUP(I647,'Raw material list'!$A$3:$C$695,3,0),"")</f>
        <v>PRD1-194</v>
      </c>
      <c r="I647" s="97" t="s">
        <v>991</v>
      </c>
      <c r="J647" s="101" t="s">
        <v>111</v>
      </c>
      <c r="K647" s="101" t="str">
        <f>IFERROR(VLOOKUP(I647,'Raw material list'!$A$3:$E$695,5,0),"")</f>
        <v xml:space="preserve">Gram </v>
      </c>
      <c r="L647" s="95">
        <v>10</v>
      </c>
      <c r="M647" s="98">
        <f t="shared" si="138"/>
        <v>10.869565217391305</v>
      </c>
      <c r="N647" s="133">
        <v>92</v>
      </c>
      <c r="O647" s="95">
        <v>10</v>
      </c>
      <c r="P647" s="98">
        <f t="shared" si="131"/>
        <v>1</v>
      </c>
      <c r="Q647" s="99">
        <f>IFERROR(VLOOKUP(I647,'Raw material list'!$A$3:$F$695,6,0),"")</f>
        <v>0.11</v>
      </c>
      <c r="R647" s="100">
        <f t="shared" si="132"/>
        <v>0.11</v>
      </c>
      <c r="S647" s="94">
        <f t="shared" si="129"/>
        <v>1.1000000000000001E-2</v>
      </c>
      <c r="T647" s="94">
        <f t="shared" si="130"/>
        <v>0.121</v>
      </c>
      <c r="U647" s="93">
        <f t="shared" si="139"/>
        <v>1.21E-2</v>
      </c>
      <c r="V647" s="93">
        <f t="shared" si="140"/>
        <v>1.2099999999999999E-3</v>
      </c>
      <c r="W647" s="93">
        <f t="shared" si="141"/>
        <v>1.2099999999999999E-3</v>
      </c>
      <c r="X647" s="93">
        <f t="shared" si="137"/>
        <v>0.13551999999999997</v>
      </c>
      <c r="Y647" s="117"/>
    </row>
    <row r="648" spans="1:25" s="90" customFormat="1">
      <c r="A648" s="95" t="s">
        <v>1529</v>
      </c>
      <c r="B648" s="95" t="s">
        <v>1668</v>
      </c>
      <c r="C648" s="95" t="s">
        <v>1427</v>
      </c>
      <c r="D648" s="101" t="s">
        <v>1552</v>
      </c>
      <c r="E648" s="101" t="s">
        <v>1550</v>
      </c>
      <c r="F648" s="101" t="s">
        <v>1670</v>
      </c>
      <c r="G648" s="101" t="s">
        <v>1442</v>
      </c>
      <c r="H648" s="97" t="str">
        <f>IFERROR(VLOOKUP(I648,'Raw material list'!$A$3:$C$695,3,0),"")</f>
        <v>DRY2-1008</v>
      </c>
      <c r="I648" s="97" t="s">
        <v>21</v>
      </c>
      <c r="J648" s="101" t="s">
        <v>111</v>
      </c>
      <c r="K648" s="101" t="str">
        <f>IFERROR(VLOOKUP(I648,'Raw material list'!$A$3:$E$695,5,0),"")</f>
        <v xml:space="preserve">Gram </v>
      </c>
      <c r="L648" s="95">
        <v>17.239999999999998</v>
      </c>
      <c r="M648" s="98">
        <f t="shared" si="138"/>
        <v>17.239999999999998</v>
      </c>
      <c r="N648" s="98">
        <v>100</v>
      </c>
      <c r="O648" s="95">
        <v>10</v>
      </c>
      <c r="P648" s="98">
        <f t="shared" si="131"/>
        <v>1.7239999999999998</v>
      </c>
      <c r="Q648" s="99">
        <f>IFERROR(VLOOKUP(I648,'Raw material list'!$A$3:$F$695,6,0),"")</f>
        <v>3.7999999999999999E-2</v>
      </c>
      <c r="R648" s="100">
        <f t="shared" si="132"/>
        <v>6.5511999999999987E-2</v>
      </c>
      <c r="S648" s="94">
        <f t="shared" si="129"/>
        <v>6.5511999999999992E-3</v>
      </c>
      <c r="T648" s="94">
        <f t="shared" si="130"/>
        <v>7.206319999999998E-2</v>
      </c>
      <c r="U648" s="93">
        <f t="shared" si="139"/>
        <v>7.2063199999999987E-3</v>
      </c>
      <c r="V648" s="93">
        <f t="shared" si="140"/>
        <v>7.206319999999998E-4</v>
      </c>
      <c r="W648" s="93">
        <f t="shared" si="141"/>
        <v>7.206319999999998E-4</v>
      </c>
      <c r="X648" s="93">
        <f t="shared" si="137"/>
        <v>8.071078399999998E-2</v>
      </c>
      <c r="Y648" s="117"/>
    </row>
    <row r="649" spans="1:25" s="90" customFormat="1">
      <c r="A649" s="95" t="s">
        <v>1529</v>
      </c>
      <c r="B649" s="95" t="s">
        <v>1668</v>
      </c>
      <c r="C649" s="95" t="s">
        <v>1427</v>
      </c>
      <c r="D649" s="101" t="s">
        <v>1552</v>
      </c>
      <c r="E649" s="101" t="s">
        <v>1550</v>
      </c>
      <c r="F649" s="101" t="s">
        <v>1670</v>
      </c>
      <c r="G649" s="101" t="s">
        <v>1442</v>
      </c>
      <c r="H649" s="97" t="str">
        <f>IFERROR(VLOOKUP(I649,'Raw material list'!$A$3:$C$695,3,0),"")</f>
        <v>PRD1-4265</v>
      </c>
      <c r="I649" s="97" t="s">
        <v>10</v>
      </c>
      <c r="J649" s="101" t="s">
        <v>111</v>
      </c>
      <c r="K649" s="101" t="str">
        <f>IFERROR(VLOOKUP(I649,'Raw material list'!$A$3:$E$695,5,0),"")</f>
        <v xml:space="preserve">Gram </v>
      </c>
      <c r="L649" s="95">
        <v>12.93</v>
      </c>
      <c r="M649" s="98">
        <f t="shared" si="138"/>
        <v>15.211764705882352</v>
      </c>
      <c r="N649" s="98">
        <v>85</v>
      </c>
      <c r="O649" s="95">
        <v>10</v>
      </c>
      <c r="P649" s="98">
        <f t="shared" si="131"/>
        <v>1.2929999999999999</v>
      </c>
      <c r="Q649" s="99">
        <f>IFERROR(VLOOKUP(I649,'Raw material list'!$A$3:$F$695,6,0),"")</f>
        <v>3.529411764705882E-3</v>
      </c>
      <c r="R649" s="100">
        <f t="shared" si="132"/>
        <v>4.563529411764705E-3</v>
      </c>
      <c r="S649" s="94">
        <f t="shared" si="129"/>
        <v>4.5635294117647051E-4</v>
      </c>
      <c r="T649" s="94">
        <f t="shared" si="130"/>
        <v>5.0198823529411752E-3</v>
      </c>
      <c r="U649" s="93">
        <f t="shared" si="139"/>
        <v>5.019882352941175E-4</v>
      </c>
      <c r="V649" s="93">
        <f t="shared" si="140"/>
        <v>5.0198823529411754E-5</v>
      </c>
      <c r="W649" s="93">
        <f t="shared" si="141"/>
        <v>5.0198823529411754E-5</v>
      </c>
      <c r="X649" s="93">
        <f t="shared" si="137"/>
        <v>5.6222682352941164E-3</v>
      </c>
      <c r="Y649" s="117"/>
    </row>
    <row r="650" spans="1:25" s="90" customFormat="1">
      <c r="A650" s="95" t="s">
        <v>1529</v>
      </c>
      <c r="B650" s="95" t="s">
        <v>1668</v>
      </c>
      <c r="C650" s="95" t="s">
        <v>1427</v>
      </c>
      <c r="D650" s="101" t="s">
        <v>1552</v>
      </c>
      <c r="E650" s="101" t="s">
        <v>1550</v>
      </c>
      <c r="F650" s="101" t="s">
        <v>1670</v>
      </c>
      <c r="G650" s="101" t="s">
        <v>1442</v>
      </c>
      <c r="H650" s="97" t="str">
        <f>IFERROR(VLOOKUP(I650,'Raw material list'!$A$3:$C$695,3,0),"")</f>
        <v>PRD1-4327</v>
      </c>
      <c r="I650" s="97" t="s">
        <v>11</v>
      </c>
      <c r="J650" s="101" t="s">
        <v>111</v>
      </c>
      <c r="K650" s="101" t="str">
        <f>IFERROR(VLOOKUP(I650,'Raw material list'!$A$3:$E$695,5,0),"")</f>
        <v xml:space="preserve">Gram </v>
      </c>
      <c r="L650" s="95">
        <v>4.3099999999999996</v>
      </c>
      <c r="M650" s="98">
        <f t="shared" si="138"/>
        <v>5.3874999999999993</v>
      </c>
      <c r="N650" s="133">
        <v>80</v>
      </c>
      <c r="O650" s="95">
        <v>10</v>
      </c>
      <c r="P650" s="98">
        <f t="shared" si="131"/>
        <v>0.43099999999999994</v>
      </c>
      <c r="Q650" s="99">
        <f>IFERROR(VLOOKUP(I650,'Raw material list'!$A$3:$F$695,6,0),"")</f>
        <v>1.2999999999999999E-2</v>
      </c>
      <c r="R650" s="100">
        <f t="shared" si="132"/>
        <v>5.6029999999999986E-3</v>
      </c>
      <c r="S650" s="94">
        <f t="shared" si="129"/>
        <v>5.602999999999999E-4</v>
      </c>
      <c r="T650" s="94">
        <f t="shared" si="130"/>
        <v>6.1632999999999983E-3</v>
      </c>
      <c r="U650" s="93">
        <f t="shared" si="139"/>
        <v>6.1632999999999989E-4</v>
      </c>
      <c r="V650" s="93">
        <f t="shared" si="140"/>
        <v>6.1632999999999984E-5</v>
      </c>
      <c r="W650" s="93">
        <f t="shared" si="141"/>
        <v>6.1632999999999984E-5</v>
      </c>
      <c r="X650" s="93">
        <f t="shared" si="137"/>
        <v>6.9028959999999986E-3</v>
      </c>
      <c r="Y650" s="117"/>
    </row>
    <row r="651" spans="1:25" s="90" customFormat="1">
      <c r="A651" s="95" t="s">
        <v>1529</v>
      </c>
      <c r="B651" s="95" t="s">
        <v>1668</v>
      </c>
      <c r="C651" s="95" t="s">
        <v>1427</v>
      </c>
      <c r="D651" s="101" t="s">
        <v>1552</v>
      </c>
      <c r="E651" s="101" t="s">
        <v>1550</v>
      </c>
      <c r="F651" s="101" t="s">
        <v>1670</v>
      </c>
      <c r="G651" s="101" t="s">
        <v>1442</v>
      </c>
      <c r="H651" s="97" t="str">
        <f>IFERROR(VLOOKUP(I651,'Raw material list'!$A$3:$C$695,3,0),"")</f>
        <v>PRD1-239</v>
      </c>
      <c r="I651" s="97" t="s">
        <v>51</v>
      </c>
      <c r="J651" s="101" t="s">
        <v>111</v>
      </c>
      <c r="K651" s="101" t="str">
        <f>IFERROR(VLOOKUP(I651,'Raw material list'!$A$3:$E$695,5,0),"")</f>
        <v xml:space="preserve">Gram </v>
      </c>
      <c r="L651" s="95">
        <v>17.239999999999998</v>
      </c>
      <c r="M651" s="98">
        <f t="shared" si="138"/>
        <v>25.603960396039604</v>
      </c>
      <c r="N651" s="133">
        <v>67.333333333333329</v>
      </c>
      <c r="O651" s="95">
        <v>10</v>
      </c>
      <c r="P651" s="98">
        <f t="shared" si="131"/>
        <v>1.7239999999999998</v>
      </c>
      <c r="Q651" s="99">
        <f>IFERROR(VLOOKUP(I651,'Raw material list'!$A$3:$F$695,6,0),"")</f>
        <v>6.6864784546805346E-3</v>
      </c>
      <c r="R651" s="100">
        <f t="shared" si="132"/>
        <v>1.1527488855869241E-2</v>
      </c>
      <c r="S651" s="94">
        <f t="shared" si="129"/>
        <v>1.1527488855869242E-3</v>
      </c>
      <c r="T651" s="94">
        <f t="shared" si="130"/>
        <v>1.2680237741456164E-2</v>
      </c>
      <c r="U651" s="93">
        <f t="shared" si="139"/>
        <v>1.2680237741456166E-3</v>
      </c>
      <c r="V651" s="93">
        <f t="shared" si="140"/>
        <v>1.2680237741456165E-4</v>
      </c>
      <c r="W651" s="93">
        <f t="shared" si="141"/>
        <v>1.2680237741456165E-4</v>
      </c>
      <c r="X651" s="93">
        <f t="shared" si="137"/>
        <v>1.4201866270430904E-2</v>
      </c>
      <c r="Y651" s="117"/>
    </row>
    <row r="652" spans="1:25" s="90" customFormat="1">
      <c r="A652" s="95" t="s">
        <v>1529</v>
      </c>
      <c r="B652" s="95" t="s">
        <v>1668</v>
      </c>
      <c r="C652" s="95" t="s">
        <v>1427</v>
      </c>
      <c r="D652" s="101" t="s">
        <v>1552</v>
      </c>
      <c r="E652" s="101" t="s">
        <v>1550</v>
      </c>
      <c r="F652" s="101" t="s">
        <v>1670</v>
      </c>
      <c r="G652" s="101" t="s">
        <v>1442</v>
      </c>
      <c r="H652" s="97" t="str">
        <f>IFERROR(VLOOKUP(I652,'Raw material list'!$A$3:$C$695,3,0),"")</f>
        <v>PRD1-179</v>
      </c>
      <c r="I652" s="97" t="s">
        <v>971</v>
      </c>
      <c r="J652" s="101" t="s">
        <v>111</v>
      </c>
      <c r="K652" s="101" t="str">
        <f>IFERROR(VLOOKUP(I652,'Raw material list'!$A$3:$E$695,5,0),"")</f>
        <v xml:space="preserve">Gram </v>
      </c>
      <c r="L652" s="95">
        <v>0.34</v>
      </c>
      <c r="M652" s="98">
        <f t="shared" si="138"/>
        <v>0.34</v>
      </c>
      <c r="N652" s="98">
        <v>100</v>
      </c>
      <c r="O652" s="95">
        <v>10</v>
      </c>
      <c r="P652" s="98">
        <f t="shared" si="131"/>
        <v>3.4000000000000002E-2</v>
      </c>
      <c r="Q652" s="99">
        <f>IFERROR(VLOOKUP(I652,'Raw material list'!$A$3:$F$695,6,0),"")</f>
        <v>8.9999999999999993E-3</v>
      </c>
      <c r="R652" s="100">
        <f t="shared" si="132"/>
        <v>3.0600000000000001E-4</v>
      </c>
      <c r="S652" s="94">
        <f t="shared" si="129"/>
        <v>3.0600000000000005E-5</v>
      </c>
      <c r="T652" s="94">
        <f t="shared" si="130"/>
        <v>3.366E-4</v>
      </c>
      <c r="U652" s="93">
        <f t="shared" si="139"/>
        <v>3.366E-5</v>
      </c>
      <c r="V652" s="93">
        <f t="shared" si="140"/>
        <v>3.366E-6</v>
      </c>
      <c r="W652" s="93">
        <f t="shared" si="141"/>
        <v>3.366E-6</v>
      </c>
      <c r="X652" s="93">
        <f t="shared" si="137"/>
        <v>3.7699199999999993E-4</v>
      </c>
      <c r="Y652" s="117"/>
    </row>
    <row r="653" spans="1:25" s="90" customFormat="1">
      <c r="A653" s="95" t="s">
        <v>1529</v>
      </c>
      <c r="B653" s="95" t="s">
        <v>1668</v>
      </c>
      <c r="C653" s="95" t="s">
        <v>1427</v>
      </c>
      <c r="D653" s="101" t="s">
        <v>1552</v>
      </c>
      <c r="E653" s="101" t="s">
        <v>1550</v>
      </c>
      <c r="F653" s="101" t="s">
        <v>1670</v>
      </c>
      <c r="G653" s="101" t="s">
        <v>1442</v>
      </c>
      <c r="H653" s="97" t="str">
        <f>IFERROR(VLOOKUP(I653,'Raw material list'!$A$3:$C$695,3,0),"")</f>
        <v>DRS6-5088</v>
      </c>
      <c r="I653" s="97" t="s">
        <v>668</v>
      </c>
      <c r="J653" s="101" t="s">
        <v>111</v>
      </c>
      <c r="K653" s="101" t="str">
        <f>IFERROR(VLOOKUP(I653,'Raw material list'!$A$3:$E$695,5,0),"")</f>
        <v xml:space="preserve">Gram </v>
      </c>
      <c r="L653" s="95">
        <v>2.58</v>
      </c>
      <c r="M653" s="98">
        <f t="shared" si="138"/>
        <v>2.58</v>
      </c>
      <c r="N653" s="98">
        <v>100</v>
      </c>
      <c r="O653" s="95">
        <v>10</v>
      </c>
      <c r="P653" s="98">
        <f t="shared" si="131"/>
        <v>0.25800000000000001</v>
      </c>
      <c r="Q653" s="99">
        <f>IFERROR(VLOOKUP(I653,'Raw material list'!$A$3:$F$695,6,0),"")</f>
        <v>0.08</v>
      </c>
      <c r="R653" s="100">
        <f t="shared" si="132"/>
        <v>2.0640000000000002E-2</v>
      </c>
      <c r="S653" s="94">
        <f t="shared" si="129"/>
        <v>2.0640000000000003E-3</v>
      </c>
      <c r="T653" s="94">
        <f t="shared" si="130"/>
        <v>2.2704000000000002E-2</v>
      </c>
      <c r="U653" s="93">
        <f t="shared" si="139"/>
        <v>2.2704000000000001E-3</v>
      </c>
      <c r="V653" s="93">
        <f t="shared" si="140"/>
        <v>2.2704000000000002E-4</v>
      </c>
      <c r="W653" s="93">
        <f t="shared" si="141"/>
        <v>2.2704000000000002E-4</v>
      </c>
      <c r="X653" s="93">
        <f t="shared" si="137"/>
        <v>2.5428480000000003E-2</v>
      </c>
      <c r="Y653" s="117"/>
    </row>
    <row r="654" spans="1:25" s="90" customFormat="1">
      <c r="A654" s="95" t="s">
        <v>1529</v>
      </c>
      <c r="B654" s="95" t="s">
        <v>1668</v>
      </c>
      <c r="C654" s="95" t="s">
        <v>1427</v>
      </c>
      <c r="D654" s="101" t="s">
        <v>1552</v>
      </c>
      <c r="E654" s="101" t="s">
        <v>1550</v>
      </c>
      <c r="F654" s="101" t="s">
        <v>1670</v>
      </c>
      <c r="G654" s="101" t="s">
        <v>1442</v>
      </c>
      <c r="H654" s="97" t="str">
        <f>IFERROR(VLOOKUP(I654,'Raw material list'!$A$3:$C$695,3,0),"")</f>
        <v>DRS6-733</v>
      </c>
      <c r="I654" s="97" t="s">
        <v>60</v>
      </c>
      <c r="J654" s="101" t="s">
        <v>111</v>
      </c>
      <c r="K654" s="101" t="str">
        <f>IFERROR(VLOOKUP(I654,'Raw material list'!$A$3:$E$695,5,0),"")</f>
        <v xml:space="preserve">Gram </v>
      </c>
      <c r="L654" s="95">
        <v>1.45</v>
      </c>
      <c r="M654" s="98">
        <f t="shared" si="138"/>
        <v>1.45</v>
      </c>
      <c r="N654" s="98">
        <v>100</v>
      </c>
      <c r="O654" s="95">
        <v>10</v>
      </c>
      <c r="P654" s="98">
        <f t="shared" si="131"/>
        <v>0.14499999999999999</v>
      </c>
      <c r="Q654" s="99">
        <f>IFERROR(VLOOKUP(I654,'Raw material list'!$A$3:$F$695,6,0),"")</f>
        <v>2.8000000000000001E-2</v>
      </c>
      <c r="R654" s="100">
        <f t="shared" si="132"/>
        <v>4.0599999999999994E-3</v>
      </c>
      <c r="S654" s="94">
        <f t="shared" si="129"/>
        <v>4.0599999999999995E-4</v>
      </c>
      <c r="T654" s="94">
        <f t="shared" si="130"/>
        <v>4.4659999999999995E-3</v>
      </c>
      <c r="U654" s="93">
        <f t="shared" si="139"/>
        <v>4.4659999999999996E-4</v>
      </c>
      <c r="V654" s="93">
        <f t="shared" si="140"/>
        <v>4.4659999999999996E-5</v>
      </c>
      <c r="W654" s="93">
        <f t="shared" si="141"/>
        <v>4.4659999999999996E-5</v>
      </c>
      <c r="X654" s="93">
        <f t="shared" si="137"/>
        <v>5.00192E-3</v>
      </c>
      <c r="Y654" s="117"/>
    </row>
    <row r="655" spans="1:25" s="90" customFormat="1">
      <c r="A655" s="95" t="s">
        <v>1529</v>
      </c>
      <c r="B655" s="95" t="s">
        <v>1668</v>
      </c>
      <c r="C655" s="95" t="s">
        <v>1427</v>
      </c>
      <c r="D655" s="101" t="s">
        <v>1552</v>
      </c>
      <c r="E655" s="101" t="s">
        <v>1550</v>
      </c>
      <c r="F655" s="101" t="s">
        <v>1670</v>
      </c>
      <c r="G655" s="101" t="s">
        <v>1442</v>
      </c>
      <c r="H655" s="97" t="str">
        <f>IFERROR(VLOOKUP(I655,'Raw material list'!$A$3:$C$695,3,0),"")</f>
        <v>DRS6-1674</v>
      </c>
      <c r="I655" s="97" t="s">
        <v>47</v>
      </c>
      <c r="J655" s="101" t="s">
        <v>111</v>
      </c>
      <c r="K655" s="101" t="str">
        <f>IFERROR(VLOOKUP(I655,'Raw material list'!$A$3:$E$695,5,0),"")</f>
        <v xml:space="preserve">Gram </v>
      </c>
      <c r="L655" s="95">
        <v>0.51</v>
      </c>
      <c r="M655" s="98">
        <f t="shared" si="138"/>
        <v>0.51</v>
      </c>
      <c r="N655" s="98">
        <v>100</v>
      </c>
      <c r="O655" s="95">
        <v>10</v>
      </c>
      <c r="P655" s="98">
        <f t="shared" si="131"/>
        <v>5.1000000000000004E-2</v>
      </c>
      <c r="Q655" s="99">
        <f>IFERROR(VLOOKUP(I655,'Raw material list'!$A$3:$F$695,6,0),"")</f>
        <v>1.6E-2</v>
      </c>
      <c r="R655" s="100">
        <f t="shared" si="132"/>
        <v>8.160000000000001E-4</v>
      </c>
      <c r="S655" s="94">
        <f t="shared" si="129"/>
        <v>8.1600000000000018E-5</v>
      </c>
      <c r="T655" s="94">
        <f t="shared" si="130"/>
        <v>8.9760000000000013E-4</v>
      </c>
      <c r="U655" s="93">
        <f t="shared" si="139"/>
        <v>8.9760000000000022E-5</v>
      </c>
      <c r="V655" s="93">
        <f t="shared" si="140"/>
        <v>8.9760000000000018E-6</v>
      </c>
      <c r="W655" s="93">
        <f t="shared" si="141"/>
        <v>8.9760000000000018E-6</v>
      </c>
      <c r="X655" s="93">
        <f t="shared" si="137"/>
        <v>1.005312E-3</v>
      </c>
      <c r="Y655" s="117"/>
    </row>
    <row r="656" spans="1:25" s="90" customFormat="1">
      <c r="A656" s="95" t="s">
        <v>1529</v>
      </c>
      <c r="B656" s="95" t="s">
        <v>1668</v>
      </c>
      <c r="C656" s="95" t="s">
        <v>1427</v>
      </c>
      <c r="D656" s="101" t="s">
        <v>1552</v>
      </c>
      <c r="E656" s="101" t="s">
        <v>1550</v>
      </c>
      <c r="F656" s="101" t="s">
        <v>1670</v>
      </c>
      <c r="G656" s="101" t="s">
        <v>1442</v>
      </c>
      <c r="H656" s="97" t="str">
        <f>IFERROR(VLOOKUP(I656,'Raw material list'!$A$3:$C$695,3,0),"")</f>
        <v>DRS1-607</v>
      </c>
      <c r="I656" s="97" t="s">
        <v>207</v>
      </c>
      <c r="J656" s="101" t="s">
        <v>111</v>
      </c>
      <c r="K656" s="101" t="str">
        <f>IFERROR(VLOOKUP(I656,'Raw material list'!$A$3:$E$695,5,0),"")</f>
        <v xml:space="preserve">Gram </v>
      </c>
      <c r="L656" s="95">
        <v>431.03</v>
      </c>
      <c r="M656" s="98">
        <f t="shared" si="138"/>
        <v>431.03</v>
      </c>
      <c r="N656" s="98">
        <v>100</v>
      </c>
      <c r="O656" s="95">
        <v>10</v>
      </c>
      <c r="P656" s="98">
        <f t="shared" si="131"/>
        <v>43.102999999999994</v>
      </c>
      <c r="Q656" s="99">
        <f>IFERROR(VLOOKUP(I656,'Raw material list'!$A$3:$F$695,6,0),"")</f>
        <v>5.8823529411764714E-3</v>
      </c>
      <c r="R656" s="100">
        <f t="shared" si="132"/>
        <v>0.2535470588235294</v>
      </c>
      <c r="S656" s="94">
        <f t="shared" si="129"/>
        <v>2.5354705882352942E-2</v>
      </c>
      <c r="T656" s="94">
        <f t="shared" si="130"/>
        <v>0.27890176470588235</v>
      </c>
      <c r="U656" s="93">
        <f t="shared" si="139"/>
        <v>2.7890176470588238E-2</v>
      </c>
      <c r="V656" s="93">
        <f t="shared" si="140"/>
        <v>2.7890176470588236E-3</v>
      </c>
      <c r="W656" s="93">
        <f t="shared" si="141"/>
        <v>2.7890176470588236E-3</v>
      </c>
      <c r="X656" s="93">
        <f t="shared" si="137"/>
        <v>0.31236997647058817</v>
      </c>
      <c r="Y656" s="117"/>
    </row>
    <row r="657" spans="1:25" s="90" customFormat="1">
      <c r="A657" s="95" t="s">
        <v>1529</v>
      </c>
      <c r="B657" s="95" t="s">
        <v>1668</v>
      </c>
      <c r="C657" s="95" t="s">
        <v>1427</v>
      </c>
      <c r="D657" s="101" t="s">
        <v>1552</v>
      </c>
      <c r="E657" s="101" t="s">
        <v>1550</v>
      </c>
      <c r="F657" s="101" t="s">
        <v>1670</v>
      </c>
      <c r="G657" s="101" t="s">
        <v>1442</v>
      </c>
      <c r="H657" s="97" t="str">
        <f>IFERROR(VLOOKUP(I657,'Raw material list'!$A$3:$C$695,3,0),"")</f>
        <v>DRS6-537</v>
      </c>
      <c r="I657" s="97" t="s">
        <v>25</v>
      </c>
      <c r="J657" s="101" t="s">
        <v>111</v>
      </c>
      <c r="K657" s="101" t="str">
        <f>IFERROR(VLOOKUP(I657,'Raw material list'!$A$3:$E$695,5,0),"")</f>
        <v xml:space="preserve">Gram </v>
      </c>
      <c r="L657" s="95">
        <v>0.17</v>
      </c>
      <c r="M657" s="98">
        <f t="shared" si="138"/>
        <v>0.17</v>
      </c>
      <c r="N657" s="98">
        <v>100</v>
      </c>
      <c r="O657" s="95">
        <v>10</v>
      </c>
      <c r="P657" s="98">
        <f t="shared" si="131"/>
        <v>1.7000000000000001E-2</v>
      </c>
      <c r="Q657" s="99">
        <f>IFERROR(VLOOKUP(I657,'Raw material list'!$A$3:$F$695,6,0),"")</f>
        <v>3.5000000000000003E-2</v>
      </c>
      <c r="R657" s="100">
        <f t="shared" si="132"/>
        <v>5.9500000000000015E-4</v>
      </c>
      <c r="S657" s="94">
        <f t="shared" si="129"/>
        <v>5.9500000000000016E-5</v>
      </c>
      <c r="T657" s="94">
        <f t="shared" si="130"/>
        <v>6.5450000000000013E-4</v>
      </c>
      <c r="U657" s="93">
        <f t="shared" si="139"/>
        <v>6.5450000000000019E-5</v>
      </c>
      <c r="V657" s="93">
        <f t="shared" si="140"/>
        <v>6.5450000000000017E-6</v>
      </c>
      <c r="W657" s="93">
        <f t="shared" si="141"/>
        <v>6.5450000000000017E-6</v>
      </c>
      <c r="X657" s="93">
        <f t="shared" si="137"/>
        <v>7.3304000000000023E-4</v>
      </c>
      <c r="Y657" s="117"/>
    </row>
    <row r="658" spans="1:25" s="90" customFormat="1">
      <c r="A658" s="95" t="s">
        <v>1529</v>
      </c>
      <c r="B658" s="95" t="s">
        <v>1668</v>
      </c>
      <c r="C658" s="95" t="s">
        <v>1427</v>
      </c>
      <c r="D658" s="101" t="s">
        <v>1552</v>
      </c>
      <c r="E658" s="101" t="s">
        <v>1550</v>
      </c>
      <c r="F658" s="101" t="s">
        <v>1670</v>
      </c>
      <c r="G658" s="101" t="s">
        <v>1442</v>
      </c>
      <c r="H658" s="97" t="str">
        <f>IFERROR(VLOOKUP(I658,'Raw material list'!$A$3:$C$695,3,0),"")</f>
        <v>DRS1-114</v>
      </c>
      <c r="I658" s="97" t="s">
        <v>279</v>
      </c>
      <c r="J658" s="101" t="s">
        <v>111</v>
      </c>
      <c r="K658" s="101" t="str">
        <f>IFERROR(VLOOKUP(I658,'Raw material list'!$A$3:$E$695,5,0),"")</f>
        <v xml:space="preserve">Gram </v>
      </c>
      <c r="L658" s="95">
        <v>2.75</v>
      </c>
      <c r="M658" s="98">
        <f t="shared" si="138"/>
        <v>2.75</v>
      </c>
      <c r="N658" s="98">
        <v>100</v>
      </c>
      <c r="O658" s="95">
        <v>10</v>
      </c>
      <c r="P658" s="98">
        <f t="shared" si="131"/>
        <v>0.27500000000000002</v>
      </c>
      <c r="Q658" s="99">
        <f>IFERROR(VLOOKUP(I658,'Raw material list'!$A$3:$F$695,6,0),"")</f>
        <v>4.7489823609226586E-3</v>
      </c>
      <c r="R658" s="100">
        <f t="shared" si="132"/>
        <v>1.3059701492537312E-3</v>
      </c>
      <c r="S658" s="94">
        <f t="shared" si="129"/>
        <v>1.3059701492537312E-4</v>
      </c>
      <c r="T658" s="94">
        <f t="shared" si="130"/>
        <v>1.4365671641791043E-3</v>
      </c>
      <c r="U658" s="93">
        <f t="shared" si="139"/>
        <v>1.4365671641791044E-4</v>
      </c>
      <c r="V658" s="93">
        <f t="shared" si="140"/>
        <v>1.4365671641791043E-5</v>
      </c>
      <c r="W658" s="93">
        <f t="shared" si="141"/>
        <v>1.4365671641791043E-5</v>
      </c>
      <c r="X658" s="93">
        <f t="shared" si="137"/>
        <v>1.608955223880597E-3</v>
      </c>
      <c r="Y658" s="117"/>
    </row>
    <row r="659" spans="1:25" s="90" customFormat="1">
      <c r="A659" s="95" t="s">
        <v>1529</v>
      </c>
      <c r="B659" s="95" t="s">
        <v>1668</v>
      </c>
      <c r="C659" s="95" t="s">
        <v>1427</v>
      </c>
      <c r="D659" s="101" t="s">
        <v>1552</v>
      </c>
      <c r="E659" s="101" t="s">
        <v>1550</v>
      </c>
      <c r="F659" s="101" t="s">
        <v>1670</v>
      </c>
      <c r="G659" s="101" t="s">
        <v>1442</v>
      </c>
      <c r="H659" s="97" t="str">
        <f>IFERROR(VLOOKUP(I659,'Raw material list'!$A$3:$C$695,3,0),"")</f>
        <v>DRY2-1858</v>
      </c>
      <c r="I659" s="97" t="s">
        <v>42</v>
      </c>
      <c r="J659" s="101" t="s">
        <v>161</v>
      </c>
      <c r="K659" s="101" t="str">
        <f>IFERROR(VLOOKUP(I659,'Raw material list'!$A$3:$E$695,5,0),"")</f>
        <v>Ml</v>
      </c>
      <c r="L659" s="95">
        <v>754.31</v>
      </c>
      <c r="M659" s="98">
        <f t="shared" si="138"/>
        <v>754.31</v>
      </c>
      <c r="N659" s="98">
        <v>100</v>
      </c>
      <c r="O659" s="95">
        <v>10</v>
      </c>
      <c r="P659" s="98">
        <f t="shared" si="131"/>
        <v>75.430999999999997</v>
      </c>
      <c r="Q659" s="99">
        <f>IFERROR(VLOOKUP(I659,'Raw material list'!$A$3:$F$695,6,0),"")</f>
        <v>9.8800000000000016E-3</v>
      </c>
      <c r="R659" s="100">
        <f t="shared" si="132"/>
        <v>0.74525828000000005</v>
      </c>
      <c r="S659" s="94">
        <f t="shared" si="129"/>
        <v>7.4525828000000002E-2</v>
      </c>
      <c r="T659" s="94">
        <f t="shared" si="130"/>
        <v>0.81978410800000001</v>
      </c>
      <c r="U659" s="93">
        <f t="shared" si="139"/>
        <v>8.1978410800000012E-2</v>
      </c>
      <c r="V659" s="93">
        <f t="shared" si="140"/>
        <v>8.1978410800000005E-3</v>
      </c>
      <c r="W659" s="93">
        <f t="shared" si="141"/>
        <v>8.1978410800000005E-3</v>
      </c>
      <c r="X659" s="93">
        <f t="shared" si="137"/>
        <v>0.91815820096</v>
      </c>
      <c r="Y659" s="117"/>
    </row>
    <row r="660" spans="1:25" s="90" customFormat="1">
      <c r="A660" s="95" t="s">
        <v>1529</v>
      </c>
      <c r="B660" s="95" t="s">
        <v>1668</v>
      </c>
      <c r="C660" s="95" t="s">
        <v>1427</v>
      </c>
      <c r="D660" s="101" t="s">
        <v>1552</v>
      </c>
      <c r="E660" s="101" t="s">
        <v>1550</v>
      </c>
      <c r="F660" s="101" t="s">
        <v>1670</v>
      </c>
      <c r="G660" s="101" t="s">
        <v>1442</v>
      </c>
      <c r="H660" s="97" t="str">
        <f>IFERROR(VLOOKUP(I660,'Raw material list'!$A$3:$C$695,3,0),"")</f>
        <v>DRS1-978</v>
      </c>
      <c r="I660" s="97" t="s">
        <v>49</v>
      </c>
      <c r="J660" s="101" t="s">
        <v>111</v>
      </c>
      <c r="K660" s="101" t="str">
        <f>IFERROR(VLOOKUP(I660,'Raw material list'!$A$3:$E$695,5,0),"")</f>
        <v xml:space="preserve">Gram </v>
      </c>
      <c r="L660" s="95">
        <v>4.3099999999999996</v>
      </c>
      <c r="M660" s="98">
        <f t="shared" si="138"/>
        <v>4.3099999999999996</v>
      </c>
      <c r="N660" s="98">
        <v>100</v>
      </c>
      <c r="O660" s="95">
        <v>10</v>
      </c>
      <c r="P660" s="98">
        <f t="shared" si="131"/>
        <v>0.43099999999999994</v>
      </c>
      <c r="Q660" s="99">
        <f>IFERROR(VLOOKUP(I660,'Raw material list'!$A$3:$F$695,6,0),"")</f>
        <v>2.1999999999999999E-2</v>
      </c>
      <c r="R660" s="100">
        <f t="shared" si="132"/>
        <v>9.4819999999999974E-3</v>
      </c>
      <c r="S660" s="94">
        <f t="shared" si="129"/>
        <v>9.4819999999999974E-4</v>
      </c>
      <c r="T660" s="94">
        <f t="shared" si="130"/>
        <v>1.0430199999999997E-2</v>
      </c>
      <c r="U660" s="93">
        <f t="shared" si="139"/>
        <v>1.0430199999999998E-3</v>
      </c>
      <c r="V660" s="93">
        <f t="shared" si="140"/>
        <v>1.0430199999999998E-4</v>
      </c>
      <c r="W660" s="93">
        <f t="shared" si="141"/>
        <v>1.0430199999999998E-4</v>
      </c>
      <c r="X660" s="93">
        <f t="shared" si="137"/>
        <v>1.1681823999999999E-2</v>
      </c>
      <c r="Y660" s="117"/>
    </row>
    <row r="661" spans="1:25" s="90" customFormat="1">
      <c r="A661" s="95" t="s">
        <v>1529</v>
      </c>
      <c r="B661" s="95" t="s">
        <v>1668</v>
      </c>
      <c r="C661" s="95" t="s">
        <v>1427</v>
      </c>
      <c r="D661" s="101" t="s">
        <v>1552</v>
      </c>
      <c r="E661" s="101" t="s">
        <v>1550</v>
      </c>
      <c r="F661" s="101" t="s">
        <v>1670</v>
      </c>
      <c r="G661" s="101" t="s">
        <v>1442</v>
      </c>
      <c r="H661" s="97" t="str">
        <f>IFERROR(VLOOKUP(I661,'Raw material list'!$A$3:$C$695,3,0),"")</f>
        <v>DRS6-3608</v>
      </c>
      <c r="I661" s="97" t="s">
        <v>37</v>
      </c>
      <c r="J661" s="101" t="s">
        <v>111</v>
      </c>
      <c r="K661" s="101" t="str">
        <f>IFERROR(VLOOKUP(I661,'Raw material list'!$A$3:$E$695,5,0),"")</f>
        <v xml:space="preserve">Gram </v>
      </c>
      <c r="L661" s="95">
        <v>44.82</v>
      </c>
      <c r="M661" s="98">
        <f t="shared" si="138"/>
        <v>44.82</v>
      </c>
      <c r="N661" s="98">
        <v>100</v>
      </c>
      <c r="O661" s="95">
        <v>10</v>
      </c>
      <c r="P661" s="98">
        <f t="shared" si="131"/>
        <v>4.4820000000000002</v>
      </c>
      <c r="Q661" s="99">
        <f>IFERROR(VLOOKUP(I661,'Raw material list'!$A$3:$F$695,6,0),"")</f>
        <v>1.6E-2</v>
      </c>
      <c r="R661" s="100">
        <f t="shared" si="132"/>
        <v>7.1711999999999998E-2</v>
      </c>
      <c r="S661" s="94">
        <f t="shared" si="129"/>
        <v>7.1712E-3</v>
      </c>
      <c r="T661" s="94">
        <f t="shared" si="130"/>
        <v>7.8883200000000001E-2</v>
      </c>
      <c r="U661" s="93">
        <f t="shared" si="139"/>
        <v>7.8883200000000007E-3</v>
      </c>
      <c r="V661" s="93">
        <f t="shared" si="140"/>
        <v>7.8883200000000005E-4</v>
      </c>
      <c r="W661" s="93">
        <f t="shared" si="141"/>
        <v>7.8883200000000005E-4</v>
      </c>
      <c r="X661" s="93">
        <f t="shared" si="137"/>
        <v>8.8349184000000011E-2</v>
      </c>
      <c r="Y661" s="117"/>
    </row>
    <row r="662" spans="1:25" s="90" customFormat="1">
      <c r="A662" s="95" t="s">
        <v>1529</v>
      </c>
      <c r="B662" s="95" t="s">
        <v>1668</v>
      </c>
      <c r="C662" s="95" t="s">
        <v>1427</v>
      </c>
      <c r="D662" s="101" t="s">
        <v>1552</v>
      </c>
      <c r="E662" s="101" t="s">
        <v>1550</v>
      </c>
      <c r="F662" s="101" t="s">
        <v>1670</v>
      </c>
      <c r="G662" s="101" t="s">
        <v>1442</v>
      </c>
      <c r="H662" s="97" t="str">
        <f>IFERROR(VLOOKUP(I662,'Raw material list'!$A$3:$C$695,3,0),"")</f>
        <v>WAT-001</v>
      </c>
      <c r="I662" s="97" t="s">
        <v>1406</v>
      </c>
      <c r="J662" s="101" t="s">
        <v>161</v>
      </c>
      <c r="K662" s="101" t="str">
        <f>IFERROR(VLOOKUP(I662,'Raw material list'!$A$3:$E$695,5,0),"")</f>
        <v>Ml</v>
      </c>
      <c r="L662" s="95">
        <v>215.51</v>
      </c>
      <c r="M662" s="98">
        <f t="shared" si="138"/>
        <v>215.51</v>
      </c>
      <c r="N662" s="98">
        <v>100</v>
      </c>
      <c r="O662" s="95">
        <v>10</v>
      </c>
      <c r="P662" s="98">
        <f t="shared" si="131"/>
        <v>21.550999999999998</v>
      </c>
      <c r="Q662" s="99">
        <f>IFERROR(VLOOKUP(I662,'Raw material list'!$A$3:$F$695,6,0),"")</f>
        <v>8.0000000000000007E-5</v>
      </c>
      <c r="R662" s="100">
        <f t="shared" si="132"/>
        <v>1.72408E-3</v>
      </c>
      <c r="S662" s="94">
        <f t="shared" ref="S662:S704" si="142">R662*10%</f>
        <v>1.7240800000000001E-4</v>
      </c>
      <c r="T662" s="94">
        <f t="shared" ref="T662:T704" si="143">R662+S662</f>
        <v>1.896488E-3</v>
      </c>
      <c r="U662" s="93">
        <f t="shared" si="139"/>
        <v>1.896488E-4</v>
      </c>
      <c r="V662" s="93">
        <f t="shared" si="140"/>
        <v>1.8964880000000001E-5</v>
      </c>
      <c r="W662" s="93">
        <f t="shared" si="141"/>
        <v>1.8964880000000001E-5</v>
      </c>
      <c r="X662" s="93">
        <f t="shared" si="137"/>
        <v>2.1240665600000003E-3</v>
      </c>
      <c r="Y662" s="117"/>
    </row>
    <row r="663" spans="1:25" s="90" customFormat="1">
      <c r="A663" s="95" t="s">
        <v>1529</v>
      </c>
      <c r="B663" s="95" t="s">
        <v>1668</v>
      </c>
      <c r="C663" s="95" t="s">
        <v>1427</v>
      </c>
      <c r="D663" s="101" t="s">
        <v>1552</v>
      </c>
      <c r="E663" s="101" t="s">
        <v>1550</v>
      </c>
      <c r="F663" s="101" t="s">
        <v>1670</v>
      </c>
      <c r="G663" s="101" t="s">
        <v>1433</v>
      </c>
      <c r="H663" s="97" t="str">
        <f>IFERROR(VLOOKUP(I663,'Raw material list'!$A$3:$C$695,3,0),"")</f>
        <v>DRS4-498</v>
      </c>
      <c r="I663" s="97" t="s">
        <v>62</v>
      </c>
      <c r="J663" s="101" t="s">
        <v>111</v>
      </c>
      <c r="K663" s="101" t="str">
        <f>IFERROR(VLOOKUP(I663,'Raw material list'!$A$3:$E$695,5,0),"")</f>
        <v xml:space="preserve">Gram </v>
      </c>
      <c r="L663" s="95">
        <v>600</v>
      </c>
      <c r="M663" s="98">
        <f t="shared" si="138"/>
        <v>600</v>
      </c>
      <c r="N663" s="98">
        <v>100</v>
      </c>
      <c r="O663" s="95">
        <v>10</v>
      </c>
      <c r="P663" s="98">
        <f t="shared" si="131"/>
        <v>60</v>
      </c>
      <c r="Q663" s="99">
        <f>IFERROR(VLOOKUP(I663,'Raw material list'!$A$3:$F$695,6,0),"")</f>
        <v>5.7499999999999999E-3</v>
      </c>
      <c r="R663" s="100">
        <f t="shared" si="132"/>
        <v>0.34499999999999997</v>
      </c>
      <c r="S663" s="94">
        <f t="shared" si="142"/>
        <v>3.4499999999999996E-2</v>
      </c>
      <c r="T663" s="94">
        <f t="shared" si="143"/>
        <v>0.37949999999999995</v>
      </c>
      <c r="U663" s="93">
        <f t="shared" si="139"/>
        <v>3.7949999999999998E-2</v>
      </c>
      <c r="V663" s="93">
        <f t="shared" si="140"/>
        <v>3.7949999999999998E-3</v>
      </c>
      <c r="W663" s="93">
        <f t="shared" si="141"/>
        <v>3.7949999999999998E-3</v>
      </c>
      <c r="X663" s="93">
        <f t="shared" si="137"/>
        <v>0.42503999999999992</v>
      </c>
      <c r="Y663" s="117"/>
    </row>
    <row r="664" spans="1:25" s="90" customFormat="1">
      <c r="A664" s="95" t="s">
        <v>1529</v>
      </c>
      <c r="B664" s="95" t="s">
        <v>1668</v>
      </c>
      <c r="C664" s="95" t="s">
        <v>1427</v>
      </c>
      <c r="D664" s="101" t="s">
        <v>1552</v>
      </c>
      <c r="E664" s="101" t="s">
        <v>1550</v>
      </c>
      <c r="F664" s="101" t="s">
        <v>1670</v>
      </c>
      <c r="G664" s="101" t="s">
        <v>1433</v>
      </c>
      <c r="H664" s="97" t="str">
        <f>IFERROR(VLOOKUP(I664,'Raw material list'!$A$3:$C$695,3,0),"")</f>
        <v>WAT-001</v>
      </c>
      <c r="I664" s="97" t="s">
        <v>1406</v>
      </c>
      <c r="J664" s="101" t="s">
        <v>161</v>
      </c>
      <c r="K664" s="101" t="str">
        <f>IFERROR(VLOOKUP(I664,'Raw material list'!$A$3:$E$695,5,0),"")</f>
        <v>Ml</v>
      </c>
      <c r="L664" s="95">
        <v>100</v>
      </c>
      <c r="M664" s="98">
        <f t="shared" si="138"/>
        <v>100</v>
      </c>
      <c r="N664" s="98">
        <v>100</v>
      </c>
      <c r="O664" s="95">
        <v>10</v>
      </c>
      <c r="P664" s="98">
        <f t="shared" si="131"/>
        <v>10</v>
      </c>
      <c r="Q664" s="99">
        <f>IFERROR(VLOOKUP(I664,'Raw material list'!$A$3:$F$695,6,0),"")</f>
        <v>8.0000000000000007E-5</v>
      </c>
      <c r="R664" s="100">
        <f t="shared" si="132"/>
        <v>8.0000000000000004E-4</v>
      </c>
      <c r="S664" s="94">
        <f t="shared" si="142"/>
        <v>8.0000000000000007E-5</v>
      </c>
      <c r="T664" s="94">
        <f t="shared" si="143"/>
        <v>8.8000000000000003E-4</v>
      </c>
      <c r="U664" s="93">
        <f t="shared" si="139"/>
        <v>8.8000000000000011E-5</v>
      </c>
      <c r="V664" s="93">
        <f t="shared" si="140"/>
        <v>8.8000000000000004E-6</v>
      </c>
      <c r="W664" s="93">
        <f t="shared" si="141"/>
        <v>8.8000000000000004E-6</v>
      </c>
      <c r="X664" s="93">
        <f t="shared" si="137"/>
        <v>9.856000000000001E-4</v>
      </c>
      <c r="Y664" s="117"/>
    </row>
    <row r="665" spans="1:25" s="90" customFormat="1">
      <c r="A665" s="95" t="s">
        <v>1529</v>
      </c>
      <c r="B665" s="95" t="s">
        <v>1668</v>
      </c>
      <c r="C665" s="95" t="s">
        <v>1427</v>
      </c>
      <c r="D665" s="101" t="s">
        <v>1552</v>
      </c>
      <c r="E665" s="101" t="s">
        <v>1550</v>
      </c>
      <c r="F665" s="101" t="s">
        <v>1670</v>
      </c>
      <c r="G665" s="101" t="s">
        <v>1433</v>
      </c>
      <c r="H665" s="97" t="str">
        <f>IFERROR(VLOOKUP(I665,'Raw material list'!$A$3:$C$695,3,0),"")</f>
        <v>DRS1-3880</v>
      </c>
      <c r="I665" s="97" t="s">
        <v>1398</v>
      </c>
      <c r="J665" s="101" t="s">
        <v>111</v>
      </c>
      <c r="K665" s="101" t="str">
        <f>IFERROR(VLOOKUP(I665,'Raw material list'!$A$3:$E$695,5,0),"")</f>
        <v xml:space="preserve">Gram </v>
      </c>
      <c r="L665" s="95">
        <v>16</v>
      </c>
      <c r="M665" s="98">
        <f t="shared" si="138"/>
        <v>16</v>
      </c>
      <c r="N665" s="98">
        <v>100</v>
      </c>
      <c r="O665" s="95">
        <v>10</v>
      </c>
      <c r="P665" s="98">
        <f t="shared" si="131"/>
        <v>1.6</v>
      </c>
      <c r="Q665" s="99">
        <f>IFERROR(VLOOKUP(I665,'Raw material list'!$A$3:$F$695,6,0),"")</f>
        <v>5.0000000000000001E-4</v>
      </c>
      <c r="R665" s="100">
        <f t="shared" si="132"/>
        <v>8.0000000000000004E-4</v>
      </c>
      <c r="S665" s="94">
        <f t="shared" si="142"/>
        <v>8.0000000000000007E-5</v>
      </c>
      <c r="T665" s="94">
        <f t="shared" si="143"/>
        <v>8.8000000000000003E-4</v>
      </c>
      <c r="U665" s="93">
        <f t="shared" si="139"/>
        <v>8.8000000000000011E-5</v>
      </c>
      <c r="V665" s="93">
        <f t="shared" si="140"/>
        <v>8.8000000000000004E-6</v>
      </c>
      <c r="W665" s="93">
        <f t="shared" si="141"/>
        <v>8.8000000000000004E-6</v>
      </c>
      <c r="X665" s="93">
        <f t="shared" si="137"/>
        <v>9.856000000000001E-4</v>
      </c>
      <c r="Y665" s="117"/>
    </row>
    <row r="666" spans="1:25" s="90" customFormat="1">
      <c r="A666" s="95" t="s">
        <v>1529</v>
      </c>
      <c r="B666" s="95" t="s">
        <v>1668</v>
      </c>
      <c r="C666" s="95" t="s">
        <v>1427</v>
      </c>
      <c r="D666" s="101" t="s">
        <v>1552</v>
      </c>
      <c r="E666" s="101" t="s">
        <v>1550</v>
      </c>
      <c r="F666" s="101" t="s">
        <v>1670</v>
      </c>
      <c r="G666" s="101" t="s">
        <v>1433</v>
      </c>
      <c r="H666" s="97" t="str">
        <f>IFERROR(VLOOKUP(I666,'Raw material list'!$A$3:$C$695,3,0),"")</f>
        <v>DRS6-309</v>
      </c>
      <c r="I666" s="97" t="s">
        <v>35</v>
      </c>
      <c r="J666" s="101" t="s">
        <v>111</v>
      </c>
      <c r="K666" s="101" t="str">
        <f>IFERROR(VLOOKUP(I666,'Raw material list'!$A$3:$E$695,5,0),"")</f>
        <v xml:space="preserve">Gram </v>
      </c>
      <c r="L666" s="95">
        <v>2</v>
      </c>
      <c r="M666" s="98">
        <f t="shared" si="138"/>
        <v>2</v>
      </c>
      <c r="N666" s="98">
        <v>100</v>
      </c>
      <c r="O666" s="95">
        <v>10</v>
      </c>
      <c r="P666" s="98">
        <f t="shared" si="131"/>
        <v>0.2</v>
      </c>
      <c r="Q666" s="99">
        <f>IFERROR(VLOOKUP(I666,'Raw material list'!$A$3:$F$695,6,0),"")</f>
        <v>2.8000000000000001E-2</v>
      </c>
      <c r="R666" s="100">
        <f t="shared" si="132"/>
        <v>5.6000000000000008E-3</v>
      </c>
      <c r="S666" s="94">
        <f t="shared" si="142"/>
        <v>5.6000000000000006E-4</v>
      </c>
      <c r="T666" s="94">
        <f t="shared" si="143"/>
        <v>6.1600000000000005E-3</v>
      </c>
      <c r="U666" s="93">
        <f t="shared" si="139"/>
        <v>6.1600000000000012E-4</v>
      </c>
      <c r="V666" s="93">
        <f t="shared" si="140"/>
        <v>6.1600000000000007E-5</v>
      </c>
      <c r="W666" s="93">
        <f t="shared" si="141"/>
        <v>6.1600000000000007E-5</v>
      </c>
      <c r="X666" s="93">
        <f t="shared" si="137"/>
        <v>6.8992000000000012E-3</v>
      </c>
      <c r="Y666" s="117"/>
    </row>
    <row r="667" spans="1:25" s="90" customFormat="1">
      <c r="A667" s="95" t="s">
        <v>1529</v>
      </c>
      <c r="B667" s="95" t="s">
        <v>1668</v>
      </c>
      <c r="C667" s="95" t="s">
        <v>1427</v>
      </c>
      <c r="D667" s="101" t="s">
        <v>1552</v>
      </c>
      <c r="E667" s="101" t="s">
        <v>1550</v>
      </c>
      <c r="F667" s="101" t="s">
        <v>1670</v>
      </c>
      <c r="G667" s="101" t="s">
        <v>1433</v>
      </c>
      <c r="H667" s="97" t="str">
        <f>IFERROR(VLOOKUP(I667,'Raw material list'!$A$3:$C$695,3,0),"")</f>
        <v>DRS6-3593</v>
      </c>
      <c r="I667" s="97" t="s">
        <v>1417</v>
      </c>
      <c r="J667" s="101" t="s">
        <v>111</v>
      </c>
      <c r="K667" s="101" t="str">
        <f>IFERROR(VLOOKUP(I667,'Raw material list'!$A$3:$E$695,5,0),"")</f>
        <v xml:space="preserve">Gram </v>
      </c>
      <c r="L667" s="95">
        <v>1</v>
      </c>
      <c r="M667" s="98">
        <f t="shared" si="138"/>
        <v>1</v>
      </c>
      <c r="N667" s="98">
        <v>100</v>
      </c>
      <c r="O667" s="95">
        <v>10</v>
      </c>
      <c r="P667" s="98">
        <f t="shared" si="131"/>
        <v>0.1</v>
      </c>
      <c r="Q667" s="99">
        <f>IFERROR(VLOOKUP(I667,'Raw material list'!$A$3:$F$695,6,0),"")</f>
        <v>1.0500000000000001E-2</v>
      </c>
      <c r="R667" s="100">
        <f t="shared" si="132"/>
        <v>1.0500000000000002E-3</v>
      </c>
      <c r="S667" s="94">
        <f t="shared" si="142"/>
        <v>1.0500000000000002E-4</v>
      </c>
      <c r="T667" s="94">
        <f t="shared" si="143"/>
        <v>1.1550000000000002E-3</v>
      </c>
      <c r="U667" s="93">
        <f t="shared" si="139"/>
        <v>1.1550000000000003E-4</v>
      </c>
      <c r="V667" s="93">
        <f t="shared" si="140"/>
        <v>1.1550000000000003E-5</v>
      </c>
      <c r="W667" s="93">
        <f t="shared" si="141"/>
        <v>1.1550000000000003E-5</v>
      </c>
      <c r="X667" s="93">
        <f t="shared" si="137"/>
        <v>1.2936E-3</v>
      </c>
      <c r="Y667" s="117"/>
    </row>
    <row r="668" spans="1:25" s="90" customFormat="1">
      <c r="A668" s="95" t="s">
        <v>1529</v>
      </c>
      <c r="B668" s="95" t="s">
        <v>1668</v>
      </c>
      <c r="C668" s="95" t="s">
        <v>1427</v>
      </c>
      <c r="D668" s="101" t="s">
        <v>1552</v>
      </c>
      <c r="E668" s="101" t="s">
        <v>1550</v>
      </c>
      <c r="F668" s="101" t="s">
        <v>1670</v>
      </c>
      <c r="G668" s="101" t="s">
        <v>1433</v>
      </c>
      <c r="H668" s="97" t="str">
        <f>IFERROR(VLOOKUP(I668,'Raw material list'!$A$3:$C$695,3,0),"")</f>
        <v>DRS3-1813</v>
      </c>
      <c r="I668" s="97" t="s">
        <v>39</v>
      </c>
      <c r="J668" s="101" t="s">
        <v>161</v>
      </c>
      <c r="K668" s="101" t="str">
        <f>IFERROR(VLOOKUP(I668,'Raw material list'!$A$3:$E$695,5,0),"")</f>
        <v>Ml</v>
      </c>
      <c r="L668" s="95">
        <v>30</v>
      </c>
      <c r="M668" s="98">
        <f t="shared" si="138"/>
        <v>30</v>
      </c>
      <c r="N668" s="98">
        <v>100</v>
      </c>
      <c r="O668" s="95">
        <v>10</v>
      </c>
      <c r="P668" s="98">
        <f t="shared" si="131"/>
        <v>3</v>
      </c>
      <c r="Q668" s="99">
        <f>IFERROR(VLOOKUP(I668,'Raw material list'!$A$3:$F$695,6,0),"")</f>
        <v>8.0555555555555554E-3</v>
      </c>
      <c r="R668" s="100">
        <f t="shared" si="132"/>
        <v>2.4166666666666666E-2</v>
      </c>
      <c r="S668" s="94">
        <f t="shared" si="142"/>
        <v>2.4166666666666668E-3</v>
      </c>
      <c r="T668" s="94">
        <f t="shared" si="143"/>
        <v>2.6583333333333334E-2</v>
      </c>
      <c r="U668" s="93">
        <f t="shared" si="139"/>
        <v>2.6583333333333337E-3</v>
      </c>
      <c r="V668" s="93">
        <f t="shared" si="140"/>
        <v>2.6583333333333336E-4</v>
      </c>
      <c r="W668" s="93">
        <f t="shared" si="141"/>
        <v>2.6583333333333336E-4</v>
      </c>
      <c r="X668" s="93">
        <f t="shared" si="137"/>
        <v>2.9773333333333332E-2</v>
      </c>
      <c r="Y668" s="117"/>
    </row>
    <row r="669" spans="1:25" s="90" customFormat="1">
      <c r="A669" s="95" t="s">
        <v>1529</v>
      </c>
      <c r="B669" s="95" t="s">
        <v>1668</v>
      </c>
      <c r="C669" s="95" t="s">
        <v>1427</v>
      </c>
      <c r="D669" s="101" t="s">
        <v>1552</v>
      </c>
      <c r="E669" s="101" t="s">
        <v>1550</v>
      </c>
      <c r="F669" s="101" t="s">
        <v>1670</v>
      </c>
      <c r="G669" s="101" t="s">
        <v>1433</v>
      </c>
      <c r="H669" s="97" t="str">
        <f>IFERROR(VLOOKUP(I669,'Raw material list'!$A$3:$C$695,3,0),"")</f>
        <v>DRS6-539</v>
      </c>
      <c r="I669" s="97" t="s">
        <v>717</v>
      </c>
      <c r="J669" s="101" t="s">
        <v>111</v>
      </c>
      <c r="K669" s="101" t="str">
        <f>IFERROR(VLOOKUP(I669,'Raw material list'!$A$3:$E$695,5,0),"")</f>
        <v xml:space="preserve">Gram </v>
      </c>
      <c r="L669" s="95">
        <v>2</v>
      </c>
      <c r="M669" s="98">
        <f t="shared" si="138"/>
        <v>2</v>
      </c>
      <c r="N669" s="98">
        <v>100</v>
      </c>
      <c r="O669" s="95">
        <v>10</v>
      </c>
      <c r="P669" s="98">
        <f t="shared" si="131"/>
        <v>0.2</v>
      </c>
      <c r="Q669" s="99">
        <f>IFERROR(VLOOKUP(I669,'Raw material list'!$A$3:$F$695,6,0),"")</f>
        <v>0.16</v>
      </c>
      <c r="R669" s="100">
        <f t="shared" si="132"/>
        <v>3.2000000000000001E-2</v>
      </c>
      <c r="S669" s="94">
        <f t="shared" si="142"/>
        <v>3.2000000000000002E-3</v>
      </c>
      <c r="T669" s="94">
        <f t="shared" si="143"/>
        <v>3.5200000000000002E-2</v>
      </c>
      <c r="U669" s="93">
        <f t="shared" si="139"/>
        <v>3.5200000000000006E-3</v>
      </c>
      <c r="V669" s="93">
        <f t="shared" si="140"/>
        <v>3.5200000000000005E-4</v>
      </c>
      <c r="W669" s="93">
        <f t="shared" si="141"/>
        <v>3.5200000000000005E-4</v>
      </c>
      <c r="X669" s="93">
        <f t="shared" si="137"/>
        <v>3.9424000000000001E-2</v>
      </c>
      <c r="Y669" s="117"/>
    </row>
    <row r="670" spans="1:25" s="90" customFormat="1">
      <c r="A670" s="95" t="s">
        <v>1529</v>
      </c>
      <c r="B670" s="95" t="s">
        <v>1668</v>
      </c>
      <c r="C670" s="95" t="s">
        <v>1427</v>
      </c>
      <c r="D670" s="101" t="s">
        <v>1552</v>
      </c>
      <c r="E670" s="101" t="s">
        <v>1550</v>
      </c>
      <c r="F670" s="101" t="s">
        <v>1670</v>
      </c>
      <c r="G670" s="101" t="s">
        <v>1433</v>
      </c>
      <c r="H670" s="97" t="str">
        <f>IFERROR(VLOOKUP(I670,'Raw material list'!$A$3:$C$695,3,0),"")</f>
        <v>DRS6-261</v>
      </c>
      <c r="I670" s="97" t="s">
        <v>1565</v>
      </c>
      <c r="J670" s="101" t="s">
        <v>111</v>
      </c>
      <c r="K670" s="101" t="str">
        <f>IFERROR(VLOOKUP(I670,'Raw material list'!$A$3:$E$695,5,0),"")</f>
        <v xml:space="preserve">Gram </v>
      </c>
      <c r="L670" s="95">
        <v>0.3</v>
      </c>
      <c r="M670" s="98">
        <f t="shared" si="138"/>
        <v>0.3</v>
      </c>
      <c r="N670" s="98">
        <v>100</v>
      </c>
      <c r="O670" s="95">
        <v>10</v>
      </c>
      <c r="P670" s="98">
        <f t="shared" si="131"/>
        <v>0.03</v>
      </c>
      <c r="Q670" s="99">
        <f>IFERROR(VLOOKUP(I670,'Raw material list'!$A$3:$F$695,6,0),"")</f>
        <v>1.4E-2</v>
      </c>
      <c r="R670" s="100">
        <f t="shared" si="132"/>
        <v>4.2000000000000002E-4</v>
      </c>
      <c r="S670" s="94">
        <f t="shared" si="142"/>
        <v>4.2000000000000004E-5</v>
      </c>
      <c r="T670" s="94">
        <f t="shared" si="143"/>
        <v>4.6200000000000001E-4</v>
      </c>
      <c r="U670" s="93">
        <f t="shared" si="139"/>
        <v>4.6200000000000005E-5</v>
      </c>
      <c r="V670" s="93">
        <f t="shared" si="140"/>
        <v>4.6199999999999998E-6</v>
      </c>
      <c r="W670" s="93">
        <f t="shared" si="141"/>
        <v>4.6199999999999998E-6</v>
      </c>
      <c r="X670" s="93">
        <f t="shared" si="137"/>
        <v>5.1743999999999998E-4</v>
      </c>
      <c r="Y670" s="117"/>
    </row>
    <row r="671" spans="1:25" s="90" customFormat="1">
      <c r="A671" s="95" t="s">
        <v>1529</v>
      </c>
      <c r="B671" s="95" t="s">
        <v>1668</v>
      </c>
      <c r="C671" s="95" t="s">
        <v>1427</v>
      </c>
      <c r="D671" s="101" t="s">
        <v>1552</v>
      </c>
      <c r="E671" s="101" t="s">
        <v>1550</v>
      </c>
      <c r="F671" s="101" t="s">
        <v>1670</v>
      </c>
      <c r="G671" s="101" t="s">
        <v>1446</v>
      </c>
      <c r="H671" s="97" t="str">
        <f>IFERROR(VLOOKUP(I671,'Raw material list'!$A$3:$C$695,3,0),"")</f>
        <v>DRY2-1008</v>
      </c>
      <c r="I671" s="97" t="s">
        <v>21</v>
      </c>
      <c r="J671" s="101" t="s">
        <v>111</v>
      </c>
      <c r="K671" s="101" t="str">
        <f>IFERROR(VLOOKUP(I671,'Raw material list'!$A$3:$E$695,5,0),"")</f>
        <v xml:space="preserve">Gram </v>
      </c>
      <c r="L671" s="95">
        <v>30</v>
      </c>
      <c r="M671" s="98">
        <f t="shared" si="138"/>
        <v>30</v>
      </c>
      <c r="N671" s="98">
        <v>100</v>
      </c>
      <c r="O671" s="95">
        <v>10</v>
      </c>
      <c r="P671" s="98">
        <f t="shared" si="131"/>
        <v>3</v>
      </c>
      <c r="Q671" s="99">
        <f>IFERROR(VLOOKUP(I671,'Raw material list'!$A$3:$F$695,6,0),"")</f>
        <v>3.7999999999999999E-2</v>
      </c>
      <c r="R671" s="100">
        <f t="shared" si="132"/>
        <v>0.11399999999999999</v>
      </c>
      <c r="S671" s="94">
        <f t="shared" si="142"/>
        <v>1.14E-2</v>
      </c>
      <c r="T671" s="94">
        <f t="shared" si="143"/>
        <v>0.12539999999999998</v>
      </c>
      <c r="U671" s="93">
        <f t="shared" si="139"/>
        <v>1.2539999999999999E-2</v>
      </c>
      <c r="V671" s="93">
        <f t="shared" si="140"/>
        <v>1.2539999999999999E-3</v>
      </c>
      <c r="W671" s="93">
        <f t="shared" si="141"/>
        <v>1.2539999999999999E-3</v>
      </c>
      <c r="X671" s="93">
        <f t="shared" si="137"/>
        <v>0.14044799999999999</v>
      </c>
      <c r="Y671" s="117"/>
    </row>
    <row r="672" spans="1:25" s="90" customFormat="1">
      <c r="A672" s="95" t="s">
        <v>1529</v>
      </c>
      <c r="B672" s="95" t="s">
        <v>1668</v>
      </c>
      <c r="C672" s="95" t="s">
        <v>1427</v>
      </c>
      <c r="D672" s="101" t="s">
        <v>1552</v>
      </c>
      <c r="E672" s="101" t="s">
        <v>1550</v>
      </c>
      <c r="F672" s="101" t="s">
        <v>1670</v>
      </c>
      <c r="G672" s="101" t="s">
        <v>1446</v>
      </c>
      <c r="H672" s="97" t="str">
        <f>IFERROR(VLOOKUP(I672,'Raw material list'!$A$3:$C$695,3,0),"")</f>
        <v>DRS6-1727</v>
      </c>
      <c r="I672" s="97" t="s">
        <v>41</v>
      </c>
      <c r="J672" s="101" t="s">
        <v>111</v>
      </c>
      <c r="K672" s="101" t="str">
        <f>IFERROR(VLOOKUP(I672,'Raw material list'!$A$3:$E$695,5,0),"")</f>
        <v xml:space="preserve">Gram </v>
      </c>
      <c r="L672" s="95">
        <v>3</v>
      </c>
      <c r="M672" s="98">
        <f t="shared" si="138"/>
        <v>3</v>
      </c>
      <c r="N672" s="98">
        <v>100</v>
      </c>
      <c r="O672" s="95">
        <v>10</v>
      </c>
      <c r="P672" s="98">
        <f t="shared" si="131"/>
        <v>0.3</v>
      </c>
      <c r="Q672" s="99">
        <f>IFERROR(VLOOKUP(I672,'Raw material list'!$A$3:$F$695,6,0),"")</f>
        <v>2.5000000000000001E-2</v>
      </c>
      <c r="R672" s="100">
        <f t="shared" si="132"/>
        <v>7.4999999999999997E-3</v>
      </c>
      <c r="S672" s="94">
        <f t="shared" si="142"/>
        <v>7.5000000000000002E-4</v>
      </c>
      <c r="T672" s="94">
        <f t="shared" si="143"/>
        <v>8.2500000000000004E-3</v>
      </c>
      <c r="U672" s="93">
        <f t="shared" si="139"/>
        <v>8.250000000000001E-4</v>
      </c>
      <c r="V672" s="93">
        <f t="shared" si="140"/>
        <v>8.25E-5</v>
      </c>
      <c r="W672" s="93">
        <f t="shared" si="141"/>
        <v>8.25E-5</v>
      </c>
      <c r="X672" s="93">
        <f t="shared" si="137"/>
        <v>9.2399999999999982E-3</v>
      </c>
      <c r="Y672" s="117"/>
    </row>
    <row r="673" spans="1:25">
      <c r="A673" s="95" t="s">
        <v>1530</v>
      </c>
      <c r="B673" s="95" t="s">
        <v>1668</v>
      </c>
      <c r="C673" s="95" t="s">
        <v>1427</v>
      </c>
      <c r="D673" s="101" t="s">
        <v>1553</v>
      </c>
      <c r="E673" s="101" t="s">
        <v>1550</v>
      </c>
      <c r="F673" s="95" t="s">
        <v>1671</v>
      </c>
      <c r="G673" s="101" t="s">
        <v>1553</v>
      </c>
      <c r="H673" s="97" t="str">
        <f>IFERROR(VLOOKUP(I673,'Raw material list'!$A$3:$C$695,3,0),"")</f>
        <v>PLT2-3278</v>
      </c>
      <c r="I673" s="97" t="s">
        <v>61</v>
      </c>
      <c r="J673" s="101" t="s">
        <v>111</v>
      </c>
      <c r="K673" s="101" t="str">
        <f>IFERROR(VLOOKUP(I673,'Raw material list'!$A$3:$E$695,5,0),"")</f>
        <v xml:space="preserve">Gram </v>
      </c>
      <c r="L673" s="95">
        <v>1200</v>
      </c>
      <c r="M673" s="98">
        <f t="shared" si="138"/>
        <v>1574.803149606299</v>
      </c>
      <c r="N673" s="98">
        <v>76.2</v>
      </c>
      <c r="O673" s="95">
        <v>10</v>
      </c>
      <c r="P673" s="98">
        <f t="shared" si="131"/>
        <v>120</v>
      </c>
      <c r="Q673" s="99">
        <f>IFERROR(VLOOKUP(I673,'Raw material list'!$A$3:$F$695,6,0),"")</f>
        <v>3.035714285714285E-2</v>
      </c>
      <c r="R673" s="100">
        <f t="shared" si="132"/>
        <v>3.6428571428571419</v>
      </c>
      <c r="S673" s="94">
        <f t="shared" si="142"/>
        <v>0.36428571428571421</v>
      </c>
      <c r="T673" s="94">
        <f t="shared" si="143"/>
        <v>4.0071428571428562</v>
      </c>
      <c r="U673" s="93">
        <f t="shared" si="139"/>
        <v>0.40071428571428563</v>
      </c>
      <c r="V673" s="93">
        <f t="shared" si="140"/>
        <v>4.0071428571428563E-2</v>
      </c>
      <c r="W673" s="93">
        <f t="shared" si="141"/>
        <v>4.0071428571428563E-2</v>
      </c>
      <c r="X673" s="93">
        <f t="shared" si="137"/>
        <v>4.4879999999999987</v>
      </c>
      <c r="Y673" s="117" t="s">
        <v>1674</v>
      </c>
    </row>
    <row r="674" spans="1:25">
      <c r="A674" s="95" t="s">
        <v>1530</v>
      </c>
      <c r="B674" s="95" t="s">
        <v>1668</v>
      </c>
      <c r="C674" s="95" t="s">
        <v>1427</v>
      </c>
      <c r="D674" s="101" t="s">
        <v>1553</v>
      </c>
      <c r="E674" s="101" t="s">
        <v>1550</v>
      </c>
      <c r="F674" s="101" t="s">
        <v>1671</v>
      </c>
      <c r="G674" s="101" t="s">
        <v>1591</v>
      </c>
      <c r="H674" s="97" t="str">
        <f>IFERROR(VLOOKUP(I674,'Raw material list'!$A$3:$C$695,3,0),"")</f>
        <v>DRS6-1727</v>
      </c>
      <c r="I674" s="97" t="s">
        <v>41</v>
      </c>
      <c r="J674" s="101" t="s">
        <v>111</v>
      </c>
      <c r="K674" s="101" t="str">
        <f>IFERROR(VLOOKUP(I674,'Raw material list'!$A$3:$E$695,5,0),"")</f>
        <v xml:space="preserve">Gram </v>
      </c>
      <c r="L674" s="95">
        <v>12</v>
      </c>
      <c r="M674" s="98">
        <f t="shared" si="138"/>
        <v>12</v>
      </c>
      <c r="N674" s="98">
        <v>100</v>
      </c>
      <c r="O674" s="95">
        <v>10</v>
      </c>
      <c r="P674" s="98">
        <f t="shared" ref="P674:P677" si="144">IFERROR(L674/O674,0)</f>
        <v>1.2</v>
      </c>
      <c r="Q674" s="99">
        <f>IFERROR(VLOOKUP(I674,'Raw material list'!$A$3:$F$695,6,0),"")</f>
        <v>2.5000000000000001E-2</v>
      </c>
      <c r="R674" s="100">
        <f t="shared" ref="R674:R677" si="145">IFERROR(Q674*P674,0)</f>
        <v>0.03</v>
      </c>
      <c r="S674" s="94">
        <f t="shared" si="142"/>
        <v>3.0000000000000001E-3</v>
      </c>
      <c r="T674" s="94">
        <f t="shared" si="143"/>
        <v>3.3000000000000002E-2</v>
      </c>
      <c r="U674" s="93">
        <f t="shared" si="139"/>
        <v>3.3000000000000004E-3</v>
      </c>
      <c r="V674" s="93">
        <f t="shared" si="140"/>
        <v>3.3E-4</v>
      </c>
      <c r="W674" s="93">
        <f t="shared" si="141"/>
        <v>3.3E-4</v>
      </c>
      <c r="X674" s="93">
        <f t="shared" si="137"/>
        <v>3.6959999999999993E-2</v>
      </c>
      <c r="Y674" s="118"/>
    </row>
    <row r="675" spans="1:25">
      <c r="A675" s="95" t="s">
        <v>1530</v>
      </c>
      <c r="B675" s="95" t="s">
        <v>1668</v>
      </c>
      <c r="C675" s="95" t="s">
        <v>1427</v>
      </c>
      <c r="D675" s="101" t="s">
        <v>1553</v>
      </c>
      <c r="E675" s="101" t="s">
        <v>1550</v>
      </c>
      <c r="F675" s="101" t="s">
        <v>1671</v>
      </c>
      <c r="G675" s="101" t="s">
        <v>1591</v>
      </c>
      <c r="H675" s="97" t="str">
        <f>IFERROR(VLOOKUP(I675,'Raw material list'!$A$3:$C$695,3,0),"")</f>
        <v>DRS6-5088</v>
      </c>
      <c r="I675" s="97" t="s">
        <v>668</v>
      </c>
      <c r="J675" s="101" t="s">
        <v>111</v>
      </c>
      <c r="K675" s="101" t="str">
        <f>IFERROR(VLOOKUP(I675,'Raw material list'!$A$3:$E$695,5,0),"")</f>
        <v xml:space="preserve">Gram </v>
      </c>
      <c r="L675" s="95">
        <v>12</v>
      </c>
      <c r="M675" s="98">
        <f t="shared" si="138"/>
        <v>12</v>
      </c>
      <c r="N675" s="98">
        <v>100</v>
      </c>
      <c r="O675" s="95">
        <v>10</v>
      </c>
      <c r="P675" s="98">
        <f t="shared" si="144"/>
        <v>1.2</v>
      </c>
      <c r="Q675" s="99">
        <f>IFERROR(VLOOKUP(I675,'Raw material list'!$A$3:$F$695,6,0),"")</f>
        <v>0.08</v>
      </c>
      <c r="R675" s="100">
        <f t="shared" si="145"/>
        <v>9.6000000000000002E-2</v>
      </c>
      <c r="S675" s="94">
        <f t="shared" si="142"/>
        <v>9.6000000000000009E-3</v>
      </c>
      <c r="T675" s="94">
        <f t="shared" si="143"/>
        <v>0.1056</v>
      </c>
      <c r="U675" s="93">
        <f t="shared" si="139"/>
        <v>1.056E-2</v>
      </c>
      <c r="V675" s="93">
        <f t="shared" si="140"/>
        <v>1.0560000000000001E-3</v>
      </c>
      <c r="W675" s="93">
        <f t="shared" si="141"/>
        <v>1.0560000000000001E-3</v>
      </c>
      <c r="X675" s="93">
        <f t="shared" si="137"/>
        <v>0.118272</v>
      </c>
      <c r="Y675" s="118"/>
    </row>
    <row r="676" spans="1:25">
      <c r="A676" s="95" t="s">
        <v>1530</v>
      </c>
      <c r="B676" s="95" t="s">
        <v>1668</v>
      </c>
      <c r="C676" s="95" t="s">
        <v>1427</v>
      </c>
      <c r="D676" s="101" t="s">
        <v>1553</v>
      </c>
      <c r="E676" s="101" t="s">
        <v>1550</v>
      </c>
      <c r="F676" s="101" t="s">
        <v>1671</v>
      </c>
      <c r="G676" s="101" t="s">
        <v>1591</v>
      </c>
      <c r="H676" s="97" t="str">
        <f>IFERROR(VLOOKUP(I676,'Raw material list'!$A$3:$C$695,3,0),"")</f>
        <v>DRS6-5376</v>
      </c>
      <c r="I676" s="97" t="s">
        <v>55</v>
      </c>
      <c r="J676" s="101" t="s">
        <v>111</v>
      </c>
      <c r="K676" s="101" t="str">
        <f>IFERROR(VLOOKUP(I676,'Raw material list'!$A$3:$E$695,5,0),"")</f>
        <v xml:space="preserve">Gram </v>
      </c>
      <c r="L676" s="95">
        <v>3</v>
      </c>
      <c r="M676" s="98">
        <f t="shared" si="138"/>
        <v>3</v>
      </c>
      <c r="N676" s="98">
        <v>100</v>
      </c>
      <c r="O676" s="95">
        <v>10</v>
      </c>
      <c r="P676" s="98">
        <f t="shared" si="144"/>
        <v>0.3</v>
      </c>
      <c r="Q676" s="99">
        <f>IFERROR(VLOOKUP(I676,'Raw material list'!$A$3:$F$695,6,0),"")</f>
        <v>2.8000000000000001E-2</v>
      </c>
      <c r="R676" s="100">
        <f t="shared" si="145"/>
        <v>8.3999999999999995E-3</v>
      </c>
      <c r="S676" s="94">
        <f t="shared" si="142"/>
        <v>8.4000000000000003E-4</v>
      </c>
      <c r="T676" s="94">
        <f t="shared" si="143"/>
        <v>9.2399999999999999E-3</v>
      </c>
      <c r="U676" s="93">
        <f t="shared" si="139"/>
        <v>9.2400000000000002E-4</v>
      </c>
      <c r="V676" s="93">
        <f t="shared" si="140"/>
        <v>9.2399999999999996E-5</v>
      </c>
      <c r="W676" s="93">
        <f t="shared" si="141"/>
        <v>9.2399999999999996E-5</v>
      </c>
      <c r="X676" s="93">
        <f t="shared" si="137"/>
        <v>1.0348799999999998E-2</v>
      </c>
      <c r="Y676" s="118"/>
    </row>
    <row r="677" spans="1:25">
      <c r="A677" s="95" t="s">
        <v>1530</v>
      </c>
      <c r="B677" s="95" t="s">
        <v>1668</v>
      </c>
      <c r="C677" s="95" t="s">
        <v>1427</v>
      </c>
      <c r="D677" s="101" t="s">
        <v>1553</v>
      </c>
      <c r="E677" s="101" t="s">
        <v>1550</v>
      </c>
      <c r="F677" s="101" t="s">
        <v>1671</v>
      </c>
      <c r="G677" s="101" t="s">
        <v>1591</v>
      </c>
      <c r="H677" s="97" t="str">
        <f>IFERROR(VLOOKUP(I677,'Raw material list'!$A$3:$C$695,3,0),"")</f>
        <v>WAT-001</v>
      </c>
      <c r="I677" s="97" t="s">
        <v>1406</v>
      </c>
      <c r="J677" s="101" t="s">
        <v>161</v>
      </c>
      <c r="K677" s="101" t="str">
        <f>IFERROR(VLOOKUP(I677,'Raw material list'!$A$3:$E$695,5,0),"")</f>
        <v>Ml</v>
      </c>
      <c r="L677" s="95">
        <v>120</v>
      </c>
      <c r="M677" s="98">
        <f t="shared" si="138"/>
        <v>120</v>
      </c>
      <c r="N677" s="98">
        <v>100</v>
      </c>
      <c r="O677" s="95">
        <v>10</v>
      </c>
      <c r="P677" s="98">
        <f t="shared" si="144"/>
        <v>12</v>
      </c>
      <c r="Q677" s="99">
        <f>IFERROR(VLOOKUP(I677,'Raw material list'!$A$3:$F$695,6,0),"")</f>
        <v>8.0000000000000007E-5</v>
      </c>
      <c r="R677" s="100">
        <f t="shared" si="145"/>
        <v>9.6000000000000013E-4</v>
      </c>
      <c r="S677" s="94">
        <f t="shared" si="142"/>
        <v>9.6000000000000016E-5</v>
      </c>
      <c r="T677" s="94">
        <f t="shared" si="143"/>
        <v>1.0560000000000001E-3</v>
      </c>
      <c r="U677" s="93">
        <f t="shared" si="139"/>
        <v>1.0560000000000002E-4</v>
      </c>
      <c r="V677" s="93">
        <f t="shared" si="140"/>
        <v>1.0560000000000001E-5</v>
      </c>
      <c r="W677" s="93">
        <f t="shared" si="141"/>
        <v>1.0560000000000001E-5</v>
      </c>
      <c r="X677" s="93">
        <f t="shared" si="137"/>
        <v>1.18272E-3</v>
      </c>
      <c r="Y677" s="118"/>
    </row>
    <row r="678" spans="1:25">
      <c r="A678" s="95" t="s">
        <v>1530</v>
      </c>
      <c r="B678" s="95" t="s">
        <v>1668</v>
      </c>
      <c r="C678" s="95" t="s">
        <v>1427</v>
      </c>
      <c r="D678" s="101" t="s">
        <v>1553</v>
      </c>
      <c r="E678" s="101" t="s">
        <v>1550</v>
      </c>
      <c r="F678" s="101" t="s">
        <v>1670</v>
      </c>
      <c r="G678" s="101" t="s">
        <v>1426</v>
      </c>
      <c r="H678" s="97" t="str">
        <f>IFERROR(VLOOKUP(I678,'Raw material list'!$A$3:$C$695,3,0),"")</f>
        <v>DRS6-307</v>
      </c>
      <c r="I678" s="97" t="s">
        <v>732</v>
      </c>
      <c r="J678" s="101" t="s">
        <v>111</v>
      </c>
      <c r="K678" s="101" t="str">
        <f>IFERROR(VLOOKUP(I678,'Raw material list'!$A$3:$E$695,5,0),"")</f>
        <v xml:space="preserve">Gram </v>
      </c>
      <c r="L678" s="95">
        <v>20</v>
      </c>
      <c r="M678" s="98">
        <f t="shared" si="138"/>
        <v>20</v>
      </c>
      <c r="N678" s="98">
        <v>100</v>
      </c>
      <c r="O678" s="95">
        <v>10</v>
      </c>
      <c r="P678" s="98">
        <f t="shared" si="131"/>
        <v>2</v>
      </c>
      <c r="Q678" s="99">
        <f>IFERROR(VLOOKUP(I678,'Raw material list'!$A$3:$F$695,6,0),"")</f>
        <v>8.0000000000000002E-3</v>
      </c>
      <c r="R678" s="100">
        <f t="shared" si="132"/>
        <v>1.6E-2</v>
      </c>
      <c r="S678" s="94">
        <f t="shared" si="142"/>
        <v>1.6000000000000001E-3</v>
      </c>
      <c r="T678" s="94">
        <f t="shared" si="143"/>
        <v>1.7600000000000001E-2</v>
      </c>
      <c r="U678" s="93">
        <f t="shared" si="139"/>
        <v>1.7600000000000003E-3</v>
      </c>
      <c r="V678" s="93">
        <f t="shared" si="140"/>
        <v>1.7600000000000002E-4</v>
      </c>
      <c r="W678" s="93">
        <f t="shared" si="141"/>
        <v>1.7600000000000002E-4</v>
      </c>
      <c r="X678" s="93">
        <f t="shared" si="137"/>
        <v>1.9712E-2</v>
      </c>
      <c r="Y678" s="118"/>
    </row>
    <row r="679" spans="1:25">
      <c r="A679" s="95" t="s">
        <v>1530</v>
      </c>
      <c r="B679" s="95" t="s">
        <v>1668</v>
      </c>
      <c r="C679" s="95" t="s">
        <v>1427</v>
      </c>
      <c r="D679" s="101" t="s">
        <v>1553</v>
      </c>
      <c r="E679" s="101" t="s">
        <v>1550</v>
      </c>
      <c r="F679" s="101" t="s">
        <v>1670</v>
      </c>
      <c r="G679" s="101" t="s">
        <v>1554</v>
      </c>
      <c r="H679" s="97" t="str">
        <f>IFERROR(VLOOKUP(I679,'Raw material list'!$A$3:$C$695,3,0),"")</f>
        <v>DRY1-1717</v>
      </c>
      <c r="I679" s="97" t="s">
        <v>303</v>
      </c>
      <c r="J679" s="101" t="s">
        <v>111</v>
      </c>
      <c r="K679" s="101" t="str">
        <f>IFERROR(VLOOKUP(I679,'Raw material list'!$A$3:$E$695,5,0),"")</f>
        <v xml:space="preserve">Gram </v>
      </c>
      <c r="L679" s="95">
        <v>445.43</v>
      </c>
      <c r="M679" s="98">
        <f t="shared" si="138"/>
        <v>445.43</v>
      </c>
      <c r="N679" s="98">
        <v>100</v>
      </c>
      <c r="O679" s="95">
        <v>10</v>
      </c>
      <c r="P679" s="98">
        <f t="shared" ref="P679:P722" si="146">IFERROR(L679/O679,0)</f>
        <v>44.542999999999999</v>
      </c>
      <c r="Q679" s="99">
        <f>IFERROR(VLOOKUP(I679,'Raw material list'!$A$3:$F$695,6,0),"")</f>
        <v>3.6999999999999998E-2</v>
      </c>
      <c r="R679" s="100">
        <f t="shared" si="132"/>
        <v>1.648091</v>
      </c>
      <c r="S679" s="94">
        <f t="shared" si="142"/>
        <v>0.16480910000000001</v>
      </c>
      <c r="T679" s="94">
        <f t="shared" si="143"/>
        <v>1.8129001</v>
      </c>
      <c r="U679" s="93">
        <f t="shared" si="139"/>
        <v>0.18129001</v>
      </c>
      <c r="V679" s="93">
        <f t="shared" si="140"/>
        <v>1.8129001000000002E-2</v>
      </c>
      <c r="W679" s="93">
        <f t="shared" si="141"/>
        <v>1.8129001000000002E-2</v>
      </c>
      <c r="X679" s="93">
        <f t="shared" si="137"/>
        <v>2.0304481120000002</v>
      </c>
      <c r="Y679" s="118"/>
    </row>
    <row r="680" spans="1:25">
      <c r="A680" s="95" t="s">
        <v>1530</v>
      </c>
      <c r="B680" s="95" t="s">
        <v>1668</v>
      </c>
      <c r="C680" s="95" t="s">
        <v>1427</v>
      </c>
      <c r="D680" s="101" t="s">
        <v>1553</v>
      </c>
      <c r="E680" s="101" t="s">
        <v>1550</v>
      </c>
      <c r="F680" s="101" t="s">
        <v>1670</v>
      </c>
      <c r="G680" s="101" t="s">
        <v>1554</v>
      </c>
      <c r="H680" s="97" t="str">
        <f>IFERROR(VLOOKUP(I680,'Raw material list'!$A$3:$C$695,3,0),"")</f>
        <v>PRD1-209</v>
      </c>
      <c r="I680" s="97" t="s">
        <v>26</v>
      </c>
      <c r="J680" s="101" t="s">
        <v>111</v>
      </c>
      <c r="K680" s="101" t="str">
        <f>IFERROR(VLOOKUP(I680,'Raw material list'!$A$3:$E$695,5,0),"")</f>
        <v xml:space="preserve">Gram </v>
      </c>
      <c r="L680" s="95">
        <v>66.81</v>
      </c>
      <c r="M680" s="98">
        <f t="shared" si="138"/>
        <v>175.81578947368422</v>
      </c>
      <c r="N680" s="98">
        <v>38</v>
      </c>
      <c r="O680" s="95">
        <v>10</v>
      </c>
      <c r="P680" s="98">
        <f t="shared" si="146"/>
        <v>6.681</v>
      </c>
      <c r="Q680" s="99">
        <f>IFERROR(VLOOKUP(I680,'Raw material list'!$A$3:$F$695,6,0),"")</f>
        <v>1.0088272383354351E-2</v>
      </c>
      <c r="R680" s="100">
        <f t="shared" si="132"/>
        <v>6.7399747793190412E-2</v>
      </c>
      <c r="S680" s="94">
        <f t="shared" si="142"/>
        <v>6.7399747793190417E-3</v>
      </c>
      <c r="T680" s="94">
        <f t="shared" si="143"/>
        <v>7.4139722572509448E-2</v>
      </c>
      <c r="U680" s="93">
        <f t="shared" si="139"/>
        <v>7.4139722572509449E-3</v>
      </c>
      <c r="V680" s="93">
        <f t="shared" si="140"/>
        <v>7.4139722572509452E-4</v>
      </c>
      <c r="W680" s="93">
        <f t="shared" si="141"/>
        <v>7.4139722572509452E-4</v>
      </c>
      <c r="X680" s="93">
        <f t="shared" si="137"/>
        <v>8.3036489281210588E-2</v>
      </c>
      <c r="Y680" s="118"/>
    </row>
    <row r="681" spans="1:25">
      <c r="A681" s="95" t="s">
        <v>1530</v>
      </c>
      <c r="B681" s="95" t="s">
        <v>1668</v>
      </c>
      <c r="C681" s="95" t="s">
        <v>1427</v>
      </c>
      <c r="D681" s="101" t="s">
        <v>1553</v>
      </c>
      <c r="E681" s="101" t="s">
        <v>1550</v>
      </c>
      <c r="F681" s="101" t="s">
        <v>1670</v>
      </c>
      <c r="G681" s="101" t="s">
        <v>1554</v>
      </c>
      <c r="H681" s="97" t="str">
        <f>IFERROR(VLOOKUP(I681,'Raw material list'!$A$3:$C$695,3,0),"")</f>
        <v>DRS6-307</v>
      </c>
      <c r="I681" s="97" t="s">
        <v>732</v>
      </c>
      <c r="J681" s="101" t="s">
        <v>111</v>
      </c>
      <c r="K681" s="101" t="str">
        <f>IFERROR(VLOOKUP(I681,'Raw material list'!$A$3:$E$695,5,0),"")</f>
        <v xml:space="preserve">Gram </v>
      </c>
      <c r="L681" s="95">
        <v>20</v>
      </c>
      <c r="M681" s="98">
        <f t="shared" si="138"/>
        <v>20</v>
      </c>
      <c r="N681" s="98">
        <v>100</v>
      </c>
      <c r="O681" s="95">
        <v>10</v>
      </c>
      <c r="P681" s="98">
        <f t="shared" si="146"/>
        <v>2</v>
      </c>
      <c r="Q681" s="99">
        <f>IFERROR(VLOOKUP(I681,'Raw material list'!$A$3:$F$695,6,0),"")</f>
        <v>8.0000000000000002E-3</v>
      </c>
      <c r="R681" s="100">
        <f t="shared" si="132"/>
        <v>1.6E-2</v>
      </c>
      <c r="S681" s="94">
        <f t="shared" si="142"/>
        <v>1.6000000000000001E-3</v>
      </c>
      <c r="T681" s="94">
        <f t="shared" si="143"/>
        <v>1.7600000000000001E-2</v>
      </c>
      <c r="U681" s="93">
        <f t="shared" si="139"/>
        <v>1.7600000000000003E-3</v>
      </c>
      <c r="V681" s="93">
        <f t="shared" si="140"/>
        <v>1.7600000000000002E-4</v>
      </c>
      <c r="W681" s="93">
        <f t="shared" si="141"/>
        <v>1.7600000000000002E-4</v>
      </c>
      <c r="X681" s="93">
        <f t="shared" si="137"/>
        <v>1.9712E-2</v>
      </c>
      <c r="Y681" s="118"/>
    </row>
    <row r="682" spans="1:25">
      <c r="A682" s="95" t="s">
        <v>1530</v>
      </c>
      <c r="B682" s="95" t="s">
        <v>1668</v>
      </c>
      <c r="C682" s="95" t="s">
        <v>1427</v>
      </c>
      <c r="D682" s="101" t="s">
        <v>1553</v>
      </c>
      <c r="E682" s="101" t="s">
        <v>1550</v>
      </c>
      <c r="F682" s="101" t="s">
        <v>1670</v>
      </c>
      <c r="G682" s="101" t="s">
        <v>1554</v>
      </c>
      <c r="H682" s="97" t="str">
        <f>IFERROR(VLOOKUP(I682,'Raw material list'!$A$3:$C$695,3,0),"")</f>
        <v>DRY2-1858</v>
      </c>
      <c r="I682" s="97" t="s">
        <v>42</v>
      </c>
      <c r="J682" s="101" t="s">
        <v>161</v>
      </c>
      <c r="K682" s="101" t="str">
        <f>IFERROR(VLOOKUP(I682,'Raw material list'!$A$3:$E$695,5,0),"")</f>
        <v>Ml</v>
      </c>
      <c r="L682" s="95">
        <v>654.78</v>
      </c>
      <c r="M682" s="98">
        <f t="shared" si="138"/>
        <v>654.78</v>
      </c>
      <c r="N682" s="98">
        <v>100</v>
      </c>
      <c r="O682" s="95">
        <v>10</v>
      </c>
      <c r="P682" s="98">
        <f t="shared" si="146"/>
        <v>65.477999999999994</v>
      </c>
      <c r="Q682" s="99">
        <f>IFERROR(VLOOKUP(I682,'Raw material list'!$A$3:$F$695,6,0),"")</f>
        <v>9.8800000000000016E-3</v>
      </c>
      <c r="R682" s="100">
        <f t="shared" si="132"/>
        <v>0.6469226400000001</v>
      </c>
      <c r="S682" s="94">
        <f t="shared" si="142"/>
        <v>6.4692264000000013E-2</v>
      </c>
      <c r="T682" s="94">
        <f t="shared" si="143"/>
        <v>0.71161490400000016</v>
      </c>
      <c r="U682" s="93">
        <f t="shared" si="139"/>
        <v>7.1161490400000013E-2</v>
      </c>
      <c r="V682" s="93">
        <f t="shared" si="140"/>
        <v>7.116149040000002E-3</v>
      </c>
      <c r="W682" s="93">
        <f t="shared" si="141"/>
        <v>7.116149040000002E-3</v>
      </c>
      <c r="X682" s="93">
        <f t="shared" si="137"/>
        <v>0.79700869248000017</v>
      </c>
      <c r="Y682" s="118"/>
    </row>
    <row r="683" spans="1:25">
      <c r="A683" s="95" t="s">
        <v>1530</v>
      </c>
      <c r="B683" s="95" t="s">
        <v>1668</v>
      </c>
      <c r="C683" s="95" t="s">
        <v>1427</v>
      </c>
      <c r="D683" s="101" t="s">
        <v>1553</v>
      </c>
      <c r="E683" s="101" t="s">
        <v>1550</v>
      </c>
      <c r="F683" s="101" t="s">
        <v>1670</v>
      </c>
      <c r="G683" s="101" t="s">
        <v>1554</v>
      </c>
      <c r="H683" s="97" t="str">
        <f>IFERROR(VLOOKUP(I683,'Raw material list'!$A$3:$C$695,3,0),"")</f>
        <v>WAT-001</v>
      </c>
      <c r="I683" s="97" t="s">
        <v>1406</v>
      </c>
      <c r="J683" s="101" t="s">
        <v>161</v>
      </c>
      <c r="K683" s="101" t="str">
        <f>IFERROR(VLOOKUP(I683,'Raw material list'!$A$3:$E$695,5,0),"")</f>
        <v>Ml</v>
      </c>
      <c r="L683" s="95">
        <v>100</v>
      </c>
      <c r="M683" s="98">
        <f t="shared" si="138"/>
        <v>100</v>
      </c>
      <c r="N683" s="98">
        <v>100</v>
      </c>
      <c r="O683" s="95">
        <v>10</v>
      </c>
      <c r="P683" s="98">
        <f t="shared" si="146"/>
        <v>10</v>
      </c>
      <c r="Q683" s="99">
        <f>IFERROR(VLOOKUP(I683,'Raw material list'!$A$3:$F$695,6,0),"")</f>
        <v>8.0000000000000007E-5</v>
      </c>
      <c r="R683" s="100">
        <f t="shared" si="132"/>
        <v>8.0000000000000004E-4</v>
      </c>
      <c r="S683" s="94">
        <f t="shared" si="142"/>
        <v>8.0000000000000007E-5</v>
      </c>
      <c r="T683" s="94">
        <f t="shared" si="143"/>
        <v>8.8000000000000003E-4</v>
      </c>
      <c r="U683" s="93">
        <f t="shared" si="139"/>
        <v>8.8000000000000011E-5</v>
      </c>
      <c r="V683" s="93">
        <f t="shared" si="140"/>
        <v>8.8000000000000004E-6</v>
      </c>
      <c r="W683" s="93">
        <f t="shared" si="141"/>
        <v>8.8000000000000004E-6</v>
      </c>
      <c r="X683" s="93">
        <f t="shared" si="137"/>
        <v>9.856000000000001E-4</v>
      </c>
      <c r="Y683" s="118"/>
    </row>
    <row r="684" spans="1:25">
      <c r="A684" s="95" t="s">
        <v>1530</v>
      </c>
      <c r="B684" s="95" t="s">
        <v>1668</v>
      </c>
      <c r="C684" s="95" t="s">
        <v>1427</v>
      </c>
      <c r="D684" s="101" t="s">
        <v>1553</v>
      </c>
      <c r="E684" s="101" t="s">
        <v>1550</v>
      </c>
      <c r="F684" s="101" t="s">
        <v>1670</v>
      </c>
      <c r="G684" s="101" t="s">
        <v>1433</v>
      </c>
      <c r="H684" s="97" t="str">
        <f>IFERROR(VLOOKUP(I684,'Raw material list'!$A$3:$C$695,3,0),"")</f>
        <v>DRS4-498</v>
      </c>
      <c r="I684" s="97" t="s">
        <v>62</v>
      </c>
      <c r="J684" s="101" t="s">
        <v>111</v>
      </c>
      <c r="K684" s="101" t="str">
        <f>IFERROR(VLOOKUP(I684,'Raw material list'!$A$3:$E$695,5,0),"")</f>
        <v xml:space="preserve">Gram </v>
      </c>
      <c r="L684" s="95">
        <v>600</v>
      </c>
      <c r="M684" s="98">
        <f t="shared" si="138"/>
        <v>600</v>
      </c>
      <c r="N684" s="98">
        <v>100</v>
      </c>
      <c r="O684" s="95">
        <v>10</v>
      </c>
      <c r="P684" s="98">
        <f t="shared" si="146"/>
        <v>60</v>
      </c>
      <c r="Q684" s="99">
        <f>IFERROR(VLOOKUP(I684,'Raw material list'!$A$3:$F$695,6,0),"")</f>
        <v>5.7499999999999999E-3</v>
      </c>
      <c r="R684" s="100">
        <f t="shared" si="132"/>
        <v>0.34499999999999997</v>
      </c>
      <c r="S684" s="94">
        <f t="shared" si="142"/>
        <v>3.4499999999999996E-2</v>
      </c>
      <c r="T684" s="94">
        <f t="shared" si="143"/>
        <v>0.37949999999999995</v>
      </c>
      <c r="U684" s="93">
        <f t="shared" si="139"/>
        <v>3.7949999999999998E-2</v>
      </c>
      <c r="V684" s="93">
        <f t="shared" si="140"/>
        <v>3.7949999999999998E-3</v>
      </c>
      <c r="W684" s="93">
        <f t="shared" si="141"/>
        <v>3.7949999999999998E-3</v>
      </c>
      <c r="X684" s="93">
        <f t="shared" si="137"/>
        <v>0.42503999999999992</v>
      </c>
      <c r="Y684" s="118"/>
    </row>
    <row r="685" spans="1:25">
      <c r="A685" s="95" t="s">
        <v>1530</v>
      </c>
      <c r="B685" s="95" t="s">
        <v>1668</v>
      </c>
      <c r="C685" s="95" t="s">
        <v>1427</v>
      </c>
      <c r="D685" s="101" t="s">
        <v>1553</v>
      </c>
      <c r="E685" s="101" t="s">
        <v>1550</v>
      </c>
      <c r="F685" s="101" t="s">
        <v>1670</v>
      </c>
      <c r="G685" s="101" t="s">
        <v>1433</v>
      </c>
      <c r="H685" s="97" t="str">
        <f>IFERROR(VLOOKUP(I685,'Raw material list'!$A$3:$C$695,3,0),"")</f>
        <v>WAT-001</v>
      </c>
      <c r="I685" s="97" t="s">
        <v>1406</v>
      </c>
      <c r="J685" s="101" t="s">
        <v>161</v>
      </c>
      <c r="K685" s="101" t="str">
        <f>IFERROR(VLOOKUP(I685,'Raw material list'!$A$3:$E$695,5,0),"")</f>
        <v>Ml</v>
      </c>
      <c r="L685" s="95">
        <v>100</v>
      </c>
      <c r="M685" s="98">
        <f t="shared" si="138"/>
        <v>100</v>
      </c>
      <c r="N685" s="98">
        <v>100</v>
      </c>
      <c r="O685" s="95">
        <v>10</v>
      </c>
      <c r="P685" s="98">
        <f t="shared" si="146"/>
        <v>10</v>
      </c>
      <c r="Q685" s="99">
        <f>IFERROR(VLOOKUP(I685,'Raw material list'!$A$3:$F$695,6,0),"")</f>
        <v>8.0000000000000007E-5</v>
      </c>
      <c r="R685" s="100">
        <f t="shared" si="132"/>
        <v>8.0000000000000004E-4</v>
      </c>
      <c r="S685" s="94">
        <f t="shared" si="142"/>
        <v>8.0000000000000007E-5</v>
      </c>
      <c r="T685" s="94">
        <f t="shared" si="143"/>
        <v>8.8000000000000003E-4</v>
      </c>
      <c r="U685" s="93">
        <f t="shared" si="139"/>
        <v>8.8000000000000011E-5</v>
      </c>
      <c r="V685" s="93">
        <f t="shared" si="140"/>
        <v>8.8000000000000004E-6</v>
      </c>
      <c r="W685" s="93">
        <f t="shared" si="141"/>
        <v>8.8000000000000004E-6</v>
      </c>
      <c r="X685" s="93">
        <f t="shared" si="137"/>
        <v>9.856000000000001E-4</v>
      </c>
      <c r="Y685" s="118"/>
    </row>
    <row r="686" spans="1:25">
      <c r="A686" s="95" t="s">
        <v>1530</v>
      </c>
      <c r="B686" s="95" t="s">
        <v>1668</v>
      </c>
      <c r="C686" s="95" t="s">
        <v>1427</v>
      </c>
      <c r="D686" s="101" t="s">
        <v>1553</v>
      </c>
      <c r="E686" s="101" t="s">
        <v>1550</v>
      </c>
      <c r="F686" s="101" t="s">
        <v>1670</v>
      </c>
      <c r="G686" s="101" t="s">
        <v>1433</v>
      </c>
      <c r="H686" s="97" t="str">
        <f>IFERROR(VLOOKUP(I686,'Raw material list'!$A$3:$C$695,3,0),"")</f>
        <v>DRS1-3880</v>
      </c>
      <c r="I686" s="97" t="s">
        <v>1398</v>
      </c>
      <c r="J686" s="101" t="s">
        <v>111</v>
      </c>
      <c r="K686" s="101" t="str">
        <f>IFERROR(VLOOKUP(I686,'Raw material list'!$A$3:$E$695,5,0),"")</f>
        <v xml:space="preserve">Gram </v>
      </c>
      <c r="L686" s="95">
        <v>16</v>
      </c>
      <c r="M686" s="98">
        <f t="shared" si="138"/>
        <v>16</v>
      </c>
      <c r="N686" s="98">
        <v>100</v>
      </c>
      <c r="O686" s="95">
        <v>10</v>
      </c>
      <c r="P686" s="98">
        <f t="shared" si="146"/>
        <v>1.6</v>
      </c>
      <c r="Q686" s="99">
        <f>IFERROR(VLOOKUP(I686,'Raw material list'!$A$3:$F$695,6,0),"")</f>
        <v>5.0000000000000001E-4</v>
      </c>
      <c r="R686" s="100">
        <f t="shared" si="132"/>
        <v>8.0000000000000004E-4</v>
      </c>
      <c r="S686" s="94">
        <f t="shared" si="142"/>
        <v>8.0000000000000007E-5</v>
      </c>
      <c r="T686" s="94">
        <f t="shared" si="143"/>
        <v>8.8000000000000003E-4</v>
      </c>
      <c r="U686" s="93">
        <f t="shared" si="139"/>
        <v>8.8000000000000011E-5</v>
      </c>
      <c r="V686" s="93">
        <f t="shared" si="140"/>
        <v>8.8000000000000004E-6</v>
      </c>
      <c r="W686" s="93">
        <f t="shared" si="141"/>
        <v>8.8000000000000004E-6</v>
      </c>
      <c r="X686" s="93">
        <f t="shared" si="137"/>
        <v>9.856000000000001E-4</v>
      </c>
      <c r="Y686" s="118"/>
    </row>
    <row r="687" spans="1:25">
      <c r="A687" s="95" t="s">
        <v>1530</v>
      </c>
      <c r="B687" s="95" t="s">
        <v>1668</v>
      </c>
      <c r="C687" s="95" t="s">
        <v>1427</v>
      </c>
      <c r="D687" s="101" t="s">
        <v>1553</v>
      </c>
      <c r="E687" s="101" t="s">
        <v>1550</v>
      </c>
      <c r="F687" s="101" t="s">
        <v>1670</v>
      </c>
      <c r="G687" s="101" t="s">
        <v>1433</v>
      </c>
      <c r="H687" s="97" t="str">
        <f>IFERROR(VLOOKUP(I687,'Raw material list'!$A$3:$C$695,3,0),"")</f>
        <v>DRS6-309</v>
      </c>
      <c r="I687" s="97" t="s">
        <v>35</v>
      </c>
      <c r="J687" s="101" t="s">
        <v>111</v>
      </c>
      <c r="K687" s="101" t="str">
        <f>IFERROR(VLOOKUP(I687,'Raw material list'!$A$3:$E$695,5,0),"")</f>
        <v xml:space="preserve">Gram </v>
      </c>
      <c r="L687" s="95">
        <v>2</v>
      </c>
      <c r="M687" s="98">
        <f t="shared" si="138"/>
        <v>2</v>
      </c>
      <c r="N687" s="98">
        <v>100</v>
      </c>
      <c r="O687" s="95">
        <v>10</v>
      </c>
      <c r="P687" s="98">
        <f t="shared" si="146"/>
        <v>0.2</v>
      </c>
      <c r="Q687" s="99">
        <f>IFERROR(VLOOKUP(I687,'Raw material list'!$A$3:$F$695,6,0),"")</f>
        <v>2.8000000000000001E-2</v>
      </c>
      <c r="R687" s="100">
        <f t="shared" ref="R687:R702" si="147">IFERROR(Q687*P687,0)</f>
        <v>5.6000000000000008E-3</v>
      </c>
      <c r="S687" s="94">
        <f t="shared" si="142"/>
        <v>5.6000000000000006E-4</v>
      </c>
      <c r="T687" s="94">
        <f t="shared" si="143"/>
        <v>6.1600000000000005E-3</v>
      </c>
      <c r="U687" s="93">
        <f t="shared" si="139"/>
        <v>6.1600000000000012E-4</v>
      </c>
      <c r="V687" s="93">
        <f t="shared" si="140"/>
        <v>6.1600000000000007E-5</v>
      </c>
      <c r="W687" s="93">
        <f t="shared" si="141"/>
        <v>6.1600000000000007E-5</v>
      </c>
      <c r="X687" s="93">
        <f t="shared" si="137"/>
        <v>6.8992000000000012E-3</v>
      </c>
      <c r="Y687" s="118"/>
    </row>
    <row r="688" spans="1:25">
      <c r="A688" s="95" t="s">
        <v>1530</v>
      </c>
      <c r="B688" s="95" t="s">
        <v>1668</v>
      </c>
      <c r="C688" s="95" t="s">
        <v>1427</v>
      </c>
      <c r="D688" s="101" t="s">
        <v>1553</v>
      </c>
      <c r="E688" s="101" t="s">
        <v>1550</v>
      </c>
      <c r="F688" s="101" t="s">
        <v>1670</v>
      </c>
      <c r="G688" s="101" t="s">
        <v>1433</v>
      </c>
      <c r="H688" s="97" t="str">
        <f>IFERROR(VLOOKUP(I688,'Raw material list'!$A$3:$C$695,3,0),"")</f>
        <v>DRS6-3593</v>
      </c>
      <c r="I688" s="97" t="s">
        <v>1417</v>
      </c>
      <c r="J688" s="101" t="s">
        <v>111</v>
      </c>
      <c r="K688" s="101" t="str">
        <f>IFERROR(VLOOKUP(I688,'Raw material list'!$A$3:$E$695,5,0),"")</f>
        <v xml:space="preserve">Gram </v>
      </c>
      <c r="L688" s="95">
        <v>1</v>
      </c>
      <c r="M688" s="98">
        <f t="shared" si="138"/>
        <v>1</v>
      </c>
      <c r="N688" s="98">
        <v>100</v>
      </c>
      <c r="O688" s="95">
        <v>10</v>
      </c>
      <c r="P688" s="98">
        <f t="shared" si="146"/>
        <v>0.1</v>
      </c>
      <c r="Q688" s="99">
        <f>IFERROR(VLOOKUP(I688,'Raw material list'!$A$3:$F$695,6,0),"")</f>
        <v>1.0500000000000001E-2</v>
      </c>
      <c r="R688" s="100">
        <f t="shared" si="147"/>
        <v>1.0500000000000002E-3</v>
      </c>
      <c r="S688" s="94">
        <f t="shared" si="142"/>
        <v>1.0500000000000002E-4</v>
      </c>
      <c r="T688" s="94">
        <f t="shared" si="143"/>
        <v>1.1550000000000002E-3</v>
      </c>
      <c r="U688" s="93">
        <f t="shared" si="139"/>
        <v>1.1550000000000003E-4</v>
      </c>
      <c r="V688" s="93">
        <f t="shared" si="140"/>
        <v>1.1550000000000003E-5</v>
      </c>
      <c r="W688" s="93">
        <f t="shared" si="141"/>
        <v>1.1550000000000003E-5</v>
      </c>
      <c r="X688" s="93">
        <f t="shared" si="137"/>
        <v>1.2936E-3</v>
      </c>
      <c r="Y688" s="118"/>
    </row>
    <row r="689" spans="1:25">
      <c r="A689" s="95" t="s">
        <v>1530</v>
      </c>
      <c r="B689" s="95" t="s">
        <v>1668</v>
      </c>
      <c r="C689" s="95" t="s">
        <v>1427</v>
      </c>
      <c r="D689" s="101" t="s">
        <v>1553</v>
      </c>
      <c r="E689" s="101" t="s">
        <v>1550</v>
      </c>
      <c r="F689" s="101" t="s">
        <v>1670</v>
      </c>
      <c r="G689" s="101" t="s">
        <v>1433</v>
      </c>
      <c r="H689" s="97" t="str">
        <f>IFERROR(VLOOKUP(I689,'Raw material list'!$A$3:$C$695,3,0),"")</f>
        <v>DRS3-1813</v>
      </c>
      <c r="I689" s="97" t="s">
        <v>39</v>
      </c>
      <c r="J689" s="101" t="s">
        <v>161</v>
      </c>
      <c r="K689" s="101" t="str">
        <f>IFERROR(VLOOKUP(I689,'Raw material list'!$A$3:$E$695,5,0),"")</f>
        <v>Ml</v>
      </c>
      <c r="L689" s="95">
        <v>30</v>
      </c>
      <c r="M689" s="98">
        <f t="shared" si="138"/>
        <v>30</v>
      </c>
      <c r="N689" s="98">
        <v>100</v>
      </c>
      <c r="O689" s="95">
        <v>10</v>
      </c>
      <c r="P689" s="98">
        <f t="shared" si="146"/>
        <v>3</v>
      </c>
      <c r="Q689" s="99">
        <f>IFERROR(VLOOKUP(I689,'Raw material list'!$A$3:$F$695,6,0),"")</f>
        <v>8.0555555555555554E-3</v>
      </c>
      <c r="R689" s="100">
        <f t="shared" si="147"/>
        <v>2.4166666666666666E-2</v>
      </c>
      <c r="S689" s="94">
        <f t="shared" si="142"/>
        <v>2.4166666666666668E-3</v>
      </c>
      <c r="T689" s="94">
        <f t="shared" si="143"/>
        <v>2.6583333333333334E-2</v>
      </c>
      <c r="U689" s="93">
        <f t="shared" si="139"/>
        <v>2.6583333333333337E-3</v>
      </c>
      <c r="V689" s="93">
        <f t="shared" si="140"/>
        <v>2.6583333333333336E-4</v>
      </c>
      <c r="W689" s="93">
        <f t="shared" si="141"/>
        <v>2.6583333333333336E-4</v>
      </c>
      <c r="X689" s="93">
        <f t="shared" si="137"/>
        <v>2.9773333333333332E-2</v>
      </c>
      <c r="Y689" s="118"/>
    </row>
    <row r="690" spans="1:25">
      <c r="A690" s="95" t="s">
        <v>1530</v>
      </c>
      <c r="B690" s="95" t="s">
        <v>1668</v>
      </c>
      <c r="C690" s="95" t="s">
        <v>1427</v>
      </c>
      <c r="D690" s="101" t="s">
        <v>1553</v>
      </c>
      <c r="E690" s="101" t="s">
        <v>1550</v>
      </c>
      <c r="F690" s="101" t="s">
        <v>1670</v>
      </c>
      <c r="G690" s="101" t="s">
        <v>1433</v>
      </c>
      <c r="H690" s="97" t="str">
        <f>IFERROR(VLOOKUP(I690,'Raw material list'!$A$3:$C$695,3,0),"")</f>
        <v>DRS6-539</v>
      </c>
      <c r="I690" s="97" t="s">
        <v>717</v>
      </c>
      <c r="J690" s="101" t="s">
        <v>111</v>
      </c>
      <c r="K690" s="101" t="str">
        <f>IFERROR(VLOOKUP(I690,'Raw material list'!$A$3:$E$695,5,0),"")</f>
        <v xml:space="preserve">Gram </v>
      </c>
      <c r="L690" s="95">
        <v>2</v>
      </c>
      <c r="M690" s="98">
        <f t="shared" si="138"/>
        <v>2</v>
      </c>
      <c r="N690" s="98">
        <v>100</v>
      </c>
      <c r="O690" s="95">
        <v>10</v>
      </c>
      <c r="P690" s="98">
        <f t="shared" si="146"/>
        <v>0.2</v>
      </c>
      <c r="Q690" s="99">
        <f>IFERROR(VLOOKUP(I690,'Raw material list'!$A$3:$F$695,6,0),"")</f>
        <v>0.16</v>
      </c>
      <c r="R690" s="100">
        <f t="shared" si="147"/>
        <v>3.2000000000000001E-2</v>
      </c>
      <c r="S690" s="94">
        <f t="shared" si="142"/>
        <v>3.2000000000000002E-3</v>
      </c>
      <c r="T690" s="94">
        <f t="shared" si="143"/>
        <v>3.5200000000000002E-2</v>
      </c>
      <c r="U690" s="93">
        <f t="shared" si="139"/>
        <v>3.5200000000000006E-3</v>
      </c>
      <c r="V690" s="93">
        <f t="shared" si="140"/>
        <v>3.5200000000000005E-4</v>
      </c>
      <c r="W690" s="93">
        <f t="shared" si="141"/>
        <v>3.5200000000000005E-4</v>
      </c>
      <c r="X690" s="93">
        <f t="shared" si="137"/>
        <v>3.9424000000000001E-2</v>
      </c>
      <c r="Y690" s="118"/>
    </row>
    <row r="691" spans="1:25">
      <c r="A691" s="95" t="s">
        <v>1530</v>
      </c>
      <c r="B691" s="95" t="s">
        <v>1668</v>
      </c>
      <c r="C691" s="95" t="s">
        <v>1427</v>
      </c>
      <c r="D691" s="101" t="s">
        <v>1553</v>
      </c>
      <c r="E691" s="101" t="s">
        <v>1550</v>
      </c>
      <c r="F691" s="101" t="s">
        <v>1670</v>
      </c>
      <c r="G691" s="101" t="s">
        <v>1433</v>
      </c>
      <c r="H691" s="97" t="str">
        <f>IFERROR(VLOOKUP(I691,'Raw material list'!$A$3:$C$695,3,0),"")</f>
        <v>DRS6-261</v>
      </c>
      <c r="I691" s="97" t="s">
        <v>1565</v>
      </c>
      <c r="J691" s="101" t="s">
        <v>111</v>
      </c>
      <c r="K691" s="101" t="str">
        <f>IFERROR(VLOOKUP(I691,'Raw material list'!$A$3:$E$695,5,0),"")</f>
        <v xml:space="preserve">Gram </v>
      </c>
      <c r="L691" s="95">
        <v>0.3</v>
      </c>
      <c r="M691" s="98">
        <f t="shared" si="138"/>
        <v>0.3</v>
      </c>
      <c r="N691" s="98">
        <v>100</v>
      </c>
      <c r="O691" s="95">
        <v>10</v>
      </c>
      <c r="P691" s="98">
        <f t="shared" si="146"/>
        <v>0.03</v>
      </c>
      <c r="Q691" s="99">
        <f>IFERROR(VLOOKUP(I691,'Raw material list'!$A$3:$F$695,6,0),"")</f>
        <v>1.4E-2</v>
      </c>
      <c r="R691" s="100">
        <f t="shared" si="147"/>
        <v>4.2000000000000002E-4</v>
      </c>
      <c r="S691" s="94">
        <f t="shared" si="142"/>
        <v>4.2000000000000004E-5</v>
      </c>
      <c r="T691" s="94">
        <f t="shared" si="143"/>
        <v>4.6200000000000001E-4</v>
      </c>
      <c r="U691" s="93">
        <f t="shared" si="139"/>
        <v>4.6200000000000005E-5</v>
      </c>
      <c r="V691" s="93">
        <f t="shared" si="140"/>
        <v>4.6199999999999998E-6</v>
      </c>
      <c r="W691" s="93">
        <f t="shared" si="141"/>
        <v>4.6199999999999998E-6</v>
      </c>
      <c r="X691" s="93">
        <f t="shared" si="137"/>
        <v>5.1743999999999998E-4</v>
      </c>
      <c r="Y691" s="118"/>
    </row>
    <row r="692" spans="1:25" s="90" customFormat="1">
      <c r="A692" s="95" t="s">
        <v>1531</v>
      </c>
      <c r="B692" s="95" t="s">
        <v>1668</v>
      </c>
      <c r="C692" s="95" t="s">
        <v>1427</v>
      </c>
      <c r="D692" s="101" t="s">
        <v>1555</v>
      </c>
      <c r="E692" s="101" t="s">
        <v>1550</v>
      </c>
      <c r="F692" s="101" t="s">
        <v>1671</v>
      </c>
      <c r="G692" s="101"/>
      <c r="H692" s="97" t="str">
        <f>IFERROR(VLOOKUP(I692,'Raw material list'!$A$3:$C$695,3,0),"")</f>
        <v>MET2-1051</v>
      </c>
      <c r="I692" s="97" t="s">
        <v>882</v>
      </c>
      <c r="J692" s="101" t="s">
        <v>111</v>
      </c>
      <c r="K692" s="101" t="str">
        <f>IFERROR(VLOOKUP(I692,'Raw material list'!$A$3:$E$695,5,0),"")</f>
        <v xml:space="preserve">Gram </v>
      </c>
      <c r="L692" s="95">
        <v>600</v>
      </c>
      <c r="M692" s="98">
        <f t="shared" si="138"/>
        <v>1167.3151750972763</v>
      </c>
      <c r="N692" s="98">
        <v>51.4</v>
      </c>
      <c r="O692" s="95">
        <v>10</v>
      </c>
      <c r="P692" s="98">
        <f t="shared" si="146"/>
        <v>60</v>
      </c>
      <c r="Q692" s="99">
        <f>IFERROR(VLOOKUP(I692,'Raw material list'!$A$3:$F$695,6,0),"")</f>
        <v>8.4705882352941173E-2</v>
      </c>
      <c r="R692" s="100">
        <f t="shared" si="147"/>
        <v>5.0823529411764703</v>
      </c>
      <c r="S692" s="94">
        <f t="shared" si="142"/>
        <v>0.50823529411764701</v>
      </c>
      <c r="T692" s="94">
        <f t="shared" si="143"/>
        <v>5.590588235294117</v>
      </c>
      <c r="U692" s="93">
        <f t="shared" si="139"/>
        <v>0.55905882352941172</v>
      </c>
      <c r="V692" s="93">
        <f t="shared" si="140"/>
        <v>5.5905882352941173E-2</v>
      </c>
      <c r="W692" s="93">
        <f t="shared" si="141"/>
        <v>5.5905882352941173E-2</v>
      </c>
      <c r="X692" s="93">
        <f t="shared" si="137"/>
        <v>6.2614588235294111</v>
      </c>
      <c r="Y692" s="127" t="s">
        <v>1678</v>
      </c>
    </row>
    <row r="693" spans="1:25" s="90" customFormat="1">
      <c r="A693" s="95" t="s">
        <v>1531</v>
      </c>
      <c r="B693" s="95" t="s">
        <v>1668</v>
      </c>
      <c r="C693" s="95" t="s">
        <v>1427</v>
      </c>
      <c r="D693" s="101" t="s">
        <v>1555</v>
      </c>
      <c r="E693" s="101" t="s">
        <v>1550</v>
      </c>
      <c r="F693" s="101" t="s">
        <v>1670</v>
      </c>
      <c r="G693" s="101"/>
      <c r="H693" s="97" t="str">
        <f>IFERROR(VLOOKUP(I693,'Raw material list'!$A$3:$C$695,3,0),"")</f>
        <v>BKR1-1327</v>
      </c>
      <c r="I693" s="97" t="s">
        <v>118</v>
      </c>
      <c r="J693" s="101" t="s">
        <v>120</v>
      </c>
      <c r="K693" s="101" t="str">
        <f>IFERROR(VLOOKUP(I693,'Raw material list'!$A$3:$E$695,5,0),"")</f>
        <v>Slice</v>
      </c>
      <c r="L693" s="95">
        <v>10</v>
      </c>
      <c r="M693" s="98">
        <f t="shared" si="138"/>
        <v>10</v>
      </c>
      <c r="N693" s="98">
        <v>100</v>
      </c>
      <c r="O693" s="95">
        <v>10</v>
      </c>
      <c r="P693" s="98">
        <f t="shared" si="146"/>
        <v>1</v>
      </c>
      <c r="Q693" s="99">
        <f>IFERROR(VLOOKUP(I693,'Raw material list'!$A$3:$F$695,6,0),"")</f>
        <v>0.22222222222222221</v>
      </c>
      <c r="R693" s="100">
        <f t="shared" si="147"/>
        <v>0.22222222222222221</v>
      </c>
      <c r="S693" s="94">
        <f t="shared" si="142"/>
        <v>2.2222222222222223E-2</v>
      </c>
      <c r="T693" s="94">
        <f t="shared" si="143"/>
        <v>0.24444444444444444</v>
      </c>
      <c r="U693" s="93">
        <f t="shared" si="139"/>
        <v>2.4444444444444446E-2</v>
      </c>
      <c r="V693" s="93">
        <f t="shared" si="140"/>
        <v>2.4444444444444444E-3</v>
      </c>
      <c r="W693" s="93">
        <f t="shared" si="141"/>
        <v>2.4444444444444444E-3</v>
      </c>
      <c r="X693" s="93">
        <f t="shared" si="137"/>
        <v>0.27377777777777784</v>
      </c>
      <c r="Y693" s="117"/>
    </row>
    <row r="694" spans="1:25" s="90" customFormat="1">
      <c r="A694" s="95" t="s">
        <v>1531</v>
      </c>
      <c r="B694" s="95" t="s">
        <v>1668</v>
      </c>
      <c r="C694" s="95" t="s">
        <v>1427</v>
      </c>
      <c r="D694" s="101" t="s">
        <v>1555</v>
      </c>
      <c r="E694" s="101" t="s">
        <v>1550</v>
      </c>
      <c r="F694" s="101" t="s">
        <v>1670</v>
      </c>
      <c r="G694" s="101"/>
      <c r="H694" s="97" t="str">
        <f>IFERROR(VLOOKUP(I694,'Raw material list'!$A$3:$C$695,3,0),"")</f>
        <v>DRS1-114</v>
      </c>
      <c r="I694" s="97" t="s">
        <v>279</v>
      </c>
      <c r="J694" s="101" t="s">
        <v>111</v>
      </c>
      <c r="K694" s="101" t="str">
        <f>IFERROR(VLOOKUP(I694,'Raw material list'!$A$3:$E$695,5,0),"")</f>
        <v xml:space="preserve">Gram </v>
      </c>
      <c r="L694" s="95">
        <v>2</v>
      </c>
      <c r="M694" s="98">
        <f t="shared" si="138"/>
        <v>2</v>
      </c>
      <c r="N694" s="98">
        <v>100</v>
      </c>
      <c r="O694" s="95">
        <v>10</v>
      </c>
      <c r="P694" s="98">
        <f t="shared" si="146"/>
        <v>0.2</v>
      </c>
      <c r="Q694" s="99">
        <f>IFERROR(VLOOKUP(I694,'Raw material list'!$A$3:$F$695,6,0),"")</f>
        <v>4.7489823609226586E-3</v>
      </c>
      <c r="R694" s="100">
        <f t="shared" si="147"/>
        <v>9.4979647218453175E-4</v>
      </c>
      <c r="S694" s="94">
        <f t="shared" si="142"/>
        <v>9.4979647218453175E-5</v>
      </c>
      <c r="T694" s="94">
        <f t="shared" si="143"/>
        <v>1.044776119402985E-3</v>
      </c>
      <c r="U694" s="93">
        <f t="shared" si="139"/>
        <v>1.0447761194029851E-4</v>
      </c>
      <c r="V694" s="93">
        <f t="shared" si="140"/>
        <v>1.0447761194029849E-5</v>
      </c>
      <c r="W694" s="93">
        <f t="shared" si="141"/>
        <v>1.0447761194029849E-5</v>
      </c>
      <c r="X694" s="93">
        <f t="shared" si="137"/>
        <v>1.1701492537313433E-3</v>
      </c>
      <c r="Y694" s="117"/>
    </row>
    <row r="695" spans="1:25" s="90" customFormat="1">
      <c r="A695" s="95" t="s">
        <v>1531</v>
      </c>
      <c r="B695" s="95" t="s">
        <v>1668</v>
      </c>
      <c r="C695" s="95" t="s">
        <v>1427</v>
      </c>
      <c r="D695" s="101" t="s">
        <v>1555</v>
      </c>
      <c r="E695" s="101" t="s">
        <v>1550</v>
      </c>
      <c r="F695" s="101" t="s">
        <v>1670</v>
      </c>
      <c r="G695" s="101"/>
      <c r="H695" s="97" t="str">
        <f>IFERROR(VLOOKUP(I695,'Raw material list'!$A$3:$C$695,3,0),"")</f>
        <v>DRS6-537</v>
      </c>
      <c r="I695" s="97" t="s">
        <v>25</v>
      </c>
      <c r="J695" s="101" t="s">
        <v>111</v>
      </c>
      <c r="K695" s="101" t="str">
        <f>IFERROR(VLOOKUP(I695,'Raw material list'!$A$3:$E$695,5,0),"")</f>
        <v xml:space="preserve">Gram </v>
      </c>
      <c r="L695" s="95">
        <v>2</v>
      </c>
      <c r="M695" s="98">
        <f t="shared" si="138"/>
        <v>2</v>
      </c>
      <c r="N695" s="98">
        <v>100</v>
      </c>
      <c r="O695" s="95">
        <v>10</v>
      </c>
      <c r="P695" s="98">
        <f t="shared" si="146"/>
        <v>0.2</v>
      </c>
      <c r="Q695" s="99">
        <f>IFERROR(VLOOKUP(I695,'Raw material list'!$A$3:$F$695,6,0),"")</f>
        <v>3.5000000000000003E-2</v>
      </c>
      <c r="R695" s="100">
        <f t="shared" si="147"/>
        <v>7.000000000000001E-3</v>
      </c>
      <c r="S695" s="94">
        <f t="shared" si="142"/>
        <v>7.000000000000001E-4</v>
      </c>
      <c r="T695" s="94">
        <f t="shared" si="143"/>
        <v>7.7000000000000011E-3</v>
      </c>
      <c r="U695" s="93">
        <f t="shared" si="139"/>
        <v>7.7000000000000018E-4</v>
      </c>
      <c r="V695" s="93">
        <f t="shared" si="140"/>
        <v>7.7000000000000015E-5</v>
      </c>
      <c r="W695" s="93">
        <f t="shared" si="141"/>
        <v>7.7000000000000015E-5</v>
      </c>
      <c r="X695" s="93">
        <f t="shared" si="137"/>
        <v>8.6240000000000032E-3</v>
      </c>
      <c r="Y695" s="117"/>
    </row>
    <row r="696" spans="1:25" s="90" customFormat="1">
      <c r="A696" s="95" t="s">
        <v>1531</v>
      </c>
      <c r="B696" s="95" t="s">
        <v>1668</v>
      </c>
      <c r="C696" s="95" t="s">
        <v>1427</v>
      </c>
      <c r="D696" s="101" t="s">
        <v>1555</v>
      </c>
      <c r="E696" s="101" t="s">
        <v>1550</v>
      </c>
      <c r="F696" s="101" t="s">
        <v>1670</v>
      </c>
      <c r="G696" s="101" t="s">
        <v>1515</v>
      </c>
      <c r="H696" s="97" t="str">
        <f>IFERROR(VLOOKUP(I696,'Raw material list'!$A$3:$C$695,3,0),"")</f>
        <v>PRD1-4265</v>
      </c>
      <c r="I696" s="97" t="s">
        <v>10</v>
      </c>
      <c r="J696" s="101" t="s">
        <v>111</v>
      </c>
      <c r="K696" s="101" t="str">
        <f>IFERROR(VLOOKUP(I696,'Raw material list'!$A$3:$E$695,5,0),"")</f>
        <v xml:space="preserve">Gram </v>
      </c>
      <c r="L696" s="95">
        <v>500</v>
      </c>
      <c r="M696" s="98">
        <f t="shared" si="138"/>
        <v>588.23529411764707</v>
      </c>
      <c r="N696" s="98">
        <v>85</v>
      </c>
      <c r="O696" s="95">
        <v>10</v>
      </c>
      <c r="P696" s="98">
        <f t="shared" si="146"/>
        <v>50</v>
      </c>
      <c r="Q696" s="99">
        <f>IFERROR(VLOOKUP(I696,'Raw material list'!$A$3:$F$695,6,0),"")</f>
        <v>3.529411764705882E-3</v>
      </c>
      <c r="R696" s="100">
        <f t="shared" si="147"/>
        <v>0.1764705882352941</v>
      </c>
      <c r="S696" s="94">
        <f t="shared" si="142"/>
        <v>1.7647058823529412E-2</v>
      </c>
      <c r="T696" s="94">
        <f t="shared" si="143"/>
        <v>0.19411764705882351</v>
      </c>
      <c r="U696" s="93">
        <f t="shared" si="139"/>
        <v>1.9411764705882351E-2</v>
      </c>
      <c r="V696" s="93">
        <f t="shared" si="140"/>
        <v>1.941176470588235E-3</v>
      </c>
      <c r="W696" s="93">
        <f t="shared" si="141"/>
        <v>1.941176470588235E-3</v>
      </c>
      <c r="X696" s="93">
        <f t="shared" si="137"/>
        <v>0.2174117647058823</v>
      </c>
      <c r="Y696" s="117"/>
    </row>
    <row r="697" spans="1:25" s="90" customFormat="1">
      <c r="A697" s="95" t="s">
        <v>1531</v>
      </c>
      <c r="B697" s="95" t="s">
        <v>1668</v>
      </c>
      <c r="C697" s="95" t="s">
        <v>1427</v>
      </c>
      <c r="D697" s="101" t="s">
        <v>1555</v>
      </c>
      <c r="E697" s="101" t="s">
        <v>1550</v>
      </c>
      <c r="F697" s="101" t="s">
        <v>1670</v>
      </c>
      <c r="G697" s="101" t="s">
        <v>1515</v>
      </c>
      <c r="H697" s="97" t="str">
        <f>IFERROR(VLOOKUP(I697,'Raw material list'!$A$3:$C$695,3,0),"")</f>
        <v>DRY2-1008</v>
      </c>
      <c r="I697" s="97" t="s">
        <v>21</v>
      </c>
      <c r="J697" s="101" t="s">
        <v>111</v>
      </c>
      <c r="K697" s="101" t="str">
        <f>IFERROR(VLOOKUP(I697,'Raw material list'!$A$3:$E$695,5,0),"")</f>
        <v xml:space="preserve">Gram </v>
      </c>
      <c r="L697" s="95">
        <v>50</v>
      </c>
      <c r="M697" s="98">
        <f t="shared" si="138"/>
        <v>50</v>
      </c>
      <c r="N697" s="98">
        <v>100</v>
      </c>
      <c r="O697" s="95">
        <v>10</v>
      </c>
      <c r="P697" s="98">
        <f t="shared" si="146"/>
        <v>5</v>
      </c>
      <c r="Q697" s="99">
        <f>IFERROR(VLOOKUP(I697,'Raw material list'!$A$3:$F$695,6,0),"")</f>
        <v>3.7999999999999999E-2</v>
      </c>
      <c r="R697" s="100">
        <f t="shared" si="147"/>
        <v>0.19</v>
      </c>
      <c r="S697" s="94">
        <f t="shared" si="142"/>
        <v>1.9000000000000003E-2</v>
      </c>
      <c r="T697" s="94">
        <f t="shared" si="143"/>
        <v>0.20900000000000002</v>
      </c>
      <c r="U697" s="93">
        <f t="shared" si="139"/>
        <v>2.0900000000000002E-2</v>
      </c>
      <c r="V697" s="93">
        <f t="shared" si="140"/>
        <v>2.0900000000000003E-3</v>
      </c>
      <c r="W697" s="93">
        <f t="shared" si="141"/>
        <v>2.0900000000000003E-3</v>
      </c>
      <c r="X697" s="93">
        <f t="shared" si="137"/>
        <v>0.23408000000000004</v>
      </c>
      <c r="Y697" s="117"/>
    </row>
    <row r="698" spans="1:25" s="90" customFormat="1">
      <c r="A698" s="95" t="s">
        <v>1531</v>
      </c>
      <c r="B698" s="95" t="s">
        <v>1668</v>
      </c>
      <c r="C698" s="95" t="s">
        <v>1427</v>
      </c>
      <c r="D698" s="101" t="s">
        <v>1555</v>
      </c>
      <c r="E698" s="101" t="s">
        <v>1550</v>
      </c>
      <c r="F698" s="101" t="s">
        <v>1670</v>
      </c>
      <c r="G698" s="101" t="s">
        <v>1515</v>
      </c>
      <c r="H698" s="97" t="str">
        <f>IFERROR(VLOOKUP(I698,'Raw material list'!$A$3:$C$695,3,0),"")</f>
        <v>DRS1-3880</v>
      </c>
      <c r="I698" s="97" t="s">
        <v>1398</v>
      </c>
      <c r="J698" s="101" t="s">
        <v>111</v>
      </c>
      <c r="K698" s="101" t="str">
        <f>IFERROR(VLOOKUP(I698,'Raw material list'!$A$3:$E$695,5,0),"")</f>
        <v xml:space="preserve">Gram </v>
      </c>
      <c r="L698" s="95">
        <v>2</v>
      </c>
      <c r="M698" s="98">
        <f t="shared" si="138"/>
        <v>2</v>
      </c>
      <c r="N698" s="98">
        <v>100</v>
      </c>
      <c r="O698" s="95">
        <v>10</v>
      </c>
      <c r="P698" s="98">
        <f t="shared" si="146"/>
        <v>0.2</v>
      </c>
      <c r="Q698" s="99">
        <f>IFERROR(VLOOKUP(I698,'Raw material list'!$A$3:$F$695,6,0),"")</f>
        <v>5.0000000000000001E-4</v>
      </c>
      <c r="R698" s="100">
        <f t="shared" si="147"/>
        <v>1E-4</v>
      </c>
      <c r="S698" s="94">
        <f t="shared" si="142"/>
        <v>1.0000000000000001E-5</v>
      </c>
      <c r="T698" s="94">
        <f t="shared" si="143"/>
        <v>1.1E-4</v>
      </c>
      <c r="U698" s="93">
        <f t="shared" si="139"/>
        <v>1.1000000000000001E-5</v>
      </c>
      <c r="V698" s="93">
        <f t="shared" si="140"/>
        <v>1.1000000000000001E-6</v>
      </c>
      <c r="W698" s="93">
        <f t="shared" si="141"/>
        <v>1.1000000000000001E-6</v>
      </c>
      <c r="X698" s="93">
        <f t="shared" si="137"/>
        <v>1.2320000000000001E-4</v>
      </c>
      <c r="Y698" s="117"/>
    </row>
    <row r="699" spans="1:25" s="90" customFormat="1">
      <c r="A699" s="95" t="s">
        <v>1531</v>
      </c>
      <c r="B699" s="95" t="s">
        <v>1668</v>
      </c>
      <c r="C699" s="95" t="s">
        <v>1427</v>
      </c>
      <c r="D699" s="101" t="s">
        <v>1555</v>
      </c>
      <c r="E699" s="101" t="s">
        <v>1550</v>
      </c>
      <c r="F699" s="101" t="s">
        <v>1670</v>
      </c>
      <c r="G699" s="101" t="s">
        <v>1515</v>
      </c>
      <c r="H699" s="97" t="str">
        <f>IFERROR(VLOOKUP(I699,'Raw material list'!$A$3:$C$695,3,0),"")</f>
        <v>DRS6-537</v>
      </c>
      <c r="I699" s="97" t="s">
        <v>25</v>
      </c>
      <c r="J699" s="101" t="s">
        <v>111</v>
      </c>
      <c r="K699" s="101" t="str">
        <f>IFERROR(VLOOKUP(I699,'Raw material list'!$A$3:$E$695,5,0),"")</f>
        <v xml:space="preserve">Gram </v>
      </c>
      <c r="L699" s="95">
        <v>2</v>
      </c>
      <c r="M699" s="98">
        <f t="shared" si="138"/>
        <v>2</v>
      </c>
      <c r="N699" s="98">
        <v>100</v>
      </c>
      <c r="O699" s="95">
        <v>10</v>
      </c>
      <c r="P699" s="98">
        <f t="shared" si="146"/>
        <v>0.2</v>
      </c>
      <c r="Q699" s="99">
        <f>IFERROR(VLOOKUP(I699,'Raw material list'!$A$3:$F$695,6,0),"")</f>
        <v>3.5000000000000003E-2</v>
      </c>
      <c r="R699" s="100">
        <f t="shared" si="147"/>
        <v>7.000000000000001E-3</v>
      </c>
      <c r="S699" s="94">
        <f t="shared" si="142"/>
        <v>7.000000000000001E-4</v>
      </c>
      <c r="T699" s="94">
        <f t="shared" si="143"/>
        <v>7.7000000000000011E-3</v>
      </c>
      <c r="U699" s="93">
        <f t="shared" si="139"/>
        <v>7.7000000000000018E-4</v>
      </c>
      <c r="V699" s="93">
        <f t="shared" si="140"/>
        <v>7.7000000000000015E-5</v>
      </c>
      <c r="W699" s="93">
        <f t="shared" si="141"/>
        <v>7.7000000000000015E-5</v>
      </c>
      <c r="X699" s="93">
        <f t="shared" si="137"/>
        <v>8.6240000000000032E-3</v>
      </c>
      <c r="Y699" s="117"/>
    </row>
    <row r="700" spans="1:25" s="90" customFormat="1">
      <c r="A700" s="95" t="s">
        <v>1531</v>
      </c>
      <c r="B700" s="95" t="s">
        <v>1668</v>
      </c>
      <c r="C700" s="95" t="s">
        <v>1427</v>
      </c>
      <c r="D700" s="101" t="s">
        <v>1555</v>
      </c>
      <c r="E700" s="101" t="s">
        <v>1550</v>
      </c>
      <c r="F700" s="101" t="s">
        <v>1670</v>
      </c>
      <c r="G700" s="101" t="s">
        <v>1515</v>
      </c>
      <c r="H700" s="97" t="str">
        <f>IFERROR(VLOOKUP(I700,'Raw material list'!$A$3:$C$695,3,0),"")</f>
        <v>WAT-001</v>
      </c>
      <c r="I700" s="97" t="s">
        <v>1406</v>
      </c>
      <c r="J700" s="101" t="s">
        <v>161</v>
      </c>
      <c r="K700" s="101" t="str">
        <f>IFERROR(VLOOKUP(I700,'Raw material list'!$A$3:$E$695,5,0),"")</f>
        <v>Ml</v>
      </c>
      <c r="L700" s="95">
        <v>100</v>
      </c>
      <c r="M700" s="98">
        <f t="shared" si="138"/>
        <v>100</v>
      </c>
      <c r="N700" s="98">
        <v>100</v>
      </c>
      <c r="O700" s="95">
        <v>10</v>
      </c>
      <c r="P700" s="98">
        <f t="shared" si="146"/>
        <v>10</v>
      </c>
      <c r="Q700" s="99">
        <f>IFERROR(VLOOKUP(I700,'Raw material list'!$A$3:$F$695,6,0),"")</f>
        <v>8.0000000000000007E-5</v>
      </c>
      <c r="R700" s="100">
        <f t="shared" si="147"/>
        <v>8.0000000000000004E-4</v>
      </c>
      <c r="S700" s="94">
        <f t="shared" si="142"/>
        <v>8.0000000000000007E-5</v>
      </c>
      <c r="T700" s="94">
        <f t="shared" si="143"/>
        <v>8.8000000000000003E-4</v>
      </c>
      <c r="U700" s="93">
        <f t="shared" si="139"/>
        <v>8.8000000000000011E-5</v>
      </c>
      <c r="V700" s="93">
        <f t="shared" si="140"/>
        <v>8.8000000000000004E-6</v>
      </c>
      <c r="W700" s="93">
        <f t="shared" si="141"/>
        <v>8.8000000000000004E-6</v>
      </c>
      <c r="X700" s="93">
        <f t="shared" si="137"/>
        <v>9.856000000000001E-4</v>
      </c>
      <c r="Y700" s="117"/>
    </row>
    <row r="701" spans="1:25" s="90" customFormat="1">
      <c r="A701" s="95" t="s">
        <v>1531</v>
      </c>
      <c r="B701" s="95" t="s">
        <v>1668</v>
      </c>
      <c r="C701" s="95" t="s">
        <v>1427</v>
      </c>
      <c r="D701" s="101" t="s">
        <v>1555</v>
      </c>
      <c r="E701" s="101" t="s">
        <v>1550</v>
      </c>
      <c r="F701" s="101" t="s">
        <v>1670</v>
      </c>
      <c r="G701" s="101" t="s">
        <v>1556</v>
      </c>
      <c r="H701" s="97" t="str">
        <f>IFERROR(VLOOKUP(I701,'Raw material list'!$A$3:$C$695,3,0),"")</f>
        <v>DRS1-446</v>
      </c>
      <c r="I701" s="97" t="s">
        <v>274</v>
      </c>
      <c r="J701" s="101" t="s">
        <v>111</v>
      </c>
      <c r="K701" s="101" t="str">
        <f>IFERROR(VLOOKUP(I701,'Raw material list'!$A$3:$E$695,5,0),"")</f>
        <v xml:space="preserve">Gram </v>
      </c>
      <c r="L701" s="95">
        <v>150</v>
      </c>
      <c r="M701" s="98">
        <f t="shared" si="138"/>
        <v>150</v>
      </c>
      <c r="N701" s="98">
        <v>100</v>
      </c>
      <c r="O701" s="95">
        <v>10</v>
      </c>
      <c r="P701" s="98">
        <f t="shared" si="146"/>
        <v>15</v>
      </c>
      <c r="Q701" s="99">
        <f>IFERROR(VLOOKUP(I701,'Raw material list'!$A$3:$F$695,6,0),"")</f>
        <v>1.29868073878628E-2</v>
      </c>
      <c r="R701" s="100">
        <f t="shared" si="147"/>
        <v>0.19480211081794202</v>
      </c>
      <c r="S701" s="94">
        <f t="shared" si="142"/>
        <v>1.9480211081794204E-2</v>
      </c>
      <c r="T701" s="94">
        <f t="shared" si="143"/>
        <v>0.21428232189973623</v>
      </c>
      <c r="U701" s="93">
        <f t="shared" si="139"/>
        <v>2.1428232189973626E-2</v>
      </c>
      <c r="V701" s="93">
        <f t="shared" si="140"/>
        <v>2.1428232189973622E-3</v>
      </c>
      <c r="W701" s="93">
        <f t="shared" si="141"/>
        <v>2.1428232189973622E-3</v>
      </c>
      <c r="X701" s="93">
        <f t="shared" si="137"/>
        <v>0.2399962005277046</v>
      </c>
      <c r="Y701" s="117"/>
    </row>
    <row r="702" spans="1:25" s="90" customFormat="1">
      <c r="A702" s="95" t="s">
        <v>1531</v>
      </c>
      <c r="B702" s="95" t="s">
        <v>1668</v>
      </c>
      <c r="C702" s="95" t="s">
        <v>1427</v>
      </c>
      <c r="D702" s="101" t="s">
        <v>1555</v>
      </c>
      <c r="E702" s="101" t="s">
        <v>1550</v>
      </c>
      <c r="F702" s="101" t="s">
        <v>1670</v>
      </c>
      <c r="G702" s="101" t="s">
        <v>1556</v>
      </c>
      <c r="H702" s="97" t="str">
        <f>IFERROR(VLOOKUP(I702,'Raw material list'!$A$3:$C$695,3,0),"")</f>
        <v>DRS1-1780</v>
      </c>
      <c r="I702" s="97" t="s">
        <v>235</v>
      </c>
      <c r="J702" s="101" t="s">
        <v>111</v>
      </c>
      <c r="K702" s="101" t="str">
        <f>IFERROR(VLOOKUP(I702,'Raw material list'!$A$3:$E$695,5,0),"")</f>
        <v xml:space="preserve">Gram </v>
      </c>
      <c r="L702" s="95">
        <v>90</v>
      </c>
      <c r="M702" s="98">
        <f t="shared" si="138"/>
        <v>90</v>
      </c>
      <c r="N702" s="98">
        <v>100</v>
      </c>
      <c r="O702" s="95">
        <v>10</v>
      </c>
      <c r="P702" s="98">
        <f t="shared" si="146"/>
        <v>9</v>
      </c>
      <c r="Q702" s="99">
        <f>IFERROR(VLOOKUP(I702,'Raw material list'!$A$3:$F$695,6,0),"")</f>
        <v>0.04</v>
      </c>
      <c r="R702" s="100">
        <f t="shared" si="147"/>
        <v>0.36</v>
      </c>
      <c r="S702" s="94">
        <f t="shared" si="142"/>
        <v>3.5999999999999997E-2</v>
      </c>
      <c r="T702" s="94">
        <f t="shared" si="143"/>
        <v>0.39599999999999996</v>
      </c>
      <c r="U702" s="93">
        <f t="shared" si="139"/>
        <v>3.9599999999999996E-2</v>
      </c>
      <c r="V702" s="93">
        <f t="shared" si="140"/>
        <v>3.96E-3</v>
      </c>
      <c r="W702" s="93">
        <f t="shared" si="141"/>
        <v>3.96E-3</v>
      </c>
      <c r="X702" s="93">
        <f t="shared" si="137"/>
        <v>0.44352000000000003</v>
      </c>
      <c r="Y702" s="117"/>
    </row>
    <row r="703" spans="1:25" s="90" customFormat="1">
      <c r="A703" s="95" t="s">
        <v>1543</v>
      </c>
      <c r="B703" s="95" t="s">
        <v>1668</v>
      </c>
      <c r="C703" s="95" t="s">
        <v>1427</v>
      </c>
      <c r="D703" s="101" t="s">
        <v>1598</v>
      </c>
      <c r="E703" s="101"/>
      <c r="F703" s="101" t="s">
        <v>1670</v>
      </c>
      <c r="G703" s="101"/>
      <c r="H703" s="97" t="str">
        <f>IFERROR(VLOOKUP(I703,'Raw material list'!$A$3:$C$695,3,0),"")</f>
        <v>DRY1-353</v>
      </c>
      <c r="I703" s="101" t="s">
        <v>1558</v>
      </c>
      <c r="J703" s="101" t="s">
        <v>111</v>
      </c>
      <c r="K703" s="101" t="str">
        <f>IFERROR(VLOOKUP(I703,'Raw material list'!$A$3:$E$695,5,0),"")</f>
        <v xml:space="preserve">Gram </v>
      </c>
      <c r="L703" s="95">
        <v>700</v>
      </c>
      <c r="M703" s="98">
        <f t="shared" si="138"/>
        <v>700</v>
      </c>
      <c r="N703" s="98">
        <v>100</v>
      </c>
      <c r="O703" s="95">
        <v>10</v>
      </c>
      <c r="P703" s="98">
        <f t="shared" si="146"/>
        <v>70</v>
      </c>
      <c r="Q703" s="99">
        <f>IFERROR(VLOOKUP(I703,'Raw material list'!$A$3:$F$695,6,0),"")</f>
        <v>2.4500000000000001E-2</v>
      </c>
      <c r="R703" s="100">
        <f t="shared" ref="R703:R763" si="148">IFERROR(Q703*P703,0)</f>
        <v>1.7150000000000001</v>
      </c>
      <c r="S703" s="94">
        <f t="shared" si="142"/>
        <v>0.17150000000000001</v>
      </c>
      <c r="T703" s="94">
        <f t="shared" si="143"/>
        <v>1.8865000000000001</v>
      </c>
      <c r="U703" s="93">
        <f t="shared" si="139"/>
        <v>0.18865000000000001</v>
      </c>
      <c r="V703" s="93">
        <f t="shared" si="140"/>
        <v>1.8865E-2</v>
      </c>
      <c r="W703" s="93">
        <f t="shared" si="141"/>
        <v>1.8865E-2</v>
      </c>
      <c r="X703" s="93">
        <f t="shared" si="137"/>
        <v>2.1128800000000001</v>
      </c>
      <c r="Y703" s="117"/>
    </row>
    <row r="704" spans="1:25" s="90" customFormat="1">
      <c r="A704" s="95" t="s">
        <v>1543</v>
      </c>
      <c r="B704" s="95" t="s">
        <v>1668</v>
      </c>
      <c r="C704" s="95" t="s">
        <v>1427</v>
      </c>
      <c r="D704" s="101" t="s">
        <v>1598</v>
      </c>
      <c r="E704" s="101"/>
      <c r="F704" s="101" t="s">
        <v>1670</v>
      </c>
      <c r="G704" s="101" t="s">
        <v>1691</v>
      </c>
      <c r="H704" s="97" t="str">
        <f>IFERROR(VLOOKUP(I704,'Raw material list'!$A$3:$C$695,3,0),"")</f>
        <v>PRD1-179</v>
      </c>
      <c r="I704" s="101" t="s">
        <v>971</v>
      </c>
      <c r="J704" s="101" t="s">
        <v>111</v>
      </c>
      <c r="K704" s="101" t="str">
        <f>IFERROR(VLOOKUP(I704,'Raw material list'!$A$3:$E$695,5,0),"")</f>
        <v xml:space="preserve">Gram </v>
      </c>
      <c r="L704" s="95">
        <v>20.51</v>
      </c>
      <c r="M704" s="98">
        <f t="shared" si="138"/>
        <v>20.51</v>
      </c>
      <c r="N704" s="98">
        <v>100</v>
      </c>
      <c r="O704" s="95">
        <v>10</v>
      </c>
      <c r="P704" s="98">
        <f t="shared" si="146"/>
        <v>2.0510000000000002</v>
      </c>
      <c r="Q704" s="99">
        <f>IFERROR(VLOOKUP(I704,'Raw material list'!$A$3:$F$695,6,0),"")</f>
        <v>8.9999999999999993E-3</v>
      </c>
      <c r="R704" s="100">
        <f t="shared" si="148"/>
        <v>1.8459E-2</v>
      </c>
      <c r="S704" s="94">
        <f t="shared" si="142"/>
        <v>1.8459000000000001E-3</v>
      </c>
      <c r="T704" s="94">
        <f t="shared" si="143"/>
        <v>2.0304900000000001E-2</v>
      </c>
      <c r="U704" s="93">
        <f t="shared" si="139"/>
        <v>2.0304900000000002E-3</v>
      </c>
      <c r="V704" s="93">
        <f t="shared" si="140"/>
        <v>2.0304900000000001E-4</v>
      </c>
      <c r="W704" s="93">
        <f t="shared" si="141"/>
        <v>2.0304900000000001E-4</v>
      </c>
      <c r="X704" s="93">
        <f t="shared" si="137"/>
        <v>2.2741488000000001E-2</v>
      </c>
      <c r="Y704" s="117"/>
    </row>
    <row r="705" spans="1:25" s="90" customFormat="1">
      <c r="A705" s="95" t="s">
        <v>1543</v>
      </c>
      <c r="B705" s="95" t="s">
        <v>1668</v>
      </c>
      <c r="C705" s="95" t="s">
        <v>1427</v>
      </c>
      <c r="D705" s="101" t="s">
        <v>1598</v>
      </c>
      <c r="E705" s="101"/>
      <c r="F705" s="101" t="s">
        <v>1670</v>
      </c>
      <c r="G705" s="101" t="s">
        <v>1691</v>
      </c>
      <c r="H705" s="97" t="str">
        <f>IFERROR(VLOOKUP(I705,'Raw material list'!$A$3:$C$695,3,0),"")</f>
        <v>DRS3-1615</v>
      </c>
      <c r="I705" s="101" t="s">
        <v>24</v>
      </c>
      <c r="J705" s="101" t="s">
        <v>161</v>
      </c>
      <c r="K705" s="101" t="str">
        <f>IFERROR(VLOOKUP(I705,'Raw material list'!$A$3:$E$695,5,0),"")</f>
        <v>Ml</v>
      </c>
      <c r="L705" s="95">
        <v>15.38</v>
      </c>
      <c r="M705" s="98">
        <f t="shared" si="138"/>
        <v>15.380000000000003</v>
      </c>
      <c r="N705" s="98">
        <v>100</v>
      </c>
      <c r="O705" s="95">
        <v>10</v>
      </c>
      <c r="P705" s="98">
        <f t="shared" si="146"/>
        <v>1.538</v>
      </c>
      <c r="Q705" s="99">
        <f>IFERROR(VLOOKUP(I705,'Raw material list'!$A$3:$F$695,6,0),"")</f>
        <v>1.2E-2</v>
      </c>
      <c r="R705" s="100">
        <f t="shared" si="148"/>
        <v>1.8456E-2</v>
      </c>
      <c r="S705" s="94">
        <f t="shared" ref="S705:S767" si="149">R705*10%</f>
        <v>1.8456000000000002E-3</v>
      </c>
      <c r="T705" s="94">
        <f t="shared" ref="T705:T767" si="150">R705+S705</f>
        <v>2.03016E-2</v>
      </c>
      <c r="U705" s="93">
        <f t="shared" si="139"/>
        <v>2.03016E-3</v>
      </c>
      <c r="V705" s="93">
        <f t="shared" si="140"/>
        <v>2.0301600000000001E-4</v>
      </c>
      <c r="W705" s="93">
        <f t="shared" si="141"/>
        <v>2.0301600000000001E-4</v>
      </c>
      <c r="X705" s="93">
        <f t="shared" si="137"/>
        <v>2.2737792E-2</v>
      </c>
      <c r="Y705" s="117"/>
    </row>
    <row r="706" spans="1:25" s="90" customFormat="1">
      <c r="A706" s="95" t="s">
        <v>1543</v>
      </c>
      <c r="B706" s="95" t="s">
        <v>1668</v>
      </c>
      <c r="C706" s="95" t="s">
        <v>1427</v>
      </c>
      <c r="D706" s="101" t="s">
        <v>1598</v>
      </c>
      <c r="E706" s="101"/>
      <c r="F706" s="101" t="s">
        <v>1670</v>
      </c>
      <c r="G706" s="101" t="s">
        <v>1691</v>
      </c>
      <c r="H706" s="97" t="str">
        <f>IFERROR(VLOOKUP(I706,'Raw material list'!$A$3:$C$695,3,0),"")</f>
        <v>DRS1-114</v>
      </c>
      <c r="I706" s="101" t="s">
        <v>279</v>
      </c>
      <c r="J706" s="101" t="s">
        <v>111</v>
      </c>
      <c r="K706" s="101" t="str">
        <f>IFERROR(VLOOKUP(I706,'Raw material list'!$A$3:$E$695,5,0),"")</f>
        <v xml:space="preserve">Gram </v>
      </c>
      <c r="L706" s="95">
        <v>0.2</v>
      </c>
      <c r="M706" s="98">
        <f t="shared" si="138"/>
        <v>0.2</v>
      </c>
      <c r="N706" s="98">
        <v>100</v>
      </c>
      <c r="O706" s="95">
        <v>10</v>
      </c>
      <c r="P706" s="98">
        <f t="shared" si="146"/>
        <v>0.02</v>
      </c>
      <c r="Q706" s="99">
        <f>IFERROR(VLOOKUP(I706,'Raw material list'!$A$3:$F$695,6,0),"")</f>
        <v>4.7489823609226586E-3</v>
      </c>
      <c r="R706" s="100">
        <f t="shared" si="148"/>
        <v>9.4979647218453175E-5</v>
      </c>
      <c r="S706" s="94">
        <f t="shared" si="149"/>
        <v>9.4979647218453175E-6</v>
      </c>
      <c r="T706" s="94">
        <f t="shared" si="150"/>
        <v>1.0447761194029849E-4</v>
      </c>
      <c r="U706" s="93">
        <f t="shared" si="139"/>
        <v>1.0447761194029849E-5</v>
      </c>
      <c r="V706" s="93">
        <f t="shared" si="140"/>
        <v>1.044776119402985E-6</v>
      </c>
      <c r="W706" s="93">
        <f t="shared" si="141"/>
        <v>1.044776119402985E-6</v>
      </c>
      <c r="X706" s="93">
        <f t="shared" ref="X706:X768" si="151">T706+U706+V706+W706</f>
        <v>1.1701492537313431E-4</v>
      </c>
      <c r="Y706" s="117"/>
    </row>
    <row r="707" spans="1:25" s="90" customFormat="1">
      <c r="A707" s="95" t="s">
        <v>1543</v>
      </c>
      <c r="B707" s="95" t="s">
        <v>1668</v>
      </c>
      <c r="C707" s="95" t="s">
        <v>1427</v>
      </c>
      <c r="D707" s="101" t="s">
        <v>1598</v>
      </c>
      <c r="E707" s="101"/>
      <c r="F707" s="101" t="s">
        <v>1670</v>
      </c>
      <c r="G707" s="101" t="s">
        <v>1691</v>
      </c>
      <c r="H707" s="97" t="str">
        <f>IFERROR(VLOOKUP(I707,'Raw material list'!$A$3:$C$695,3,0),"")</f>
        <v>DRS6-537</v>
      </c>
      <c r="I707" s="101" t="s">
        <v>25</v>
      </c>
      <c r="J707" s="101" t="s">
        <v>111</v>
      </c>
      <c r="K707" s="101" t="str">
        <f>IFERROR(VLOOKUP(I707,'Raw material list'!$A$3:$E$695,5,0),"")</f>
        <v xml:space="preserve">Gram </v>
      </c>
      <c r="L707" s="95">
        <v>0.2</v>
      </c>
      <c r="M707" s="98">
        <f t="shared" si="138"/>
        <v>0.2</v>
      </c>
      <c r="N707" s="98">
        <v>100</v>
      </c>
      <c r="O707" s="95">
        <v>10</v>
      </c>
      <c r="P707" s="98">
        <f t="shared" si="146"/>
        <v>0.02</v>
      </c>
      <c r="Q707" s="99">
        <f>IFERROR(VLOOKUP(I707,'Raw material list'!$A$3:$F$695,6,0),"")</f>
        <v>3.5000000000000003E-2</v>
      </c>
      <c r="R707" s="100">
        <f t="shared" si="148"/>
        <v>7.000000000000001E-4</v>
      </c>
      <c r="S707" s="94">
        <f t="shared" si="149"/>
        <v>7.0000000000000007E-5</v>
      </c>
      <c r="T707" s="94">
        <f t="shared" si="150"/>
        <v>7.7000000000000007E-4</v>
      </c>
      <c r="U707" s="93">
        <f t="shared" si="139"/>
        <v>7.7000000000000015E-5</v>
      </c>
      <c r="V707" s="93">
        <f t="shared" si="140"/>
        <v>7.7000000000000008E-6</v>
      </c>
      <c r="W707" s="93">
        <f t="shared" si="141"/>
        <v>7.7000000000000008E-6</v>
      </c>
      <c r="X707" s="93">
        <f t="shared" si="151"/>
        <v>8.6240000000000015E-4</v>
      </c>
      <c r="Y707" s="117"/>
    </row>
    <row r="708" spans="1:25" s="90" customFormat="1">
      <c r="A708" s="95" t="s">
        <v>1543</v>
      </c>
      <c r="B708" s="95" t="s">
        <v>1668</v>
      </c>
      <c r="C708" s="95" t="s">
        <v>1427</v>
      </c>
      <c r="D708" s="101" t="s">
        <v>1598</v>
      </c>
      <c r="E708" s="101"/>
      <c r="F708" s="101" t="s">
        <v>1670</v>
      </c>
      <c r="G708" s="101" t="s">
        <v>1691</v>
      </c>
      <c r="H708" s="97" t="str">
        <f>IFERROR(VLOOKUP(I708,'Raw material list'!$A$3:$C$695,3,0),"")</f>
        <v>DRS1-1549</v>
      </c>
      <c r="I708" s="101" t="s">
        <v>252</v>
      </c>
      <c r="J708" s="101" t="s">
        <v>111</v>
      </c>
      <c r="K708" s="101" t="str">
        <f>IFERROR(VLOOKUP(I708,'Raw material list'!$A$3:$E$695,5,0),"")</f>
        <v xml:space="preserve">Gram </v>
      </c>
      <c r="L708" s="95">
        <v>0.51</v>
      </c>
      <c r="M708" s="98">
        <f t="shared" si="138"/>
        <v>0.51</v>
      </c>
      <c r="N708" s="98">
        <v>100</v>
      </c>
      <c r="O708" s="95">
        <v>10</v>
      </c>
      <c r="P708" s="98">
        <f t="shared" si="146"/>
        <v>5.1000000000000004E-2</v>
      </c>
      <c r="Q708" s="99">
        <f>IFERROR(VLOOKUP(I708,'Raw material list'!$A$3:$F$695,6,0),"")</f>
        <v>9.58E-3</v>
      </c>
      <c r="R708" s="100">
        <f t="shared" si="148"/>
        <v>4.8858000000000007E-4</v>
      </c>
      <c r="S708" s="94">
        <f t="shared" si="149"/>
        <v>4.8858000000000012E-5</v>
      </c>
      <c r="T708" s="94">
        <f t="shared" si="150"/>
        <v>5.3743800000000011E-4</v>
      </c>
      <c r="U708" s="93">
        <f t="shared" si="139"/>
        <v>5.3743800000000012E-5</v>
      </c>
      <c r="V708" s="93">
        <f t="shared" si="140"/>
        <v>5.3743800000000009E-6</v>
      </c>
      <c r="W708" s="93">
        <f t="shared" si="141"/>
        <v>5.3743800000000009E-6</v>
      </c>
      <c r="X708" s="93">
        <f t="shared" si="151"/>
        <v>6.0193056000000023E-4</v>
      </c>
      <c r="Y708" s="117"/>
    </row>
    <row r="709" spans="1:25" s="90" customFormat="1">
      <c r="A709" s="95" t="s">
        <v>1543</v>
      </c>
      <c r="B709" s="95" t="s">
        <v>1668</v>
      </c>
      <c r="C709" s="95" t="s">
        <v>1427</v>
      </c>
      <c r="D709" s="101" t="s">
        <v>1598</v>
      </c>
      <c r="E709" s="101"/>
      <c r="F709" s="101" t="s">
        <v>1670</v>
      </c>
      <c r="G709" s="101" t="s">
        <v>1691</v>
      </c>
      <c r="H709" s="97" t="str">
        <f>IFERROR(VLOOKUP(I709,'Raw material list'!$A$3:$C$695,3,0),"")</f>
        <v>WAT-001</v>
      </c>
      <c r="I709" s="101" t="s">
        <v>1406</v>
      </c>
      <c r="J709" s="101" t="s">
        <v>161</v>
      </c>
      <c r="K709" s="101" t="str">
        <f>IFERROR(VLOOKUP(I709,'Raw material list'!$A$3:$E$695,5,0),"")</f>
        <v>Ml</v>
      </c>
      <c r="L709" s="95">
        <v>10.25</v>
      </c>
      <c r="M709" s="98">
        <f t="shared" si="138"/>
        <v>10.25</v>
      </c>
      <c r="N709" s="98">
        <v>100</v>
      </c>
      <c r="O709" s="95">
        <v>10</v>
      </c>
      <c r="P709" s="98">
        <f t="shared" si="146"/>
        <v>1.0249999999999999</v>
      </c>
      <c r="Q709" s="99">
        <f>IFERROR(VLOOKUP(I709,'Raw material list'!$A$3:$F$695,6,0),"")</f>
        <v>8.0000000000000007E-5</v>
      </c>
      <c r="R709" s="100">
        <f t="shared" si="148"/>
        <v>8.2000000000000001E-5</v>
      </c>
      <c r="S709" s="94">
        <f t="shared" si="149"/>
        <v>8.2000000000000011E-6</v>
      </c>
      <c r="T709" s="94">
        <f t="shared" si="150"/>
        <v>9.0199999999999997E-5</v>
      </c>
      <c r="U709" s="93">
        <f t="shared" si="139"/>
        <v>9.02E-6</v>
      </c>
      <c r="V709" s="93">
        <f t="shared" si="140"/>
        <v>9.02E-7</v>
      </c>
      <c r="W709" s="93">
        <f t="shared" si="141"/>
        <v>9.02E-7</v>
      </c>
      <c r="X709" s="93">
        <f t="shared" si="151"/>
        <v>1.01024E-4</v>
      </c>
      <c r="Y709" s="117"/>
    </row>
    <row r="710" spans="1:25" s="90" customFormat="1">
      <c r="A710" s="95" t="s">
        <v>1543</v>
      </c>
      <c r="B710" s="95" t="s">
        <v>1668</v>
      </c>
      <c r="C710" s="95" t="s">
        <v>1427</v>
      </c>
      <c r="D710" s="101" t="s">
        <v>1598</v>
      </c>
      <c r="E710" s="101"/>
      <c r="F710" s="101" t="s">
        <v>1670</v>
      </c>
      <c r="G710" s="101" t="s">
        <v>1599</v>
      </c>
      <c r="H710" s="97" t="str">
        <f>IFERROR(VLOOKUP(I710,'Raw material list'!$A$3:$C$695,3,0),"")</f>
        <v>DRS1-1652</v>
      </c>
      <c r="I710" s="101" t="s">
        <v>1425</v>
      </c>
      <c r="J710" s="101" t="s">
        <v>111</v>
      </c>
      <c r="K710" s="101" t="str">
        <f>IFERROR(VLOOKUP(I710,'Raw material list'!$A$3:$E$695,5,0),"")</f>
        <v xml:space="preserve">Gram </v>
      </c>
      <c r="L710" s="95">
        <v>53.84</v>
      </c>
      <c r="M710" s="98">
        <f t="shared" ref="M710:M773" si="152">L710/N710*100</f>
        <v>53.839999999999996</v>
      </c>
      <c r="N710" s="98">
        <v>100</v>
      </c>
      <c r="O710" s="95">
        <v>10</v>
      </c>
      <c r="P710" s="98">
        <f t="shared" si="146"/>
        <v>5.3840000000000003</v>
      </c>
      <c r="Q710" s="99">
        <f>IFERROR(VLOOKUP(I710,'Raw material list'!$A$3:$F$695,6,0),"")</f>
        <v>1.2800000000000001E-2</v>
      </c>
      <c r="R710" s="100">
        <f t="shared" si="148"/>
        <v>6.891520000000001E-2</v>
      </c>
      <c r="S710" s="94">
        <f t="shared" si="149"/>
        <v>6.8915200000000017E-3</v>
      </c>
      <c r="T710" s="94">
        <f t="shared" si="150"/>
        <v>7.5806720000000008E-2</v>
      </c>
      <c r="U710" s="93">
        <f t="shared" ref="U710:U773" si="153">T710*10%</f>
        <v>7.580672000000001E-3</v>
      </c>
      <c r="V710" s="93">
        <f t="shared" ref="V710:V773" si="154">T710*1%</f>
        <v>7.5806720000000014E-4</v>
      </c>
      <c r="W710" s="93">
        <f t="shared" ref="W710:W773" si="155">T710*1%</f>
        <v>7.5806720000000014E-4</v>
      </c>
      <c r="X710" s="93">
        <f t="shared" si="151"/>
        <v>8.4903526400000012E-2</v>
      </c>
      <c r="Y710" s="117"/>
    </row>
    <row r="711" spans="1:25" s="90" customFormat="1">
      <c r="A711" s="95" t="s">
        <v>1543</v>
      </c>
      <c r="B711" s="95" t="s">
        <v>1668</v>
      </c>
      <c r="C711" s="95" t="s">
        <v>1427</v>
      </c>
      <c r="D711" s="101" t="s">
        <v>1598</v>
      </c>
      <c r="E711" s="101"/>
      <c r="F711" s="101" t="s">
        <v>1670</v>
      </c>
      <c r="G711" s="101" t="s">
        <v>1577</v>
      </c>
      <c r="H711" s="97" t="str">
        <f>IFERROR(VLOOKUP(I711,'Raw material list'!$A$3:$C$695,3,0),"")</f>
        <v>PRD3-1653</v>
      </c>
      <c r="I711" s="101" t="s">
        <v>953</v>
      </c>
      <c r="J711" s="101" t="s">
        <v>111</v>
      </c>
      <c r="K711" s="101" t="str">
        <f>IFERROR(VLOOKUP(I711,'Raw material list'!$A$3:$E$695,5,0),"")</f>
        <v xml:space="preserve">Gram </v>
      </c>
      <c r="L711" s="95">
        <v>70</v>
      </c>
      <c r="M711" s="98">
        <f t="shared" si="152"/>
        <v>70</v>
      </c>
      <c r="N711" s="98">
        <v>100</v>
      </c>
      <c r="O711" s="95">
        <v>10</v>
      </c>
      <c r="P711" s="98">
        <f t="shared" si="146"/>
        <v>7</v>
      </c>
      <c r="Q711" s="99">
        <f>IFERROR(VLOOKUP(I711,'Raw material list'!$A$3:$F$695,6,0),"")</f>
        <v>5.3100000000000001E-2</v>
      </c>
      <c r="R711" s="100">
        <f t="shared" si="148"/>
        <v>0.37170000000000003</v>
      </c>
      <c r="S711" s="94">
        <f t="shared" si="149"/>
        <v>3.7170000000000002E-2</v>
      </c>
      <c r="T711" s="94">
        <f t="shared" si="150"/>
        <v>0.40887000000000001</v>
      </c>
      <c r="U711" s="93">
        <f t="shared" si="153"/>
        <v>4.0887000000000007E-2</v>
      </c>
      <c r="V711" s="93">
        <f t="shared" si="154"/>
        <v>4.0886999999999998E-3</v>
      </c>
      <c r="W711" s="93">
        <f t="shared" si="155"/>
        <v>4.0886999999999998E-3</v>
      </c>
      <c r="X711" s="93">
        <f t="shared" si="151"/>
        <v>0.45793440000000002</v>
      </c>
      <c r="Y711" s="117"/>
    </row>
    <row r="712" spans="1:25" s="90" customFormat="1">
      <c r="A712" s="95" t="s">
        <v>1544</v>
      </c>
      <c r="B712" s="95" t="s">
        <v>1631</v>
      </c>
      <c r="C712" s="95" t="s">
        <v>1427</v>
      </c>
      <c r="D712" s="101" t="s">
        <v>1600</v>
      </c>
      <c r="E712" s="101" t="s">
        <v>1620</v>
      </c>
      <c r="F712" s="101" t="s">
        <v>1670</v>
      </c>
      <c r="G712" s="101" t="s">
        <v>1589</v>
      </c>
      <c r="H712" s="97" t="str">
        <f>IFERROR(VLOOKUP(I712,'Raw material list'!$A$3:$C$695,3,0),"")</f>
        <v>DRY1-1846</v>
      </c>
      <c r="I712" s="101" t="s">
        <v>1400</v>
      </c>
      <c r="J712" s="101" t="s">
        <v>111</v>
      </c>
      <c r="K712" s="101" t="str">
        <f>IFERROR(VLOOKUP(I712,'Raw material list'!$A$3:$E$695,5,0),"")</f>
        <v xml:space="preserve">Gram </v>
      </c>
      <c r="L712" s="95">
        <v>150</v>
      </c>
      <c r="M712" s="98">
        <f t="shared" si="152"/>
        <v>150</v>
      </c>
      <c r="N712" s="98">
        <v>100</v>
      </c>
      <c r="O712" s="95">
        <v>10</v>
      </c>
      <c r="P712" s="98">
        <f t="shared" si="146"/>
        <v>15</v>
      </c>
      <c r="Q712" s="99">
        <f>IFERROR(VLOOKUP(I712,'Raw material list'!$A$3:$F$695,6,0),"")</f>
        <v>8.6199999999999992E-3</v>
      </c>
      <c r="R712" s="100">
        <f t="shared" si="148"/>
        <v>0.1293</v>
      </c>
      <c r="S712" s="94">
        <f t="shared" si="149"/>
        <v>1.2930000000000001E-2</v>
      </c>
      <c r="T712" s="94">
        <f t="shared" si="150"/>
        <v>0.14223</v>
      </c>
      <c r="U712" s="93">
        <f t="shared" si="153"/>
        <v>1.4223E-2</v>
      </c>
      <c r="V712" s="93">
        <f t="shared" si="154"/>
        <v>1.4223E-3</v>
      </c>
      <c r="W712" s="93">
        <f t="shared" si="155"/>
        <v>1.4223E-3</v>
      </c>
      <c r="X712" s="93">
        <f t="shared" si="151"/>
        <v>0.15929759999999998</v>
      </c>
      <c r="Y712" s="124"/>
    </row>
    <row r="713" spans="1:25" s="90" customFormat="1">
      <c r="A713" s="95" t="s">
        <v>1544</v>
      </c>
      <c r="B713" s="95" t="s">
        <v>1631</v>
      </c>
      <c r="C713" s="95" t="s">
        <v>1427</v>
      </c>
      <c r="D713" s="101" t="s">
        <v>1600</v>
      </c>
      <c r="E713" s="101" t="s">
        <v>1620</v>
      </c>
      <c r="F713" s="101" t="s">
        <v>1669</v>
      </c>
      <c r="G713" s="101"/>
      <c r="H713" s="97" t="str">
        <f>IFERROR(VLOOKUP(I713,'Raw material list'!$A$3:$C$695,3,0),"")</f>
        <v>BKR1-1327</v>
      </c>
      <c r="I713" s="97" t="s">
        <v>118</v>
      </c>
      <c r="J713" s="101" t="s">
        <v>111</v>
      </c>
      <c r="K713" s="101" t="str">
        <f>IFERROR(VLOOKUP(I713,'Raw material list'!$A$3:$E$695,5,0),"")</f>
        <v>Slice</v>
      </c>
      <c r="L713" s="95">
        <v>150</v>
      </c>
      <c r="M713" s="98">
        <f t="shared" si="152"/>
        <v>150</v>
      </c>
      <c r="N713" s="98">
        <v>100</v>
      </c>
      <c r="O713" s="95">
        <v>10</v>
      </c>
      <c r="P713" s="98">
        <f t="shared" si="146"/>
        <v>15</v>
      </c>
      <c r="Q713" s="99">
        <f>IFERROR(VLOOKUP(I713,'Raw material list'!$A$3:$F$695,6,0),"")</f>
        <v>0.22222222222222221</v>
      </c>
      <c r="R713" s="100">
        <f t="shared" si="148"/>
        <v>3.333333333333333</v>
      </c>
      <c r="S713" s="94">
        <f t="shared" si="149"/>
        <v>0.33333333333333331</v>
      </c>
      <c r="T713" s="94">
        <f t="shared" si="150"/>
        <v>3.6666666666666665</v>
      </c>
      <c r="U713" s="93">
        <f t="shared" si="153"/>
        <v>0.3666666666666667</v>
      </c>
      <c r="V713" s="93">
        <f t="shared" si="154"/>
        <v>3.6666666666666667E-2</v>
      </c>
      <c r="W713" s="93">
        <f t="shared" si="155"/>
        <v>3.6666666666666667E-2</v>
      </c>
      <c r="X713" s="93">
        <f t="shared" si="151"/>
        <v>4.1066666666666674</v>
      </c>
      <c r="Y713" s="124"/>
    </row>
    <row r="714" spans="1:25" s="90" customFormat="1">
      <c r="A714" s="95" t="s">
        <v>1544</v>
      </c>
      <c r="B714" s="95" t="s">
        <v>1631</v>
      </c>
      <c r="C714" s="95" t="s">
        <v>1427</v>
      </c>
      <c r="D714" s="101" t="s">
        <v>1600</v>
      </c>
      <c r="E714" s="101" t="s">
        <v>1620</v>
      </c>
      <c r="F714" s="101" t="s">
        <v>1670</v>
      </c>
      <c r="G714" s="101" t="s">
        <v>1589</v>
      </c>
      <c r="H714" s="97" t="str">
        <f>IFERROR(VLOOKUP(I714,'Raw material list'!$A$3:$C$695,3,0),"")</f>
        <v>DRS1-5266</v>
      </c>
      <c r="I714" s="101" t="s">
        <v>290</v>
      </c>
      <c r="J714" s="101" t="s">
        <v>111</v>
      </c>
      <c r="K714" s="101" t="str">
        <f>IFERROR(VLOOKUP(I714,'Raw material list'!$A$3:$E$695,5,0),"")</f>
        <v xml:space="preserve">Gram </v>
      </c>
      <c r="L714" s="95">
        <v>100</v>
      </c>
      <c r="M714" s="98">
        <f t="shared" si="152"/>
        <v>100</v>
      </c>
      <c r="N714" s="98">
        <v>100</v>
      </c>
      <c r="O714" s="95">
        <v>10</v>
      </c>
      <c r="P714" s="98">
        <f t="shared" si="146"/>
        <v>10</v>
      </c>
      <c r="Q714" s="99">
        <f>IFERROR(VLOOKUP(I714,'Raw material list'!$A$3:$F$695,6,0),"")</f>
        <v>1.555666666666667E-2</v>
      </c>
      <c r="R714" s="100">
        <f t="shared" si="148"/>
        <v>0.15556666666666669</v>
      </c>
      <c r="S714" s="94">
        <f t="shared" si="149"/>
        <v>1.555666666666667E-2</v>
      </c>
      <c r="T714" s="94">
        <f t="shared" si="150"/>
        <v>0.17112333333333335</v>
      </c>
      <c r="U714" s="93">
        <f t="shared" si="153"/>
        <v>1.7112333333333337E-2</v>
      </c>
      <c r="V714" s="93">
        <f t="shared" si="154"/>
        <v>1.7112333333333335E-3</v>
      </c>
      <c r="W714" s="93">
        <f t="shared" si="155"/>
        <v>1.7112333333333335E-3</v>
      </c>
      <c r="X714" s="93">
        <f t="shared" si="151"/>
        <v>0.19165813333333337</v>
      </c>
      <c r="Y714" s="122"/>
    </row>
    <row r="715" spans="1:25" s="90" customFormat="1">
      <c r="A715" s="95" t="s">
        <v>1544</v>
      </c>
      <c r="B715" s="95" t="s">
        <v>1631</v>
      </c>
      <c r="C715" s="95" t="s">
        <v>1427</v>
      </c>
      <c r="D715" s="101" t="s">
        <v>1600</v>
      </c>
      <c r="E715" s="101" t="s">
        <v>1620</v>
      </c>
      <c r="F715" s="101" t="s">
        <v>1670</v>
      </c>
      <c r="G715" s="101" t="s">
        <v>1589</v>
      </c>
      <c r="H715" s="97" t="str">
        <f>IFERROR(VLOOKUP(I715,'Raw material list'!$A$3:$C$695,3,0),"")</f>
        <v>DRY1-1801</v>
      </c>
      <c r="I715" s="101" t="s">
        <v>44</v>
      </c>
      <c r="J715" s="101" t="s">
        <v>111</v>
      </c>
      <c r="K715" s="101" t="str">
        <f>IFERROR(VLOOKUP(I715,'Raw material list'!$A$3:$E$695,5,0),"")</f>
        <v xml:space="preserve">Gram </v>
      </c>
      <c r="L715" s="95">
        <v>150</v>
      </c>
      <c r="M715" s="98">
        <f t="shared" si="152"/>
        <v>150</v>
      </c>
      <c r="N715" s="98">
        <v>100</v>
      </c>
      <c r="O715" s="95">
        <v>10</v>
      </c>
      <c r="P715" s="98">
        <f t="shared" si="146"/>
        <v>15</v>
      </c>
      <c r="Q715" s="99">
        <f>IFERROR(VLOOKUP(I715,'Raw material list'!$A$3:$F$695,6,0),"")</f>
        <v>2.5000000000000001E-2</v>
      </c>
      <c r="R715" s="100">
        <f t="shared" si="148"/>
        <v>0.375</v>
      </c>
      <c r="S715" s="94">
        <f t="shared" si="149"/>
        <v>3.7500000000000006E-2</v>
      </c>
      <c r="T715" s="94">
        <f t="shared" si="150"/>
        <v>0.41249999999999998</v>
      </c>
      <c r="U715" s="93">
        <f t="shared" si="153"/>
        <v>4.1250000000000002E-2</v>
      </c>
      <c r="V715" s="93">
        <f t="shared" si="154"/>
        <v>4.1250000000000002E-3</v>
      </c>
      <c r="W715" s="93">
        <f t="shared" si="155"/>
        <v>4.1250000000000002E-3</v>
      </c>
      <c r="X715" s="93">
        <f t="shared" si="151"/>
        <v>0.46199999999999997</v>
      </c>
      <c r="Y715" s="122"/>
    </row>
    <row r="716" spans="1:25">
      <c r="A716" s="95" t="s">
        <v>1564</v>
      </c>
      <c r="B716" s="95" t="s">
        <v>1596</v>
      </c>
      <c r="C716" s="95" t="s">
        <v>1427</v>
      </c>
      <c r="D716" s="96" t="s">
        <v>1575</v>
      </c>
      <c r="E716" s="95" t="s">
        <v>1618</v>
      </c>
      <c r="F716" s="95" t="s">
        <v>1672</v>
      </c>
      <c r="G716" s="95"/>
      <c r="H716" s="97" t="str">
        <f>IFERROR(VLOOKUP(I716,'Raw material list'!$A$3:$C$695,3,0),"")</f>
        <v>DRY2-1160</v>
      </c>
      <c r="I716" s="97" t="s">
        <v>393</v>
      </c>
      <c r="J716" s="95" t="s">
        <v>111</v>
      </c>
      <c r="K716" s="101" t="str">
        <f>IFERROR(VLOOKUP(I716,'Raw material list'!$A$3:$E$695,5,0),"")</f>
        <v xml:space="preserve">Gram </v>
      </c>
      <c r="L716" s="95">
        <v>420</v>
      </c>
      <c r="M716" s="98">
        <f t="shared" si="152"/>
        <v>420</v>
      </c>
      <c r="N716" s="98">
        <v>100</v>
      </c>
      <c r="O716" s="95">
        <v>10</v>
      </c>
      <c r="P716" s="98">
        <f t="shared" si="146"/>
        <v>42</v>
      </c>
      <c r="Q716" s="99">
        <f>IFERROR(VLOOKUP(I716,'Raw material list'!$A$3:$F$695,6,0),"")</f>
        <v>4.4000000000000003E-3</v>
      </c>
      <c r="R716" s="100">
        <f t="shared" si="148"/>
        <v>0.18480000000000002</v>
      </c>
      <c r="S716" s="94">
        <f t="shared" si="149"/>
        <v>1.8480000000000003E-2</v>
      </c>
      <c r="T716" s="94">
        <f t="shared" si="150"/>
        <v>0.20328000000000002</v>
      </c>
      <c r="U716" s="93">
        <f t="shared" si="153"/>
        <v>2.0328000000000002E-2</v>
      </c>
      <c r="V716" s="93">
        <f t="shared" si="154"/>
        <v>2.0328000000000004E-3</v>
      </c>
      <c r="W716" s="93">
        <f t="shared" si="155"/>
        <v>2.0328000000000004E-3</v>
      </c>
      <c r="X716" s="93">
        <f t="shared" si="151"/>
        <v>0.22767360000000003</v>
      </c>
      <c r="Y716" s="121"/>
    </row>
    <row r="717" spans="1:25">
      <c r="A717" s="95" t="s">
        <v>1564</v>
      </c>
      <c r="B717" s="95" t="s">
        <v>1596</v>
      </c>
      <c r="C717" s="95" t="s">
        <v>1427</v>
      </c>
      <c r="D717" s="96" t="s">
        <v>1575</v>
      </c>
      <c r="E717" s="95" t="s">
        <v>1618</v>
      </c>
      <c r="F717" s="95" t="s">
        <v>1672</v>
      </c>
      <c r="G717" s="95"/>
      <c r="H717" s="97" t="str">
        <f>IFERROR(VLOOKUP(I717,'Raw material list'!$A$3:$C$695,3,0),"")</f>
        <v>PRV1-393</v>
      </c>
      <c r="I717" s="97" t="s">
        <v>1576</v>
      </c>
      <c r="J717" s="95" t="s">
        <v>14</v>
      </c>
      <c r="K717" s="101" t="str">
        <f>IFERROR(VLOOKUP(I717,'Raw material list'!$A$3:$E$695,5,0),"")</f>
        <v>Each</v>
      </c>
      <c r="L717" s="95">
        <v>174</v>
      </c>
      <c r="M717" s="98">
        <f t="shared" si="152"/>
        <v>174</v>
      </c>
      <c r="N717" s="98">
        <v>100</v>
      </c>
      <c r="O717" s="95">
        <v>10</v>
      </c>
      <c r="P717" s="98">
        <f t="shared" si="146"/>
        <v>17.399999999999999</v>
      </c>
      <c r="Q717" s="99">
        <f>IFERROR(VLOOKUP(I717,'Raw material list'!$A$3:$F$695,6,0),"")</f>
        <v>0.01</v>
      </c>
      <c r="R717" s="100">
        <f t="shared" si="148"/>
        <v>0.17399999999999999</v>
      </c>
      <c r="S717" s="94">
        <f t="shared" si="149"/>
        <v>1.7399999999999999E-2</v>
      </c>
      <c r="T717" s="94">
        <f t="shared" si="150"/>
        <v>0.19139999999999999</v>
      </c>
      <c r="U717" s="93">
        <f t="shared" si="153"/>
        <v>1.9140000000000001E-2</v>
      </c>
      <c r="V717" s="93">
        <f t="shared" si="154"/>
        <v>1.9139999999999999E-3</v>
      </c>
      <c r="W717" s="93">
        <f t="shared" si="155"/>
        <v>1.9139999999999999E-3</v>
      </c>
      <c r="X717" s="93">
        <f t="shared" si="151"/>
        <v>0.21436799999999998</v>
      </c>
      <c r="Y717" s="121"/>
    </row>
    <row r="718" spans="1:25">
      <c r="A718" s="95" t="s">
        <v>1564</v>
      </c>
      <c r="B718" s="95" t="s">
        <v>1596</v>
      </c>
      <c r="C718" s="95" t="s">
        <v>1427</v>
      </c>
      <c r="D718" s="96" t="s">
        <v>1575</v>
      </c>
      <c r="E718" s="95" t="s">
        <v>1618</v>
      </c>
      <c r="F718" s="95" t="s">
        <v>1672</v>
      </c>
      <c r="G718" s="95"/>
      <c r="H718" s="97" t="str">
        <f>IFERROR(VLOOKUP(I718,'Raw material list'!$A$3:$C$695,3,0),"")</f>
        <v>DRS1-4809</v>
      </c>
      <c r="I718" s="97" t="s">
        <v>256</v>
      </c>
      <c r="J718" s="95" t="s">
        <v>111</v>
      </c>
      <c r="K718" s="101" t="str">
        <f>IFERROR(VLOOKUP(I718,'Raw material list'!$A$3:$E$695,5,0),"")</f>
        <v xml:space="preserve">Gram </v>
      </c>
      <c r="L718" s="95">
        <v>192</v>
      </c>
      <c r="M718" s="98">
        <f t="shared" si="152"/>
        <v>192</v>
      </c>
      <c r="N718" s="98">
        <v>100</v>
      </c>
      <c r="O718" s="95">
        <v>10</v>
      </c>
      <c r="P718" s="98">
        <f t="shared" si="146"/>
        <v>19.2</v>
      </c>
      <c r="Q718" s="99">
        <f>IFERROR(VLOOKUP(I718,'Raw material list'!$A$3:$F$695,6,0),"")</f>
        <v>1.1577777777777781E-2</v>
      </c>
      <c r="R718" s="100">
        <f t="shared" si="148"/>
        <v>0.22229333333333337</v>
      </c>
      <c r="S718" s="94">
        <f t="shared" si="149"/>
        <v>2.2229333333333337E-2</v>
      </c>
      <c r="T718" s="94">
        <f t="shared" si="150"/>
        <v>0.24452266666666672</v>
      </c>
      <c r="U718" s="93">
        <f t="shared" si="153"/>
        <v>2.4452266666666674E-2</v>
      </c>
      <c r="V718" s="93">
        <f t="shared" si="154"/>
        <v>2.4452266666666672E-3</v>
      </c>
      <c r="W718" s="93">
        <f t="shared" si="155"/>
        <v>2.4452266666666672E-3</v>
      </c>
      <c r="X718" s="93">
        <f t="shared" si="151"/>
        <v>0.27386538666666677</v>
      </c>
      <c r="Y718" s="121"/>
    </row>
    <row r="719" spans="1:25">
      <c r="A719" s="95" t="s">
        <v>1564</v>
      </c>
      <c r="B719" s="95" t="s">
        <v>1596</v>
      </c>
      <c r="C719" s="95" t="s">
        <v>1427</v>
      </c>
      <c r="D719" s="96" t="s">
        <v>1575</v>
      </c>
      <c r="E719" s="95" t="s">
        <v>1618</v>
      </c>
      <c r="F719" s="95" t="s">
        <v>1672</v>
      </c>
      <c r="G719" s="97"/>
      <c r="H719" s="97" t="str">
        <f>IFERROR(VLOOKUP(I719,'Raw material list'!$A$3:$C$695,3,0),"")</f>
        <v>DRS5-21</v>
      </c>
      <c r="I719" s="97" t="s">
        <v>412</v>
      </c>
      <c r="J719" s="95" t="s">
        <v>111</v>
      </c>
      <c r="K719" s="101" t="str">
        <f>IFERROR(VLOOKUP(I719,'Raw material list'!$A$3:$E$695,5,0),"")</f>
        <v xml:space="preserve">Gram </v>
      </c>
      <c r="L719" s="95">
        <v>6</v>
      </c>
      <c r="M719" s="98">
        <f t="shared" si="152"/>
        <v>6</v>
      </c>
      <c r="N719" s="98">
        <v>100</v>
      </c>
      <c r="O719" s="95">
        <v>10</v>
      </c>
      <c r="P719" s="98">
        <f t="shared" si="146"/>
        <v>0.6</v>
      </c>
      <c r="Q719" s="99">
        <f>IFERROR(VLOOKUP(I719,'Raw material list'!$A$3:$F$695,6,0),"")</f>
        <v>2.0799999999999998E-3</v>
      </c>
      <c r="R719" s="100">
        <f t="shared" si="148"/>
        <v>1.2479999999999998E-3</v>
      </c>
      <c r="S719" s="94">
        <f t="shared" si="149"/>
        <v>1.2479999999999997E-4</v>
      </c>
      <c r="T719" s="94">
        <f t="shared" si="150"/>
        <v>1.3727999999999998E-3</v>
      </c>
      <c r="U719" s="93">
        <f t="shared" si="153"/>
        <v>1.3727999999999999E-4</v>
      </c>
      <c r="V719" s="93">
        <f t="shared" si="154"/>
        <v>1.3727999999999998E-5</v>
      </c>
      <c r="W719" s="93">
        <f t="shared" si="155"/>
        <v>1.3727999999999998E-5</v>
      </c>
      <c r="X719" s="93">
        <f t="shared" si="151"/>
        <v>1.5375359999999997E-3</v>
      </c>
      <c r="Y719" s="121"/>
    </row>
    <row r="720" spans="1:25">
      <c r="A720" s="95" t="s">
        <v>1564</v>
      </c>
      <c r="B720" s="95" t="s">
        <v>1596</v>
      </c>
      <c r="C720" s="95" t="s">
        <v>1427</v>
      </c>
      <c r="D720" s="96" t="s">
        <v>1575</v>
      </c>
      <c r="E720" s="95" t="s">
        <v>1618</v>
      </c>
      <c r="F720" s="95" t="s">
        <v>1672</v>
      </c>
      <c r="G720" s="95"/>
      <c r="H720" s="97" t="str">
        <f>IFERROR(VLOOKUP(I720,'Raw material list'!$A$3:$C$695,3,0),"")</f>
        <v>DRS1-4257</v>
      </c>
      <c r="I720" s="97" t="s">
        <v>749</v>
      </c>
      <c r="J720" s="95" t="s">
        <v>111</v>
      </c>
      <c r="K720" s="101" t="str">
        <f>IFERROR(VLOOKUP(I720,'Raw material list'!$A$3:$E$695,5,0),"")</f>
        <v xml:space="preserve">Gram </v>
      </c>
      <c r="L720" s="95">
        <v>6</v>
      </c>
      <c r="M720" s="98">
        <f t="shared" si="152"/>
        <v>6</v>
      </c>
      <c r="N720" s="98">
        <v>100</v>
      </c>
      <c r="O720" s="95">
        <v>10</v>
      </c>
      <c r="P720" s="98">
        <f t="shared" si="146"/>
        <v>0.6</v>
      </c>
      <c r="Q720" s="99">
        <f>IFERROR(VLOOKUP(I720,'Raw material list'!$A$3:$F$695,6,0),"")</f>
        <v>7.0849999999999996E-2</v>
      </c>
      <c r="R720" s="100">
        <f t="shared" si="148"/>
        <v>4.2509999999999999E-2</v>
      </c>
      <c r="S720" s="94">
        <f t="shared" si="149"/>
        <v>4.2510000000000004E-3</v>
      </c>
      <c r="T720" s="94">
        <f t="shared" si="150"/>
        <v>4.6760999999999997E-2</v>
      </c>
      <c r="U720" s="93">
        <f t="shared" si="153"/>
        <v>4.6760999999999999E-3</v>
      </c>
      <c r="V720" s="93">
        <f t="shared" si="154"/>
        <v>4.6760999999999998E-4</v>
      </c>
      <c r="W720" s="93">
        <f t="shared" si="155"/>
        <v>4.6760999999999998E-4</v>
      </c>
      <c r="X720" s="93">
        <f t="shared" si="151"/>
        <v>5.237232E-2</v>
      </c>
      <c r="Y720" s="121"/>
    </row>
    <row r="721" spans="1:25">
      <c r="A721" s="95" t="s">
        <v>1564</v>
      </c>
      <c r="B721" s="95" t="s">
        <v>1596</v>
      </c>
      <c r="C721" s="95" t="s">
        <v>1427</v>
      </c>
      <c r="D721" s="96" t="s">
        <v>1575</v>
      </c>
      <c r="E721" s="95" t="s">
        <v>1618</v>
      </c>
      <c r="F721" s="95" t="s">
        <v>1672</v>
      </c>
      <c r="G721" s="95" t="s">
        <v>1577</v>
      </c>
      <c r="H721" s="97" t="str">
        <f>IFERROR(VLOOKUP(I721,'Raw material list'!$A$3:$C$695,3,0),"")</f>
        <v>PRV1-393</v>
      </c>
      <c r="I721" s="97" t="s">
        <v>1576</v>
      </c>
      <c r="J721" s="95" t="s">
        <v>14</v>
      </c>
      <c r="K721" s="101" t="str">
        <f>IFERROR(VLOOKUP(I721,'Raw material list'!$A$3:$E$695,5,0),"")</f>
        <v>Each</v>
      </c>
      <c r="L721" s="95">
        <v>225</v>
      </c>
      <c r="M721" s="98">
        <f t="shared" si="152"/>
        <v>225</v>
      </c>
      <c r="N721" s="98">
        <v>100</v>
      </c>
      <c r="O721" s="95">
        <v>10</v>
      </c>
      <c r="P721" s="98">
        <f t="shared" si="146"/>
        <v>22.5</v>
      </c>
      <c r="Q721" s="99">
        <f>IFERROR(VLOOKUP(I721,'Raw material list'!$A$3:$F$695,6,0),"")</f>
        <v>0.01</v>
      </c>
      <c r="R721" s="100">
        <f t="shared" si="148"/>
        <v>0.22500000000000001</v>
      </c>
      <c r="S721" s="94">
        <f t="shared" si="149"/>
        <v>2.2500000000000003E-2</v>
      </c>
      <c r="T721" s="94">
        <f t="shared" si="150"/>
        <v>0.2475</v>
      </c>
      <c r="U721" s="93">
        <f t="shared" si="153"/>
        <v>2.4750000000000001E-2</v>
      </c>
      <c r="V721" s="93">
        <f t="shared" si="154"/>
        <v>2.4750000000000002E-3</v>
      </c>
      <c r="W721" s="93">
        <f t="shared" si="155"/>
        <v>2.4750000000000002E-3</v>
      </c>
      <c r="X721" s="93">
        <f t="shared" si="151"/>
        <v>0.2772</v>
      </c>
      <c r="Y721" s="121"/>
    </row>
    <row r="722" spans="1:25">
      <c r="A722" s="95" t="s">
        <v>1564</v>
      </c>
      <c r="B722" s="95" t="s">
        <v>1596</v>
      </c>
      <c r="C722" s="95" t="s">
        <v>1427</v>
      </c>
      <c r="D722" s="96" t="s">
        <v>1575</v>
      </c>
      <c r="E722" s="95" t="s">
        <v>1618</v>
      </c>
      <c r="F722" s="95" t="s">
        <v>1672</v>
      </c>
      <c r="G722" s="95" t="s">
        <v>1577</v>
      </c>
      <c r="H722" s="97" t="str">
        <f>IFERROR(VLOOKUP(I722,'Raw material list'!$A$3:$C$695,3,0),"")</f>
        <v>DRS1-1545</v>
      </c>
      <c r="I722" s="97" t="s">
        <v>1578</v>
      </c>
      <c r="J722" s="95" t="s">
        <v>111</v>
      </c>
      <c r="K722" s="101" t="str">
        <f>IFERROR(VLOOKUP(I722,'Raw material list'!$A$3:$E$695,5,0),"")</f>
        <v xml:space="preserve">Gram </v>
      </c>
      <c r="L722" s="95">
        <v>45</v>
      </c>
      <c r="M722" s="98">
        <f t="shared" si="152"/>
        <v>45</v>
      </c>
      <c r="N722" s="98">
        <v>100</v>
      </c>
      <c r="O722" s="95">
        <v>10</v>
      </c>
      <c r="P722" s="98">
        <f t="shared" si="146"/>
        <v>4.5</v>
      </c>
      <c r="Q722" s="99">
        <f>IFERROR(VLOOKUP(I722,'Raw material list'!$A$3:$F$695,6,0),"")</f>
        <v>1.4999999999999999E-2</v>
      </c>
      <c r="R722" s="100">
        <f t="shared" si="148"/>
        <v>6.7500000000000004E-2</v>
      </c>
      <c r="S722" s="94">
        <f t="shared" si="149"/>
        <v>6.7500000000000008E-3</v>
      </c>
      <c r="T722" s="94">
        <f t="shared" si="150"/>
        <v>7.425000000000001E-2</v>
      </c>
      <c r="U722" s="93">
        <f t="shared" si="153"/>
        <v>7.425000000000001E-3</v>
      </c>
      <c r="V722" s="93">
        <f t="shared" si="154"/>
        <v>7.425000000000001E-4</v>
      </c>
      <c r="W722" s="93">
        <f t="shared" si="155"/>
        <v>7.425000000000001E-4</v>
      </c>
      <c r="X722" s="93">
        <f t="shared" si="151"/>
        <v>8.3160000000000012E-2</v>
      </c>
      <c r="Y722" s="121"/>
    </row>
    <row r="723" spans="1:25">
      <c r="A723" s="95" t="s">
        <v>1545</v>
      </c>
      <c r="B723" s="95" t="s">
        <v>1596</v>
      </c>
      <c r="C723" s="95" t="s">
        <v>1427</v>
      </c>
      <c r="D723" s="96" t="s">
        <v>1579</v>
      </c>
      <c r="E723" s="95" t="s">
        <v>1618</v>
      </c>
      <c r="F723" s="95" t="s">
        <v>1672</v>
      </c>
      <c r="G723" s="95"/>
      <c r="H723" s="97" t="str">
        <f>IFERROR(VLOOKUP(I723,'Raw material list'!$A$3:$C$695,3,0),"")</f>
        <v>DRS1-4809</v>
      </c>
      <c r="I723" s="97" t="s">
        <v>256</v>
      </c>
      <c r="J723" s="95" t="s">
        <v>111</v>
      </c>
      <c r="K723" s="101" t="str">
        <f>IFERROR(VLOOKUP(I723,'Raw material list'!$A$3:$E$695,5,0),"")</f>
        <v xml:space="preserve">Gram </v>
      </c>
      <c r="L723" s="95">
        <v>168.75</v>
      </c>
      <c r="M723" s="98">
        <f t="shared" si="152"/>
        <v>168.75</v>
      </c>
      <c r="N723" s="98">
        <v>100</v>
      </c>
      <c r="O723" s="95">
        <v>10</v>
      </c>
      <c r="P723" s="98">
        <f t="shared" ref="P723:P784" si="156">IFERROR(L723/O723,0)</f>
        <v>16.875</v>
      </c>
      <c r="Q723" s="99">
        <f>IFERROR(VLOOKUP(I723,'Raw material list'!$A$3:$F$695,6,0),"")</f>
        <v>1.1577777777777781E-2</v>
      </c>
      <c r="R723" s="100">
        <f t="shared" si="148"/>
        <v>0.19537500000000005</v>
      </c>
      <c r="S723" s="94">
        <f t="shared" si="149"/>
        <v>1.9537500000000006E-2</v>
      </c>
      <c r="T723" s="94">
        <f t="shared" si="150"/>
        <v>0.21491250000000006</v>
      </c>
      <c r="U723" s="93">
        <f t="shared" si="153"/>
        <v>2.1491250000000007E-2</v>
      </c>
      <c r="V723" s="93">
        <f t="shared" si="154"/>
        <v>2.1491250000000009E-3</v>
      </c>
      <c r="W723" s="93">
        <f t="shared" si="155"/>
        <v>2.1491250000000009E-3</v>
      </c>
      <c r="X723" s="93">
        <f t="shared" si="151"/>
        <v>0.24070200000000008</v>
      </c>
      <c r="Y723" s="121"/>
    </row>
    <row r="724" spans="1:25">
      <c r="A724" s="95" t="s">
        <v>1545</v>
      </c>
      <c r="B724" s="95" t="s">
        <v>1596</v>
      </c>
      <c r="C724" s="95" t="s">
        <v>1427</v>
      </c>
      <c r="D724" s="96" t="s">
        <v>1579</v>
      </c>
      <c r="E724" s="95" t="s">
        <v>1618</v>
      </c>
      <c r="F724" s="95" t="s">
        <v>1672</v>
      </c>
      <c r="G724" s="95"/>
      <c r="H724" s="97" t="str">
        <f>IFERROR(VLOOKUP(I724,'Raw material list'!$A$3:$C$695,3,0),"")</f>
        <v>DRY2-3542</v>
      </c>
      <c r="I724" s="97" t="s">
        <v>1601</v>
      </c>
      <c r="J724" s="95" t="s">
        <v>161</v>
      </c>
      <c r="K724" s="101" t="str">
        <f>IFERROR(VLOOKUP(I724,'Raw material list'!$A$3:$E$695,5,0),"")</f>
        <v>Ml</v>
      </c>
      <c r="L724" s="95">
        <v>375</v>
      </c>
      <c r="M724" s="98">
        <f t="shared" si="152"/>
        <v>375</v>
      </c>
      <c r="N724" s="98">
        <v>100</v>
      </c>
      <c r="O724" s="95">
        <v>10</v>
      </c>
      <c r="P724" s="98">
        <f t="shared" si="156"/>
        <v>37.5</v>
      </c>
      <c r="Q724" s="99">
        <f>IFERROR(VLOOKUP(I724,'Raw material list'!$A$3:$F$695,6,0),"")</f>
        <v>4.2500000000000003E-3</v>
      </c>
      <c r="R724" s="100">
        <f t="shared" si="148"/>
        <v>0.15937500000000002</v>
      </c>
      <c r="S724" s="94">
        <f t="shared" si="149"/>
        <v>1.5937500000000004E-2</v>
      </c>
      <c r="T724" s="94">
        <f t="shared" si="150"/>
        <v>0.17531250000000001</v>
      </c>
      <c r="U724" s="93">
        <f t="shared" si="153"/>
        <v>1.7531250000000002E-2</v>
      </c>
      <c r="V724" s="93">
        <f t="shared" si="154"/>
        <v>1.7531250000000001E-3</v>
      </c>
      <c r="W724" s="93">
        <f t="shared" si="155"/>
        <v>1.7531250000000001E-3</v>
      </c>
      <c r="X724" s="93">
        <f t="shared" si="151"/>
        <v>0.19635</v>
      </c>
      <c r="Y724" s="121"/>
    </row>
    <row r="725" spans="1:25">
      <c r="A725" s="95" t="s">
        <v>1545</v>
      </c>
      <c r="B725" s="95" t="s">
        <v>1596</v>
      </c>
      <c r="C725" s="95" t="s">
        <v>1427</v>
      </c>
      <c r="D725" s="96" t="s">
        <v>1579</v>
      </c>
      <c r="E725" s="95" t="s">
        <v>1618</v>
      </c>
      <c r="F725" s="95" t="s">
        <v>1672</v>
      </c>
      <c r="G725" s="95"/>
      <c r="H725" s="97" t="str">
        <f>IFERROR(VLOOKUP(I725,'Raw material list'!$A$3:$C$695,3,0),"")</f>
        <v>DRS1-4103</v>
      </c>
      <c r="I725" s="97" t="s">
        <v>165</v>
      </c>
      <c r="J725" s="95" t="s">
        <v>111</v>
      </c>
      <c r="K725" s="101" t="str">
        <f>IFERROR(VLOOKUP(I725,'Raw material list'!$A$3:$E$695,5,0),"")</f>
        <v xml:space="preserve">Gram </v>
      </c>
      <c r="L725" s="95">
        <v>75</v>
      </c>
      <c r="M725" s="98">
        <f t="shared" si="152"/>
        <v>75</v>
      </c>
      <c r="N725" s="98">
        <v>100</v>
      </c>
      <c r="O725" s="95">
        <v>10</v>
      </c>
      <c r="P725" s="98">
        <f t="shared" si="156"/>
        <v>7.5</v>
      </c>
      <c r="Q725" s="99">
        <f>IFERROR(VLOOKUP(I725,'Raw material list'!$A$3:$F$695,6,0),"")</f>
        <v>2.67632241813602E-2</v>
      </c>
      <c r="R725" s="100">
        <f t="shared" si="148"/>
        <v>0.20072418136020151</v>
      </c>
      <c r="S725" s="94">
        <f t="shared" si="149"/>
        <v>2.0072418136020152E-2</v>
      </c>
      <c r="T725" s="94">
        <f t="shared" si="150"/>
        <v>0.22079659949622166</v>
      </c>
      <c r="U725" s="93">
        <f t="shared" si="153"/>
        <v>2.2079659949622167E-2</v>
      </c>
      <c r="V725" s="93">
        <f t="shared" si="154"/>
        <v>2.2079659949622165E-3</v>
      </c>
      <c r="W725" s="93">
        <f t="shared" si="155"/>
        <v>2.2079659949622165E-3</v>
      </c>
      <c r="X725" s="93">
        <f t="shared" si="151"/>
        <v>0.24729219143576828</v>
      </c>
      <c r="Y725" s="121"/>
    </row>
    <row r="726" spans="1:25">
      <c r="A726" s="95" t="s">
        <v>1545</v>
      </c>
      <c r="B726" s="95" t="s">
        <v>1596</v>
      </c>
      <c r="C726" s="95" t="s">
        <v>1427</v>
      </c>
      <c r="D726" s="96" t="s">
        <v>1579</v>
      </c>
      <c r="E726" s="95" t="s">
        <v>1618</v>
      </c>
      <c r="F726" s="95" t="s">
        <v>1672</v>
      </c>
      <c r="G726" s="95"/>
      <c r="H726" s="97" t="str">
        <f>IFERROR(VLOOKUP(I726,'Raw material list'!$A$3:$C$695,3,0),"")</f>
        <v>DRS1-4257</v>
      </c>
      <c r="I726" s="97" t="s">
        <v>749</v>
      </c>
      <c r="J726" s="95" t="s">
        <v>111</v>
      </c>
      <c r="K726" s="101" t="str">
        <f>IFERROR(VLOOKUP(I726,'Raw material list'!$A$3:$E$695,5,0),"")</f>
        <v xml:space="preserve">Gram </v>
      </c>
      <c r="L726" s="95">
        <v>7.5</v>
      </c>
      <c r="M726" s="98">
        <f t="shared" si="152"/>
        <v>7.5</v>
      </c>
      <c r="N726" s="98">
        <v>100</v>
      </c>
      <c r="O726" s="95">
        <v>10</v>
      </c>
      <c r="P726" s="98">
        <f t="shared" si="156"/>
        <v>0.75</v>
      </c>
      <c r="Q726" s="99">
        <f>IFERROR(VLOOKUP(I726,'Raw material list'!$A$3:$F$695,6,0),"")</f>
        <v>7.0849999999999996E-2</v>
      </c>
      <c r="R726" s="100">
        <f t="shared" si="148"/>
        <v>5.3137499999999997E-2</v>
      </c>
      <c r="S726" s="94">
        <f t="shared" si="149"/>
        <v>5.3137499999999999E-3</v>
      </c>
      <c r="T726" s="94">
        <f t="shared" si="150"/>
        <v>5.8451249999999996E-2</v>
      </c>
      <c r="U726" s="93">
        <f t="shared" si="153"/>
        <v>5.8451249999999996E-3</v>
      </c>
      <c r="V726" s="93">
        <f t="shared" si="154"/>
        <v>5.8451249999999998E-4</v>
      </c>
      <c r="W726" s="93">
        <f t="shared" si="155"/>
        <v>5.8451249999999998E-4</v>
      </c>
      <c r="X726" s="93">
        <f t="shared" si="151"/>
        <v>6.5465399999999979E-2</v>
      </c>
      <c r="Y726" s="121"/>
    </row>
    <row r="727" spans="1:25">
      <c r="A727" s="95" t="s">
        <v>1545</v>
      </c>
      <c r="B727" s="95" t="s">
        <v>1596</v>
      </c>
      <c r="C727" s="95" t="s">
        <v>1427</v>
      </c>
      <c r="D727" s="96" t="s">
        <v>1579</v>
      </c>
      <c r="E727" s="95" t="s">
        <v>1618</v>
      </c>
      <c r="F727" s="95" t="s">
        <v>1672</v>
      </c>
      <c r="G727" s="95"/>
      <c r="H727" s="97" t="str">
        <f>IFERROR(VLOOKUP(I727,'Raw material list'!$A$3:$C$695,3,0),"")</f>
        <v>DRS5-1736</v>
      </c>
      <c r="I727" s="97" t="s">
        <v>603</v>
      </c>
      <c r="J727" s="95" t="s">
        <v>111</v>
      </c>
      <c r="K727" s="101" t="str">
        <f>IFERROR(VLOOKUP(I727,'Raw material list'!$A$3:$E$695,5,0),"")</f>
        <v xml:space="preserve">Gram </v>
      </c>
      <c r="L727" s="95">
        <v>6.87</v>
      </c>
      <c r="M727" s="98">
        <f t="shared" si="152"/>
        <v>6.87</v>
      </c>
      <c r="N727" s="98">
        <v>100</v>
      </c>
      <c r="O727" s="95">
        <v>10</v>
      </c>
      <c r="P727" s="98">
        <f t="shared" si="156"/>
        <v>0.68700000000000006</v>
      </c>
      <c r="Q727" s="99">
        <f>IFERROR(VLOOKUP(I727,'Raw material list'!$A$3:$F$695,6,0),"")</f>
        <v>3.7999999999999999E-2</v>
      </c>
      <c r="R727" s="100">
        <f t="shared" si="148"/>
        <v>2.6106000000000001E-2</v>
      </c>
      <c r="S727" s="94">
        <f t="shared" si="149"/>
        <v>2.6106000000000002E-3</v>
      </c>
      <c r="T727" s="94">
        <f t="shared" si="150"/>
        <v>2.8716600000000002E-2</v>
      </c>
      <c r="U727" s="93">
        <f t="shared" si="153"/>
        <v>2.8716600000000003E-3</v>
      </c>
      <c r="V727" s="93">
        <f t="shared" si="154"/>
        <v>2.8716600000000005E-4</v>
      </c>
      <c r="W727" s="93">
        <f t="shared" si="155"/>
        <v>2.8716600000000005E-4</v>
      </c>
      <c r="X727" s="93">
        <f t="shared" si="151"/>
        <v>3.2162591999999997E-2</v>
      </c>
      <c r="Y727" s="121"/>
    </row>
    <row r="728" spans="1:25">
      <c r="A728" s="95" t="s">
        <v>1545</v>
      </c>
      <c r="B728" s="95" t="s">
        <v>1596</v>
      </c>
      <c r="C728" s="95" t="s">
        <v>1427</v>
      </c>
      <c r="D728" s="96" t="s">
        <v>1579</v>
      </c>
      <c r="E728" s="95" t="s">
        <v>1618</v>
      </c>
      <c r="F728" s="95" t="s">
        <v>1672</v>
      </c>
      <c r="G728" s="95"/>
      <c r="H728" s="97" t="str">
        <f>IFERROR(VLOOKUP(I728,'Raw material list'!$A$3:$C$695,3,0),"")</f>
        <v>DRS1-3480</v>
      </c>
      <c r="I728" s="97" t="s">
        <v>1604</v>
      </c>
      <c r="J728" s="95" t="s">
        <v>111</v>
      </c>
      <c r="K728" s="101" t="str">
        <f>IFERROR(VLOOKUP(I728,'Raw material list'!$A$3:$E$695,5,0),"")</f>
        <v xml:space="preserve">Gram </v>
      </c>
      <c r="L728" s="95">
        <v>38.74</v>
      </c>
      <c r="M728" s="98">
        <f t="shared" si="152"/>
        <v>38.74</v>
      </c>
      <c r="N728" s="98">
        <v>100</v>
      </c>
      <c r="O728" s="95">
        <v>10</v>
      </c>
      <c r="P728" s="98">
        <f t="shared" si="156"/>
        <v>3.8740000000000001</v>
      </c>
      <c r="Q728" s="99">
        <f>IFERROR(VLOOKUP(I728,'Raw material list'!$A$3:$F$695,6,0),"")</f>
        <v>4.3E-3</v>
      </c>
      <c r="R728" s="100">
        <f t="shared" si="148"/>
        <v>1.6658200000000001E-2</v>
      </c>
      <c r="S728" s="94">
        <f t="shared" si="149"/>
        <v>1.6658200000000001E-3</v>
      </c>
      <c r="T728" s="94">
        <f t="shared" si="150"/>
        <v>1.8324020000000003E-2</v>
      </c>
      <c r="U728" s="93">
        <f t="shared" si="153"/>
        <v>1.8324020000000003E-3</v>
      </c>
      <c r="V728" s="93">
        <f t="shared" si="154"/>
        <v>1.8324020000000003E-4</v>
      </c>
      <c r="W728" s="93">
        <f t="shared" si="155"/>
        <v>1.8324020000000003E-4</v>
      </c>
      <c r="X728" s="93">
        <f t="shared" si="151"/>
        <v>2.0522902400000004E-2</v>
      </c>
      <c r="Y728" s="121"/>
    </row>
    <row r="729" spans="1:25">
      <c r="A729" s="95" t="s">
        <v>1545</v>
      </c>
      <c r="B729" s="95" t="s">
        <v>1596</v>
      </c>
      <c r="C729" s="95" t="s">
        <v>1427</v>
      </c>
      <c r="D729" s="96" t="s">
        <v>1579</v>
      </c>
      <c r="E729" s="95" t="s">
        <v>1618</v>
      </c>
      <c r="F729" s="95" t="s">
        <v>1672</v>
      </c>
      <c r="G729" s="95" t="s">
        <v>1577</v>
      </c>
      <c r="H729" s="97" t="str">
        <f>IFERROR(VLOOKUP(I729,'Raw material list'!$A$3:$C$695,3,0),"")</f>
        <v>DRS7-569</v>
      </c>
      <c r="I729" s="97" t="s">
        <v>490</v>
      </c>
      <c r="J729" s="95" t="s">
        <v>111</v>
      </c>
      <c r="K729" s="101" t="str">
        <f>IFERROR(VLOOKUP(I729,'Raw material list'!$A$3:$E$695,5,0),"")</f>
        <v xml:space="preserve">Gram </v>
      </c>
      <c r="L729" s="95">
        <v>30</v>
      </c>
      <c r="M729" s="98">
        <f t="shared" si="152"/>
        <v>30</v>
      </c>
      <c r="N729" s="98">
        <v>100</v>
      </c>
      <c r="O729" s="95">
        <v>10</v>
      </c>
      <c r="P729" s="98">
        <f t="shared" si="156"/>
        <v>3</v>
      </c>
      <c r="Q729" s="99">
        <f>IFERROR(VLOOKUP(I729,'Raw material list'!$A$3:$F$695,6,0),"")</f>
        <v>3.5000000000000003E-2</v>
      </c>
      <c r="R729" s="100">
        <f t="shared" si="148"/>
        <v>0.10500000000000001</v>
      </c>
      <c r="S729" s="94">
        <f t="shared" si="149"/>
        <v>1.0500000000000002E-2</v>
      </c>
      <c r="T729" s="94">
        <f t="shared" si="150"/>
        <v>0.11550000000000002</v>
      </c>
      <c r="U729" s="93">
        <f t="shared" si="153"/>
        <v>1.1550000000000003E-2</v>
      </c>
      <c r="V729" s="93">
        <f t="shared" si="154"/>
        <v>1.1550000000000002E-3</v>
      </c>
      <c r="W729" s="93">
        <f t="shared" si="155"/>
        <v>1.1550000000000002E-3</v>
      </c>
      <c r="X729" s="93">
        <f t="shared" si="151"/>
        <v>0.12936</v>
      </c>
      <c r="Y729" s="121"/>
    </row>
    <row r="730" spans="1:25">
      <c r="A730" s="95" t="s">
        <v>1545</v>
      </c>
      <c r="B730" s="95" t="s">
        <v>1596</v>
      </c>
      <c r="C730" s="95" t="s">
        <v>1427</v>
      </c>
      <c r="D730" s="96" t="s">
        <v>1579</v>
      </c>
      <c r="E730" s="95" t="s">
        <v>1618</v>
      </c>
      <c r="F730" s="95" t="s">
        <v>1672</v>
      </c>
      <c r="G730" s="95" t="s">
        <v>1577</v>
      </c>
      <c r="H730" s="97" t="str">
        <f>IFERROR(VLOOKUP(I730,'Raw material list'!$A$3:$C$695,3,0),"")</f>
        <v>DRS7-560</v>
      </c>
      <c r="I730" s="97" t="s">
        <v>484</v>
      </c>
      <c r="J730" s="95" t="s">
        <v>111</v>
      </c>
      <c r="K730" s="101" t="str">
        <f>IFERROR(VLOOKUP(I730,'Raw material list'!$A$3:$E$695,5,0),"")</f>
        <v xml:space="preserve">Gram </v>
      </c>
      <c r="L730" s="95">
        <v>30</v>
      </c>
      <c r="M730" s="98">
        <f t="shared" si="152"/>
        <v>30</v>
      </c>
      <c r="N730" s="98">
        <v>100</v>
      </c>
      <c r="O730" s="95">
        <v>10</v>
      </c>
      <c r="P730" s="98">
        <f t="shared" si="156"/>
        <v>3</v>
      </c>
      <c r="Q730" s="99">
        <f>IFERROR(VLOOKUP(I730,'Raw material list'!$A$3:$F$695,6,0),"")</f>
        <v>6.9000000000000006E-2</v>
      </c>
      <c r="R730" s="100">
        <f t="shared" si="148"/>
        <v>0.20700000000000002</v>
      </c>
      <c r="S730" s="94">
        <f t="shared" si="149"/>
        <v>2.0700000000000003E-2</v>
      </c>
      <c r="T730" s="94">
        <f t="shared" si="150"/>
        <v>0.22770000000000001</v>
      </c>
      <c r="U730" s="93">
        <f t="shared" si="153"/>
        <v>2.2770000000000002E-2</v>
      </c>
      <c r="V730" s="93">
        <f t="shared" si="154"/>
        <v>2.2770000000000004E-3</v>
      </c>
      <c r="W730" s="93">
        <f t="shared" si="155"/>
        <v>2.2770000000000004E-3</v>
      </c>
      <c r="X730" s="93">
        <f t="shared" si="151"/>
        <v>0.25502399999999997</v>
      </c>
      <c r="Y730" s="121"/>
    </row>
    <row r="731" spans="1:25">
      <c r="A731" s="95" t="s">
        <v>1613</v>
      </c>
      <c r="B731" s="95" t="s">
        <v>1596</v>
      </c>
      <c r="C731" s="95" t="s">
        <v>1427</v>
      </c>
      <c r="D731" s="96" t="s">
        <v>1580</v>
      </c>
      <c r="E731" s="95" t="s">
        <v>1619</v>
      </c>
      <c r="F731" s="95" t="s">
        <v>1672</v>
      </c>
      <c r="G731" s="95"/>
      <c r="H731" s="97" t="str">
        <f>IFERROR(VLOOKUP(I731,'Raw material list'!$A$3:$C$695,3,0),"")</f>
        <v>DRS1-3480</v>
      </c>
      <c r="I731" s="97" t="s">
        <v>1581</v>
      </c>
      <c r="J731" s="95" t="s">
        <v>111</v>
      </c>
      <c r="K731" s="101" t="str">
        <f>IFERROR(VLOOKUP(I731,'Raw material list'!$A$3:$E$695,5,0),"")</f>
        <v xml:space="preserve">Gram </v>
      </c>
      <c r="L731" s="95">
        <v>196.34</v>
      </c>
      <c r="M731" s="98">
        <f t="shared" si="152"/>
        <v>196.34</v>
      </c>
      <c r="N731" s="98">
        <v>100</v>
      </c>
      <c r="O731" s="95">
        <v>10</v>
      </c>
      <c r="P731" s="98">
        <f t="shared" si="156"/>
        <v>19.634</v>
      </c>
      <c r="Q731" s="99">
        <f>IFERROR(VLOOKUP(I731,'Raw material list'!$A$3:$F$695,6,0),"")</f>
        <v>4.3E-3</v>
      </c>
      <c r="R731" s="100">
        <f t="shared" si="148"/>
        <v>8.4426200000000007E-2</v>
      </c>
      <c r="S731" s="94">
        <f t="shared" si="149"/>
        <v>8.4426200000000014E-3</v>
      </c>
      <c r="T731" s="94">
        <f t="shared" si="150"/>
        <v>9.2868820000000005E-2</v>
      </c>
      <c r="U731" s="93">
        <f t="shared" si="153"/>
        <v>9.2868820000000015E-3</v>
      </c>
      <c r="V731" s="93">
        <f t="shared" si="154"/>
        <v>9.2868820000000006E-4</v>
      </c>
      <c r="W731" s="93">
        <f t="shared" si="155"/>
        <v>9.2868820000000006E-4</v>
      </c>
      <c r="X731" s="93">
        <f t="shared" si="151"/>
        <v>0.1040130784</v>
      </c>
      <c r="Y731" s="121"/>
    </row>
    <row r="732" spans="1:25">
      <c r="A732" s="95" t="s">
        <v>1613</v>
      </c>
      <c r="B732" s="95" t="s">
        <v>1596</v>
      </c>
      <c r="C732" s="95" t="s">
        <v>1427</v>
      </c>
      <c r="D732" s="96" t="s">
        <v>1580</v>
      </c>
      <c r="E732" s="95" t="s">
        <v>1619</v>
      </c>
      <c r="F732" s="95" t="s">
        <v>1672</v>
      </c>
      <c r="G732" s="97" t="s">
        <v>1582</v>
      </c>
      <c r="H732" s="97" t="str">
        <f>IFERROR(VLOOKUP(I732,'Raw material list'!$A$3:$C$695,3,0),"")</f>
        <v>DRS-305</v>
      </c>
      <c r="I732" s="97" t="s">
        <v>663</v>
      </c>
      <c r="J732" s="95" t="s">
        <v>111</v>
      </c>
      <c r="K732" s="101" t="str">
        <f>IFERROR(VLOOKUP(I732,'Raw material list'!$A$3:$E$695,5,0),"")</f>
        <v xml:space="preserve">Gram </v>
      </c>
      <c r="L732" s="95">
        <v>0.45</v>
      </c>
      <c r="M732" s="98">
        <f t="shared" si="152"/>
        <v>0.45000000000000007</v>
      </c>
      <c r="N732" s="98">
        <v>100</v>
      </c>
      <c r="O732" s="95">
        <v>10</v>
      </c>
      <c r="P732" s="98">
        <f t="shared" si="156"/>
        <v>4.4999999999999998E-2</v>
      </c>
      <c r="Q732" s="99">
        <f>IFERROR(VLOOKUP(I732,'Raw material list'!$A$3:$F$695,6,0),"")</f>
        <v>1.4999999999999999E-2</v>
      </c>
      <c r="R732" s="100">
        <f t="shared" si="148"/>
        <v>6.7499999999999993E-4</v>
      </c>
      <c r="S732" s="94">
        <f t="shared" si="149"/>
        <v>6.7500000000000001E-5</v>
      </c>
      <c r="T732" s="94">
        <f t="shared" si="150"/>
        <v>7.4249999999999989E-4</v>
      </c>
      <c r="U732" s="93">
        <f t="shared" si="153"/>
        <v>7.4249999999999989E-5</v>
      </c>
      <c r="V732" s="93">
        <f t="shared" si="154"/>
        <v>7.4249999999999992E-6</v>
      </c>
      <c r="W732" s="93">
        <f t="shared" si="155"/>
        <v>7.4249999999999992E-6</v>
      </c>
      <c r="X732" s="93">
        <f t="shared" si="151"/>
        <v>8.3159999999999994E-4</v>
      </c>
      <c r="Y732" s="121"/>
    </row>
    <row r="733" spans="1:25">
      <c r="A733" s="95" t="s">
        <v>1613</v>
      </c>
      <c r="B733" s="95" t="s">
        <v>1596</v>
      </c>
      <c r="C733" s="95" t="s">
        <v>1427</v>
      </c>
      <c r="D733" s="96" t="s">
        <v>1580</v>
      </c>
      <c r="E733" s="95" t="s">
        <v>1619</v>
      </c>
      <c r="F733" s="95" t="s">
        <v>1672</v>
      </c>
      <c r="G733" s="95"/>
      <c r="H733" s="97" t="str">
        <f>IFERROR(VLOOKUP(I733,'Raw material list'!$A$3:$C$695,3,0),"")</f>
        <v>DRS1-114</v>
      </c>
      <c r="I733" s="97" t="s">
        <v>279</v>
      </c>
      <c r="J733" s="95" t="s">
        <v>111</v>
      </c>
      <c r="K733" s="101" t="str">
        <f>IFERROR(VLOOKUP(I733,'Raw material list'!$A$3:$E$695,5,0),"")</f>
        <v xml:space="preserve">Gram </v>
      </c>
      <c r="L733" s="95">
        <v>0.45</v>
      </c>
      <c r="M733" s="98">
        <f t="shared" si="152"/>
        <v>0.45000000000000007</v>
      </c>
      <c r="N733" s="98">
        <v>100</v>
      </c>
      <c r="O733" s="95">
        <v>10</v>
      </c>
      <c r="P733" s="98">
        <f t="shared" si="156"/>
        <v>4.4999999999999998E-2</v>
      </c>
      <c r="Q733" s="99">
        <f>IFERROR(VLOOKUP(I733,'Raw material list'!$A$3:$F$695,6,0),"")</f>
        <v>4.7489823609226586E-3</v>
      </c>
      <c r="R733" s="100">
        <f t="shared" si="148"/>
        <v>2.1370420624151963E-4</v>
      </c>
      <c r="S733" s="94">
        <f t="shared" si="149"/>
        <v>2.1370420624151964E-5</v>
      </c>
      <c r="T733" s="94">
        <f t="shared" si="150"/>
        <v>2.3507462686567159E-4</v>
      </c>
      <c r="U733" s="93">
        <f t="shared" si="153"/>
        <v>2.3507462686567161E-5</v>
      </c>
      <c r="V733" s="93">
        <f t="shared" si="154"/>
        <v>2.350746268656716E-6</v>
      </c>
      <c r="W733" s="93">
        <f t="shared" si="155"/>
        <v>2.350746268656716E-6</v>
      </c>
      <c r="X733" s="93">
        <f t="shared" si="151"/>
        <v>2.6328358208955218E-4</v>
      </c>
      <c r="Y733" s="121"/>
    </row>
    <row r="734" spans="1:25">
      <c r="A734" s="95" t="s">
        <v>1613</v>
      </c>
      <c r="B734" s="95" t="s">
        <v>1596</v>
      </c>
      <c r="C734" s="95" t="s">
        <v>1427</v>
      </c>
      <c r="D734" s="96" t="s">
        <v>1580</v>
      </c>
      <c r="E734" s="95" t="s">
        <v>1619</v>
      </c>
      <c r="F734" s="95" t="s">
        <v>1672</v>
      </c>
      <c r="G734" s="95"/>
      <c r="H734" s="97" t="str">
        <f>IFERROR(VLOOKUP(I734,'Raw material list'!$A$3:$C$695,3,0),"")</f>
        <v>DRS7-815</v>
      </c>
      <c r="I734" s="97" t="s">
        <v>478</v>
      </c>
      <c r="J734" s="95" t="s">
        <v>111</v>
      </c>
      <c r="K734" s="101" t="str">
        <f>IFERROR(VLOOKUP(I734,'Raw material list'!$A$3:$E$695,5,0),"")</f>
        <v xml:space="preserve">Gram </v>
      </c>
      <c r="L734" s="95">
        <v>102.73</v>
      </c>
      <c r="M734" s="98">
        <f t="shared" si="152"/>
        <v>102.73</v>
      </c>
      <c r="N734" s="98">
        <v>100</v>
      </c>
      <c r="O734" s="95">
        <v>10</v>
      </c>
      <c r="P734" s="98">
        <f t="shared" si="156"/>
        <v>10.273</v>
      </c>
      <c r="Q734" s="99">
        <f>IFERROR(VLOOKUP(I734,'Raw material list'!$A$3:$F$695,6,0),"")</f>
        <v>0.10924</v>
      </c>
      <c r="R734" s="100">
        <f t="shared" si="148"/>
        <v>1.12222252</v>
      </c>
      <c r="S734" s="94">
        <f t="shared" si="149"/>
        <v>0.11222225200000001</v>
      </c>
      <c r="T734" s="94">
        <f t="shared" si="150"/>
        <v>1.234444772</v>
      </c>
      <c r="U734" s="93">
        <f t="shared" si="153"/>
        <v>0.12344447720000001</v>
      </c>
      <c r="V734" s="93">
        <f t="shared" si="154"/>
        <v>1.234444772E-2</v>
      </c>
      <c r="W734" s="93">
        <f t="shared" si="155"/>
        <v>1.234444772E-2</v>
      </c>
      <c r="X734" s="93">
        <f t="shared" si="151"/>
        <v>1.3825781446400003</v>
      </c>
      <c r="Y734" s="121"/>
    </row>
    <row r="735" spans="1:25">
      <c r="A735" s="95" t="s">
        <v>1546</v>
      </c>
      <c r="B735" s="95" t="s">
        <v>1596</v>
      </c>
      <c r="C735" s="95" t="s">
        <v>1427</v>
      </c>
      <c r="D735" s="96" t="s">
        <v>1583</v>
      </c>
      <c r="E735" s="95" t="s">
        <v>1619</v>
      </c>
      <c r="F735" s="95" t="s">
        <v>1672</v>
      </c>
      <c r="G735" s="95"/>
      <c r="H735" s="97" t="str">
        <f>IFERROR(VLOOKUP(I735,'Raw material list'!$A$3:$C$695,3,0),"")</f>
        <v>DRS1-3480</v>
      </c>
      <c r="I735" s="97" t="s">
        <v>1581</v>
      </c>
      <c r="J735" s="95" t="s">
        <v>111</v>
      </c>
      <c r="K735" s="101" t="str">
        <f>IFERROR(VLOOKUP(I735,'Raw material list'!$A$3:$E$695,5,0),"")</f>
        <v xml:space="preserve">Gram </v>
      </c>
      <c r="L735" s="95">
        <v>196.34</v>
      </c>
      <c r="M735" s="98">
        <f t="shared" si="152"/>
        <v>196.34</v>
      </c>
      <c r="N735" s="98">
        <v>100</v>
      </c>
      <c r="O735" s="95">
        <v>10</v>
      </c>
      <c r="P735" s="98">
        <f t="shared" si="156"/>
        <v>19.634</v>
      </c>
      <c r="Q735" s="99">
        <f>IFERROR(VLOOKUP(I735,'Raw material list'!$A$3:$F$695,6,0),"")</f>
        <v>4.3E-3</v>
      </c>
      <c r="R735" s="100">
        <f t="shared" si="148"/>
        <v>8.4426200000000007E-2</v>
      </c>
      <c r="S735" s="94">
        <f t="shared" si="149"/>
        <v>8.4426200000000014E-3</v>
      </c>
      <c r="T735" s="94">
        <f t="shared" si="150"/>
        <v>9.2868820000000005E-2</v>
      </c>
      <c r="U735" s="93">
        <f t="shared" si="153"/>
        <v>9.2868820000000015E-3</v>
      </c>
      <c r="V735" s="93">
        <f t="shared" si="154"/>
        <v>9.2868820000000006E-4</v>
      </c>
      <c r="W735" s="93">
        <f t="shared" si="155"/>
        <v>9.2868820000000006E-4</v>
      </c>
      <c r="X735" s="93">
        <f t="shared" si="151"/>
        <v>0.1040130784</v>
      </c>
      <c r="Y735" s="121"/>
    </row>
    <row r="736" spans="1:25">
      <c r="A736" s="95" t="s">
        <v>1546</v>
      </c>
      <c r="B736" s="95" t="s">
        <v>1596</v>
      </c>
      <c r="C736" s="95" t="s">
        <v>1427</v>
      </c>
      <c r="D736" s="96" t="s">
        <v>1583</v>
      </c>
      <c r="E736" s="95" t="s">
        <v>1619</v>
      </c>
      <c r="F736" s="95" t="s">
        <v>1672</v>
      </c>
      <c r="G736" s="95"/>
      <c r="H736" s="97" t="str">
        <f>IFERROR(VLOOKUP(I736,'Raw material list'!$A$3:$C$695,3,0),"")</f>
        <v>DRS7-815</v>
      </c>
      <c r="I736" s="97" t="s">
        <v>478</v>
      </c>
      <c r="J736" s="95" t="s">
        <v>111</v>
      </c>
      <c r="K736" s="101" t="str">
        <f>IFERROR(VLOOKUP(I736,'Raw material list'!$A$3:$E$695,5,0),"")</f>
        <v xml:space="preserve">Gram </v>
      </c>
      <c r="L736" s="95">
        <v>102.73</v>
      </c>
      <c r="M736" s="98">
        <f t="shared" si="152"/>
        <v>102.73</v>
      </c>
      <c r="N736" s="98">
        <v>100</v>
      </c>
      <c r="O736" s="95">
        <v>10</v>
      </c>
      <c r="P736" s="98">
        <f t="shared" si="156"/>
        <v>10.273</v>
      </c>
      <c r="Q736" s="99">
        <f>IFERROR(VLOOKUP(I736,'Raw material list'!$A$3:$F$695,6,0),"")</f>
        <v>0.10924</v>
      </c>
      <c r="R736" s="100">
        <f t="shared" si="148"/>
        <v>1.12222252</v>
      </c>
      <c r="S736" s="94">
        <f t="shared" si="149"/>
        <v>0.11222225200000001</v>
      </c>
      <c r="T736" s="94">
        <f t="shared" si="150"/>
        <v>1.234444772</v>
      </c>
      <c r="U736" s="93">
        <f t="shared" si="153"/>
        <v>0.12344447720000001</v>
      </c>
      <c r="V736" s="93">
        <f t="shared" si="154"/>
        <v>1.234444772E-2</v>
      </c>
      <c r="W736" s="93">
        <f t="shared" si="155"/>
        <v>1.234444772E-2</v>
      </c>
      <c r="X736" s="93">
        <f t="shared" si="151"/>
        <v>1.3825781446400003</v>
      </c>
      <c r="Y736" s="121"/>
    </row>
    <row r="737" spans="1:25">
      <c r="A737" s="95" t="s">
        <v>1546</v>
      </c>
      <c r="B737" s="95" t="s">
        <v>1596</v>
      </c>
      <c r="C737" s="95" t="s">
        <v>1427</v>
      </c>
      <c r="D737" s="96" t="s">
        <v>1583</v>
      </c>
      <c r="E737" s="95" t="s">
        <v>1619</v>
      </c>
      <c r="F737" s="95" t="s">
        <v>1672</v>
      </c>
      <c r="G737" s="95"/>
      <c r="H737" s="97" t="str">
        <f>IFERROR(VLOOKUP(I737,'Raw material list'!$A$3:$C$695,3,0),"")</f>
        <v>DRS1-114</v>
      </c>
      <c r="I737" s="97" t="s">
        <v>279</v>
      </c>
      <c r="J737" s="95" t="s">
        <v>111</v>
      </c>
      <c r="K737" s="101" t="str">
        <f>IFERROR(VLOOKUP(I737,'Raw material list'!$A$3:$E$695,5,0),"")</f>
        <v xml:space="preserve">Gram </v>
      </c>
      <c r="L737" s="95">
        <v>0.45</v>
      </c>
      <c r="M737" s="98">
        <f t="shared" si="152"/>
        <v>0.45000000000000007</v>
      </c>
      <c r="N737" s="98">
        <v>100</v>
      </c>
      <c r="O737" s="95">
        <v>10</v>
      </c>
      <c r="P737" s="98">
        <f t="shared" si="156"/>
        <v>4.4999999999999998E-2</v>
      </c>
      <c r="Q737" s="99">
        <f>IFERROR(VLOOKUP(I737,'Raw material list'!$A$3:$F$695,6,0),"")</f>
        <v>4.7489823609226586E-3</v>
      </c>
      <c r="R737" s="100">
        <f t="shared" si="148"/>
        <v>2.1370420624151963E-4</v>
      </c>
      <c r="S737" s="94">
        <f t="shared" si="149"/>
        <v>2.1370420624151964E-5</v>
      </c>
      <c r="T737" s="94">
        <f t="shared" si="150"/>
        <v>2.3507462686567159E-4</v>
      </c>
      <c r="U737" s="93">
        <f t="shared" si="153"/>
        <v>2.3507462686567161E-5</v>
      </c>
      <c r="V737" s="93">
        <f t="shared" si="154"/>
        <v>2.350746268656716E-6</v>
      </c>
      <c r="W737" s="93">
        <f t="shared" si="155"/>
        <v>2.350746268656716E-6</v>
      </c>
      <c r="X737" s="93">
        <f t="shared" si="151"/>
        <v>2.6328358208955218E-4</v>
      </c>
      <c r="Y737" s="121"/>
    </row>
    <row r="738" spans="1:25">
      <c r="A738" s="95" t="s">
        <v>1546</v>
      </c>
      <c r="B738" s="95" t="s">
        <v>1596</v>
      </c>
      <c r="C738" s="95" t="s">
        <v>1427</v>
      </c>
      <c r="D738" s="96" t="s">
        <v>1583</v>
      </c>
      <c r="E738" s="95" t="s">
        <v>1619</v>
      </c>
      <c r="F738" s="95" t="s">
        <v>1672</v>
      </c>
      <c r="G738" s="95"/>
      <c r="H738" s="97" t="str">
        <f>IFERROR(VLOOKUP(I738,'Raw material list'!$A$3:$C$695,3,0),"")</f>
        <v>DRS5-1736</v>
      </c>
      <c r="I738" s="97" t="s">
        <v>603</v>
      </c>
      <c r="J738" s="95" t="s">
        <v>111</v>
      </c>
      <c r="K738" s="101" t="str">
        <f>IFERROR(VLOOKUP(I738,'Raw material list'!$A$3:$E$695,5,0),"")</f>
        <v xml:space="preserve">Gram </v>
      </c>
      <c r="L738" s="95">
        <v>6.69</v>
      </c>
      <c r="M738" s="98">
        <f t="shared" si="152"/>
        <v>6.69</v>
      </c>
      <c r="N738" s="98">
        <v>100</v>
      </c>
      <c r="O738" s="95">
        <v>10</v>
      </c>
      <c r="P738" s="98">
        <f t="shared" si="156"/>
        <v>0.66900000000000004</v>
      </c>
      <c r="Q738" s="99">
        <f>IFERROR(VLOOKUP(I738,'Raw material list'!$A$3:$F$695,6,0),"")</f>
        <v>3.7999999999999999E-2</v>
      </c>
      <c r="R738" s="100">
        <f t="shared" si="148"/>
        <v>2.5422E-2</v>
      </c>
      <c r="S738" s="94">
        <f t="shared" si="149"/>
        <v>2.5422000000000001E-3</v>
      </c>
      <c r="T738" s="94">
        <f t="shared" si="150"/>
        <v>2.7964200000000002E-2</v>
      </c>
      <c r="U738" s="93">
        <f t="shared" si="153"/>
        <v>2.7964200000000004E-3</v>
      </c>
      <c r="V738" s="93">
        <f t="shared" si="154"/>
        <v>2.7964200000000003E-4</v>
      </c>
      <c r="W738" s="93">
        <f t="shared" si="155"/>
        <v>2.7964200000000003E-4</v>
      </c>
      <c r="X738" s="93">
        <f t="shared" si="151"/>
        <v>3.1319904000000003E-2</v>
      </c>
      <c r="Y738" s="121"/>
    </row>
    <row r="739" spans="1:25">
      <c r="A739" s="95" t="s">
        <v>1546</v>
      </c>
      <c r="B739" s="95" t="s">
        <v>1596</v>
      </c>
      <c r="C739" s="95" t="s">
        <v>1427</v>
      </c>
      <c r="D739" s="96" t="s">
        <v>1583</v>
      </c>
      <c r="E739" s="95" t="s">
        <v>1619</v>
      </c>
      <c r="F739" s="95" t="s">
        <v>1672</v>
      </c>
      <c r="G739" s="97" t="s">
        <v>1584</v>
      </c>
      <c r="H739" s="97" t="str">
        <f>IFERROR(VLOOKUP(I739,'Raw material list'!$A$3:$C$695,3,0),"")</f>
        <v>DRS5-1736</v>
      </c>
      <c r="I739" s="97" t="s">
        <v>603</v>
      </c>
      <c r="J739" s="95" t="s">
        <v>111</v>
      </c>
      <c r="K739" s="101" t="str">
        <f>IFERROR(VLOOKUP(I739,'Raw material list'!$A$3:$E$695,5,0),"")</f>
        <v xml:space="preserve">Gram </v>
      </c>
      <c r="L739" s="95">
        <v>0.45</v>
      </c>
      <c r="M739" s="98">
        <f t="shared" si="152"/>
        <v>0.45000000000000007</v>
      </c>
      <c r="N739" s="98">
        <v>100</v>
      </c>
      <c r="O739" s="95">
        <v>10</v>
      </c>
      <c r="P739" s="98">
        <f t="shared" si="156"/>
        <v>4.4999999999999998E-2</v>
      </c>
      <c r="Q739" s="99">
        <f>IFERROR(VLOOKUP(I739,'Raw material list'!$A$3:$F$695,6,0),"")</f>
        <v>3.7999999999999999E-2</v>
      </c>
      <c r="R739" s="100">
        <f t="shared" si="148"/>
        <v>1.7099999999999999E-3</v>
      </c>
      <c r="S739" s="94">
        <f t="shared" si="149"/>
        <v>1.7100000000000001E-4</v>
      </c>
      <c r="T739" s="94">
        <f t="shared" si="150"/>
        <v>1.8809999999999999E-3</v>
      </c>
      <c r="U739" s="93">
        <f t="shared" si="153"/>
        <v>1.8809999999999999E-4</v>
      </c>
      <c r="V739" s="93">
        <f t="shared" si="154"/>
        <v>1.8809999999999998E-5</v>
      </c>
      <c r="W739" s="93">
        <f t="shared" si="155"/>
        <v>1.8809999999999998E-5</v>
      </c>
      <c r="X739" s="93">
        <f t="shared" si="151"/>
        <v>2.1067200000000003E-3</v>
      </c>
      <c r="Y739" s="121"/>
    </row>
    <row r="740" spans="1:25">
      <c r="A740" s="95" t="s">
        <v>1547</v>
      </c>
      <c r="B740" s="95" t="s">
        <v>1596</v>
      </c>
      <c r="C740" s="95" t="s">
        <v>1427</v>
      </c>
      <c r="D740" s="96" t="s">
        <v>1585</v>
      </c>
      <c r="E740" s="95" t="s">
        <v>1619</v>
      </c>
      <c r="F740" s="95" t="s">
        <v>1672</v>
      </c>
      <c r="G740" s="95"/>
      <c r="H740" s="97" t="str">
        <f>IFERROR(VLOOKUP(I740,'Raw material list'!$A$3:$C$695,3,0),"")</f>
        <v>DRS1-3480</v>
      </c>
      <c r="I740" s="97" t="s">
        <v>1581</v>
      </c>
      <c r="J740" s="95" t="s">
        <v>111</v>
      </c>
      <c r="K740" s="101" t="str">
        <f>IFERROR(VLOOKUP(I740,'Raw material list'!$A$3:$E$695,5,0),"")</f>
        <v xml:space="preserve">Gram </v>
      </c>
      <c r="L740" s="95">
        <v>196.34</v>
      </c>
      <c r="M740" s="98">
        <f t="shared" si="152"/>
        <v>196.34</v>
      </c>
      <c r="N740" s="98">
        <v>100</v>
      </c>
      <c r="O740" s="95">
        <v>10</v>
      </c>
      <c r="P740" s="98">
        <f t="shared" si="156"/>
        <v>19.634</v>
      </c>
      <c r="Q740" s="99">
        <f>IFERROR(VLOOKUP(I740,'Raw material list'!$A$3:$F$695,6,0),"")</f>
        <v>4.3E-3</v>
      </c>
      <c r="R740" s="100">
        <f t="shared" si="148"/>
        <v>8.4426200000000007E-2</v>
      </c>
      <c r="S740" s="94">
        <f t="shared" si="149"/>
        <v>8.4426200000000014E-3</v>
      </c>
      <c r="T740" s="94">
        <f t="shared" si="150"/>
        <v>9.2868820000000005E-2</v>
      </c>
      <c r="U740" s="93">
        <f t="shared" si="153"/>
        <v>9.2868820000000015E-3</v>
      </c>
      <c r="V740" s="93">
        <f t="shared" si="154"/>
        <v>9.2868820000000006E-4</v>
      </c>
      <c r="W740" s="93">
        <f t="shared" si="155"/>
        <v>9.2868820000000006E-4</v>
      </c>
      <c r="X740" s="93">
        <f t="shared" si="151"/>
        <v>0.1040130784</v>
      </c>
      <c r="Y740" s="121"/>
    </row>
    <row r="741" spans="1:25">
      <c r="A741" s="95" t="s">
        <v>1547</v>
      </c>
      <c r="B741" s="95" t="s">
        <v>1596</v>
      </c>
      <c r="C741" s="95" t="s">
        <v>1427</v>
      </c>
      <c r="D741" s="96" t="s">
        <v>1585</v>
      </c>
      <c r="E741" s="95" t="s">
        <v>1619</v>
      </c>
      <c r="F741" s="95" t="s">
        <v>1672</v>
      </c>
      <c r="G741" s="95"/>
      <c r="H741" s="97" t="str">
        <f>IFERROR(VLOOKUP(I741,'Raw material list'!$A$3:$C$695,3,0),"")</f>
        <v>DRS7-815</v>
      </c>
      <c r="I741" s="97" t="s">
        <v>478</v>
      </c>
      <c r="J741" s="95" t="s">
        <v>111</v>
      </c>
      <c r="K741" s="101" t="str">
        <f>IFERROR(VLOOKUP(I741,'Raw material list'!$A$3:$E$695,5,0),"")</f>
        <v xml:space="preserve">Gram </v>
      </c>
      <c r="L741" s="95">
        <v>102.73</v>
      </c>
      <c r="M741" s="98">
        <f t="shared" si="152"/>
        <v>102.73</v>
      </c>
      <c r="N741" s="98">
        <v>100</v>
      </c>
      <c r="O741" s="95">
        <v>10</v>
      </c>
      <c r="P741" s="98">
        <f t="shared" si="156"/>
        <v>10.273</v>
      </c>
      <c r="Q741" s="99">
        <f>IFERROR(VLOOKUP(I741,'Raw material list'!$A$3:$F$695,6,0),"")</f>
        <v>0.10924</v>
      </c>
      <c r="R741" s="100">
        <f t="shared" si="148"/>
        <v>1.12222252</v>
      </c>
      <c r="S741" s="94">
        <f t="shared" si="149"/>
        <v>0.11222225200000001</v>
      </c>
      <c r="T741" s="94">
        <f t="shared" si="150"/>
        <v>1.234444772</v>
      </c>
      <c r="U741" s="93">
        <f t="shared" si="153"/>
        <v>0.12344447720000001</v>
      </c>
      <c r="V741" s="93">
        <f t="shared" si="154"/>
        <v>1.234444772E-2</v>
      </c>
      <c r="W741" s="93">
        <f t="shared" si="155"/>
        <v>1.234444772E-2</v>
      </c>
      <c r="X741" s="93">
        <f t="shared" si="151"/>
        <v>1.3825781446400003</v>
      </c>
      <c r="Y741" s="121"/>
    </row>
    <row r="742" spans="1:25">
      <c r="A742" s="95" t="s">
        <v>1547</v>
      </c>
      <c r="B742" s="95" t="s">
        <v>1596</v>
      </c>
      <c r="C742" s="95" t="s">
        <v>1427</v>
      </c>
      <c r="D742" s="96" t="s">
        <v>1585</v>
      </c>
      <c r="E742" s="95" t="s">
        <v>1619</v>
      </c>
      <c r="F742" s="95" t="s">
        <v>1672</v>
      </c>
      <c r="G742" s="95"/>
      <c r="H742" s="97" t="str">
        <f>IFERROR(VLOOKUP(I742,'Raw material list'!$A$3:$C$695,3,0),"")</f>
        <v>DRS1-114</v>
      </c>
      <c r="I742" s="97" t="s">
        <v>279</v>
      </c>
      <c r="J742" s="95" t="s">
        <v>111</v>
      </c>
      <c r="K742" s="101" t="str">
        <f>IFERROR(VLOOKUP(I742,'Raw material list'!$A$3:$E$695,5,0),"")</f>
        <v xml:space="preserve">Gram </v>
      </c>
      <c r="L742" s="95">
        <v>0.45</v>
      </c>
      <c r="M742" s="98">
        <f t="shared" si="152"/>
        <v>0.45000000000000007</v>
      </c>
      <c r="N742" s="98">
        <v>100</v>
      </c>
      <c r="O742" s="95">
        <v>10</v>
      </c>
      <c r="P742" s="98">
        <f t="shared" si="156"/>
        <v>4.4999999999999998E-2</v>
      </c>
      <c r="Q742" s="99">
        <f>IFERROR(VLOOKUP(I742,'Raw material list'!$A$3:$F$695,6,0),"")</f>
        <v>4.7489823609226586E-3</v>
      </c>
      <c r="R742" s="100">
        <f t="shared" si="148"/>
        <v>2.1370420624151963E-4</v>
      </c>
      <c r="S742" s="94">
        <f t="shared" si="149"/>
        <v>2.1370420624151964E-5</v>
      </c>
      <c r="T742" s="94">
        <f t="shared" si="150"/>
        <v>2.3507462686567159E-4</v>
      </c>
      <c r="U742" s="93">
        <f t="shared" si="153"/>
        <v>2.3507462686567161E-5</v>
      </c>
      <c r="V742" s="93">
        <f t="shared" si="154"/>
        <v>2.350746268656716E-6</v>
      </c>
      <c r="W742" s="93">
        <f t="shared" si="155"/>
        <v>2.350746268656716E-6</v>
      </c>
      <c r="X742" s="93">
        <f t="shared" si="151"/>
        <v>2.6328358208955218E-4</v>
      </c>
      <c r="Y742" s="121"/>
    </row>
    <row r="743" spans="1:25">
      <c r="A743" s="95" t="s">
        <v>1547</v>
      </c>
      <c r="B743" s="95" t="s">
        <v>1596</v>
      </c>
      <c r="C743" s="95" t="s">
        <v>1427</v>
      </c>
      <c r="D743" s="96" t="s">
        <v>1585</v>
      </c>
      <c r="E743" s="95" t="s">
        <v>1619</v>
      </c>
      <c r="F743" s="95" t="s">
        <v>1672</v>
      </c>
      <c r="G743" s="97" t="s">
        <v>1586</v>
      </c>
      <c r="H743" s="97" t="str">
        <f>IFERROR(VLOOKUP(I743,'Raw material list'!$A$3:$C$695,3,0),"")</f>
        <v>DRS5-3619</v>
      </c>
      <c r="I743" s="97" t="s">
        <v>406</v>
      </c>
      <c r="J743" s="95" t="s">
        <v>111</v>
      </c>
      <c r="K743" s="101" t="str">
        <f>IFERROR(VLOOKUP(I743,'Raw material list'!$A$3:$E$695,5,0),"")</f>
        <v xml:space="preserve">Gram </v>
      </c>
      <c r="L743" s="95">
        <v>0.45</v>
      </c>
      <c r="M743" s="98">
        <f t="shared" si="152"/>
        <v>0.45000000000000007</v>
      </c>
      <c r="N743" s="98">
        <v>100</v>
      </c>
      <c r="O743" s="95">
        <v>10</v>
      </c>
      <c r="P743" s="98">
        <f t="shared" si="156"/>
        <v>4.4999999999999998E-2</v>
      </c>
      <c r="Q743" s="99">
        <f>IFERROR(VLOOKUP(I743,'Raw material list'!$A$3:$F$695,6,0),"")</f>
        <v>1.285714285714286E-2</v>
      </c>
      <c r="R743" s="100">
        <f t="shared" si="148"/>
        <v>5.7857142857142873E-4</v>
      </c>
      <c r="S743" s="94">
        <f t="shared" si="149"/>
        <v>5.7857142857142875E-5</v>
      </c>
      <c r="T743" s="94">
        <f t="shared" si="150"/>
        <v>6.3642857142857164E-4</v>
      </c>
      <c r="U743" s="93">
        <f t="shared" si="153"/>
        <v>6.3642857142857164E-5</v>
      </c>
      <c r="V743" s="93">
        <f t="shared" si="154"/>
        <v>6.3642857142857168E-6</v>
      </c>
      <c r="W743" s="93">
        <f t="shared" si="155"/>
        <v>6.3642857142857168E-6</v>
      </c>
      <c r="X743" s="93">
        <f t="shared" si="151"/>
        <v>7.128000000000002E-4</v>
      </c>
      <c r="Y743" s="121"/>
    </row>
    <row r="744" spans="1:25">
      <c r="A744" s="95" t="s">
        <v>1548</v>
      </c>
      <c r="B744" s="95" t="s">
        <v>1596</v>
      </c>
      <c r="C744" s="95" t="s">
        <v>1427</v>
      </c>
      <c r="D744" s="96" t="s">
        <v>1587</v>
      </c>
      <c r="E744" s="95" t="s">
        <v>1619</v>
      </c>
      <c r="F744" s="95" t="s">
        <v>1672</v>
      </c>
      <c r="G744" s="95"/>
      <c r="H744" s="97" t="str">
        <f>IFERROR(VLOOKUP(I744,'Raw material list'!$A$3:$C$695,3,0),"")</f>
        <v>DRS1-3480</v>
      </c>
      <c r="I744" s="97" t="s">
        <v>1581</v>
      </c>
      <c r="J744" s="95" t="s">
        <v>111</v>
      </c>
      <c r="K744" s="101" t="str">
        <f>IFERROR(VLOOKUP(I744,'Raw material list'!$A$3:$E$695,5,0),"")</f>
        <v xml:space="preserve">Gram </v>
      </c>
      <c r="L744" s="95">
        <v>169.75</v>
      </c>
      <c r="M744" s="98">
        <f t="shared" si="152"/>
        <v>169.75</v>
      </c>
      <c r="N744" s="98">
        <v>100</v>
      </c>
      <c r="O744" s="95">
        <v>10</v>
      </c>
      <c r="P744" s="98">
        <f t="shared" si="156"/>
        <v>16.975000000000001</v>
      </c>
      <c r="Q744" s="99">
        <f>IFERROR(VLOOKUP(I744,'Raw material list'!$A$3:$F$695,6,0),"")</f>
        <v>4.3E-3</v>
      </c>
      <c r="R744" s="100">
        <f t="shared" si="148"/>
        <v>7.2992500000000002E-2</v>
      </c>
      <c r="S744" s="94">
        <f t="shared" si="149"/>
        <v>7.2992500000000002E-3</v>
      </c>
      <c r="T744" s="94">
        <f t="shared" si="150"/>
        <v>8.0291749999999995E-2</v>
      </c>
      <c r="U744" s="93">
        <f t="shared" si="153"/>
        <v>8.0291749999999995E-3</v>
      </c>
      <c r="V744" s="93">
        <f t="shared" si="154"/>
        <v>8.0291749999999995E-4</v>
      </c>
      <c r="W744" s="93">
        <f t="shared" si="155"/>
        <v>8.0291749999999995E-4</v>
      </c>
      <c r="X744" s="93">
        <f t="shared" si="151"/>
        <v>8.9926759999999994E-2</v>
      </c>
      <c r="Y744" s="121"/>
    </row>
    <row r="745" spans="1:25">
      <c r="A745" s="95" t="s">
        <v>1548</v>
      </c>
      <c r="B745" s="95" t="s">
        <v>1596</v>
      </c>
      <c r="C745" s="95" t="s">
        <v>1427</v>
      </c>
      <c r="D745" s="96" t="s">
        <v>1587</v>
      </c>
      <c r="E745" s="95" t="s">
        <v>1619</v>
      </c>
      <c r="F745" s="95" t="s">
        <v>1672</v>
      </c>
      <c r="G745" s="95"/>
      <c r="H745" s="97" t="str">
        <f>IFERROR(VLOOKUP(I745,'Raw material list'!$A$3:$C$695,3,0),"")</f>
        <v>DRS7-815</v>
      </c>
      <c r="I745" s="97" t="s">
        <v>478</v>
      </c>
      <c r="J745" s="95" t="s">
        <v>111</v>
      </c>
      <c r="K745" s="101" t="str">
        <f>IFERROR(VLOOKUP(I745,'Raw material list'!$A$3:$E$695,5,0),"")</f>
        <v xml:space="preserve">Gram </v>
      </c>
      <c r="L745" s="95">
        <v>88.82</v>
      </c>
      <c r="M745" s="98">
        <f t="shared" si="152"/>
        <v>88.82</v>
      </c>
      <c r="N745" s="98">
        <v>100</v>
      </c>
      <c r="O745" s="95">
        <v>10</v>
      </c>
      <c r="P745" s="98">
        <f t="shared" si="156"/>
        <v>8.8819999999999997</v>
      </c>
      <c r="Q745" s="99">
        <f>IFERROR(VLOOKUP(I745,'Raw material list'!$A$3:$F$695,6,0),"")</f>
        <v>0.10924</v>
      </c>
      <c r="R745" s="100">
        <f t="shared" si="148"/>
        <v>0.97026968000000002</v>
      </c>
      <c r="S745" s="94">
        <f t="shared" si="149"/>
        <v>9.7026968000000005E-2</v>
      </c>
      <c r="T745" s="94">
        <f t="shared" si="150"/>
        <v>1.0672966480000001</v>
      </c>
      <c r="U745" s="93">
        <f t="shared" si="153"/>
        <v>0.10672966480000001</v>
      </c>
      <c r="V745" s="93">
        <f t="shared" si="154"/>
        <v>1.0672966480000002E-2</v>
      </c>
      <c r="W745" s="93">
        <f t="shared" si="155"/>
        <v>1.0672966480000002E-2</v>
      </c>
      <c r="X745" s="93">
        <f t="shared" si="151"/>
        <v>1.1953722457600002</v>
      </c>
      <c r="Y745" s="121"/>
    </row>
    <row r="746" spans="1:25">
      <c r="A746" s="95" t="s">
        <v>1548</v>
      </c>
      <c r="B746" s="95" t="s">
        <v>1596</v>
      </c>
      <c r="C746" s="95" t="s">
        <v>1427</v>
      </c>
      <c r="D746" s="96" t="s">
        <v>1587</v>
      </c>
      <c r="E746" s="95" t="s">
        <v>1619</v>
      </c>
      <c r="F746" s="95" t="s">
        <v>1672</v>
      </c>
      <c r="G746" s="95"/>
      <c r="H746" s="97" t="str">
        <f>IFERROR(VLOOKUP(I746,'Raw material list'!$A$3:$C$695,3,0),"")</f>
        <v>DRS1-114</v>
      </c>
      <c r="I746" s="97" t="s">
        <v>279</v>
      </c>
      <c r="J746" s="95" t="s">
        <v>111</v>
      </c>
      <c r="K746" s="101" t="str">
        <f>IFERROR(VLOOKUP(I746,'Raw material list'!$A$3:$E$695,5,0),"")</f>
        <v xml:space="preserve">Gram </v>
      </c>
      <c r="L746" s="95">
        <v>0.39</v>
      </c>
      <c r="M746" s="98">
        <f t="shared" si="152"/>
        <v>0.39</v>
      </c>
      <c r="N746" s="98">
        <v>100</v>
      </c>
      <c r="O746" s="95">
        <v>10</v>
      </c>
      <c r="P746" s="98">
        <f t="shared" si="156"/>
        <v>3.9E-2</v>
      </c>
      <c r="Q746" s="99">
        <f>IFERROR(VLOOKUP(I746,'Raw material list'!$A$3:$F$695,6,0),"")</f>
        <v>4.7489823609226586E-3</v>
      </c>
      <c r="R746" s="100">
        <f t="shared" si="148"/>
        <v>1.8521031207598368E-4</v>
      </c>
      <c r="S746" s="94">
        <f t="shared" si="149"/>
        <v>1.8521031207598369E-5</v>
      </c>
      <c r="T746" s="94">
        <f t="shared" si="150"/>
        <v>2.0373134328358205E-4</v>
      </c>
      <c r="U746" s="93">
        <f t="shared" si="153"/>
        <v>2.0373134328358207E-5</v>
      </c>
      <c r="V746" s="93">
        <f t="shared" si="154"/>
        <v>2.0373134328358208E-6</v>
      </c>
      <c r="W746" s="93">
        <f t="shared" si="155"/>
        <v>2.0373134328358208E-6</v>
      </c>
      <c r="X746" s="93">
        <f t="shared" si="151"/>
        <v>2.281791044776119E-4</v>
      </c>
      <c r="Y746" s="121"/>
    </row>
    <row r="747" spans="1:25">
      <c r="A747" s="95" t="s">
        <v>1548</v>
      </c>
      <c r="B747" s="95" t="s">
        <v>1596</v>
      </c>
      <c r="C747" s="95" t="s">
        <v>1427</v>
      </c>
      <c r="D747" s="96" t="s">
        <v>1587</v>
      </c>
      <c r="E747" s="95" t="s">
        <v>1619</v>
      </c>
      <c r="F747" s="95" t="s">
        <v>1672</v>
      </c>
      <c r="G747" s="95"/>
      <c r="H747" s="97" t="str">
        <f>IFERROR(VLOOKUP(I747,'Raw material list'!$A$3:$C$695,3,0),"")</f>
        <v>DRS1-4809</v>
      </c>
      <c r="I747" s="97" t="s">
        <v>256</v>
      </c>
      <c r="J747" s="95" t="s">
        <v>111</v>
      </c>
      <c r="K747" s="101" t="str">
        <f>IFERROR(VLOOKUP(I747,'Raw material list'!$A$3:$E$695,5,0),"")</f>
        <v xml:space="preserve">Gram </v>
      </c>
      <c r="L747" s="95">
        <v>43.42</v>
      </c>
      <c r="M747" s="98">
        <f t="shared" si="152"/>
        <v>43.42</v>
      </c>
      <c r="N747" s="98">
        <v>100</v>
      </c>
      <c r="O747" s="95">
        <v>10</v>
      </c>
      <c r="P747" s="98">
        <f t="shared" si="156"/>
        <v>4.3420000000000005</v>
      </c>
      <c r="Q747" s="99">
        <f>IFERROR(VLOOKUP(I747,'Raw material list'!$A$3:$F$695,6,0),"")</f>
        <v>1.1577777777777781E-2</v>
      </c>
      <c r="R747" s="100">
        <f t="shared" si="148"/>
        <v>5.027071111111113E-2</v>
      </c>
      <c r="S747" s="94">
        <f t="shared" si="149"/>
        <v>5.0270711111111135E-3</v>
      </c>
      <c r="T747" s="94">
        <f t="shared" si="150"/>
        <v>5.5297782222222244E-2</v>
      </c>
      <c r="U747" s="93">
        <f t="shared" si="153"/>
        <v>5.5297782222222249E-3</v>
      </c>
      <c r="V747" s="93">
        <f t="shared" si="154"/>
        <v>5.5297782222222245E-4</v>
      </c>
      <c r="W747" s="93">
        <f t="shared" si="155"/>
        <v>5.5297782222222245E-4</v>
      </c>
      <c r="X747" s="93">
        <f t="shared" si="151"/>
        <v>6.1933516088888918E-2</v>
      </c>
      <c r="Y747" s="121"/>
    </row>
    <row r="748" spans="1:25">
      <c r="A748" s="95" t="s">
        <v>1548</v>
      </c>
      <c r="B748" s="95" t="s">
        <v>1596</v>
      </c>
      <c r="C748" s="95" t="s">
        <v>1427</v>
      </c>
      <c r="D748" s="96" t="s">
        <v>1587</v>
      </c>
      <c r="E748" s="95" t="s">
        <v>1619</v>
      </c>
      <c r="F748" s="95" t="s">
        <v>1672</v>
      </c>
      <c r="G748" s="97" t="s">
        <v>1588</v>
      </c>
      <c r="H748" s="97" t="str">
        <f>IFERROR(VLOOKUP(I748,'Raw material list'!$A$3:$C$695,3,0),"")</f>
        <v>DRS6-260</v>
      </c>
      <c r="I748" s="97" t="s">
        <v>17</v>
      </c>
      <c r="J748" s="95" t="s">
        <v>111</v>
      </c>
      <c r="K748" s="101" t="str">
        <f>IFERROR(VLOOKUP(I748,'Raw material list'!$A$3:$E$695,5,0),"")</f>
        <v xml:space="preserve">Gram </v>
      </c>
      <c r="L748" s="95">
        <v>0.39</v>
      </c>
      <c r="M748" s="98">
        <f t="shared" si="152"/>
        <v>0.39</v>
      </c>
      <c r="N748" s="98">
        <v>100</v>
      </c>
      <c r="O748" s="95">
        <v>10</v>
      </c>
      <c r="P748" s="98">
        <f t="shared" si="156"/>
        <v>3.9E-2</v>
      </c>
      <c r="Q748" s="99">
        <f>IFERROR(VLOOKUP(I748,'Raw material list'!$A$3:$F$695,6,0),"")</f>
        <v>0.02</v>
      </c>
      <c r="R748" s="100">
        <f t="shared" si="148"/>
        <v>7.7999999999999999E-4</v>
      </c>
      <c r="S748" s="94">
        <f t="shared" si="149"/>
        <v>7.7999999999999999E-5</v>
      </c>
      <c r="T748" s="94">
        <f t="shared" si="150"/>
        <v>8.5800000000000004E-4</v>
      </c>
      <c r="U748" s="93">
        <f t="shared" si="153"/>
        <v>8.5800000000000012E-5</v>
      </c>
      <c r="V748" s="93">
        <f t="shared" si="154"/>
        <v>8.5800000000000009E-6</v>
      </c>
      <c r="W748" s="93">
        <f t="shared" si="155"/>
        <v>8.5800000000000009E-6</v>
      </c>
      <c r="X748" s="93">
        <f t="shared" si="151"/>
        <v>9.6096000000000007E-4</v>
      </c>
      <c r="Y748" s="121"/>
    </row>
    <row r="749" spans="1:25">
      <c r="A749" s="95" t="s">
        <v>1549</v>
      </c>
      <c r="B749" s="95" t="s">
        <v>1574</v>
      </c>
      <c r="C749" s="95" t="s">
        <v>1427</v>
      </c>
      <c r="D749" s="96" t="s">
        <v>1557</v>
      </c>
      <c r="E749" s="95" t="s">
        <v>1618</v>
      </c>
      <c r="F749" s="95" t="s">
        <v>1630</v>
      </c>
      <c r="G749" s="95"/>
      <c r="H749" s="97" t="str">
        <f>IFERROR(VLOOKUP(I749,'Raw material list'!$A$3:$C$695,3,0),"")</f>
        <v>PRD1-196</v>
      </c>
      <c r="I749" s="97" t="s">
        <v>994</v>
      </c>
      <c r="J749" s="95" t="s">
        <v>111</v>
      </c>
      <c r="K749" s="101" t="str">
        <f>IFERROR(VLOOKUP(I749,'Raw material list'!$A$3:$E$695,5,0),"")</f>
        <v xml:space="preserve">Gram </v>
      </c>
      <c r="L749" s="95">
        <v>220</v>
      </c>
      <c r="M749" s="98">
        <f t="shared" si="152"/>
        <v>260.56060007895775</v>
      </c>
      <c r="N749" s="98">
        <v>84.433333333333337</v>
      </c>
      <c r="O749" s="95">
        <v>10</v>
      </c>
      <c r="P749" s="98">
        <f t="shared" si="156"/>
        <v>22</v>
      </c>
      <c r="Q749" s="99">
        <f>IFERROR(VLOOKUP(I749,'Raw material list'!$A$3:$F$695,6,0),"")</f>
        <v>4.1469194312796203E-3</v>
      </c>
      <c r="R749" s="100">
        <f t="shared" si="148"/>
        <v>9.1232227488151643E-2</v>
      </c>
      <c r="S749" s="94">
        <f t="shared" si="149"/>
        <v>9.1232227488151647E-3</v>
      </c>
      <c r="T749" s="94">
        <f t="shared" si="150"/>
        <v>0.10035545023696681</v>
      </c>
      <c r="U749" s="94">
        <f t="shared" si="153"/>
        <v>1.0035545023696682E-2</v>
      </c>
      <c r="V749" s="94">
        <f t="shared" si="154"/>
        <v>1.003554502369668E-3</v>
      </c>
      <c r="W749" s="94">
        <f t="shared" si="155"/>
        <v>1.003554502369668E-3</v>
      </c>
      <c r="X749" s="93">
        <f t="shared" si="151"/>
        <v>0.11239810426540281</v>
      </c>
      <c r="Y749" s="121"/>
    </row>
    <row r="750" spans="1:25">
      <c r="A750" s="95" t="s">
        <v>1549</v>
      </c>
      <c r="B750" s="95" t="s">
        <v>1574</v>
      </c>
      <c r="C750" s="95" t="s">
        <v>1427</v>
      </c>
      <c r="D750" s="96" t="s">
        <v>1557</v>
      </c>
      <c r="E750" s="95" t="s">
        <v>1618</v>
      </c>
      <c r="F750" s="95" t="s">
        <v>1630</v>
      </c>
      <c r="G750" s="95"/>
      <c r="H750" s="97" t="str">
        <f>IFERROR(VLOOKUP(I750,'Raw material list'!$A$3:$C$695,3,0),"")</f>
        <v>PRD1-1447</v>
      </c>
      <c r="I750" s="97" t="s">
        <v>1412</v>
      </c>
      <c r="J750" s="95" t="s">
        <v>111</v>
      </c>
      <c r="K750" s="101" t="str">
        <f>IFERROR(VLOOKUP(I750,'Raw material list'!$A$3:$E$695,5,0),"")</f>
        <v xml:space="preserve">Gram </v>
      </c>
      <c r="L750" s="95">
        <v>230</v>
      </c>
      <c r="M750" s="98">
        <f t="shared" si="152"/>
        <v>310.81081081081078</v>
      </c>
      <c r="N750" s="98">
        <v>74</v>
      </c>
      <c r="O750" s="95">
        <v>10</v>
      </c>
      <c r="P750" s="98">
        <f t="shared" si="156"/>
        <v>23</v>
      </c>
      <c r="Q750" s="99">
        <f>IFERROR(VLOOKUP(I750,'Raw material list'!$A$3:$F$695,6,0),"")</f>
        <v>1.2999999999999999E-2</v>
      </c>
      <c r="R750" s="100">
        <f t="shared" si="148"/>
        <v>0.29899999999999999</v>
      </c>
      <c r="S750" s="94">
        <f t="shared" si="149"/>
        <v>2.9899999999999999E-2</v>
      </c>
      <c r="T750" s="94">
        <f t="shared" si="150"/>
        <v>0.32889999999999997</v>
      </c>
      <c r="U750" s="93">
        <f t="shared" si="153"/>
        <v>3.2889999999999996E-2</v>
      </c>
      <c r="V750" s="93">
        <f t="shared" si="154"/>
        <v>3.2889999999999998E-3</v>
      </c>
      <c r="W750" s="93">
        <f t="shared" si="155"/>
        <v>3.2889999999999998E-3</v>
      </c>
      <c r="X750" s="93">
        <f t="shared" si="151"/>
        <v>0.36836799999999992</v>
      </c>
      <c r="Y750" s="121"/>
    </row>
    <row r="751" spans="1:25">
      <c r="A751" s="95" t="s">
        <v>1549</v>
      </c>
      <c r="B751" s="95" t="s">
        <v>1574</v>
      </c>
      <c r="C751" s="95" t="s">
        <v>1427</v>
      </c>
      <c r="D751" s="96" t="s">
        <v>1557</v>
      </c>
      <c r="E751" s="95" t="s">
        <v>1618</v>
      </c>
      <c r="F751" s="95" t="s">
        <v>1630</v>
      </c>
      <c r="G751" s="95"/>
      <c r="H751" s="97" t="str">
        <f>IFERROR(VLOOKUP(I751,'Raw material list'!$A$3:$C$695,3,0),"")</f>
        <v>PRD1-572</v>
      </c>
      <c r="I751" s="97" t="s">
        <v>20</v>
      </c>
      <c r="J751" s="95" t="s">
        <v>111</v>
      </c>
      <c r="K751" s="101" t="str">
        <f>IFERROR(VLOOKUP(I751,'Raw material list'!$A$3:$E$695,5,0),"")</f>
        <v xml:space="preserve">Gram </v>
      </c>
      <c r="L751" s="95">
        <v>100</v>
      </c>
      <c r="M751" s="98">
        <f t="shared" si="152"/>
        <v>113.33585190782016</v>
      </c>
      <c r="N751" s="98">
        <v>88.233333333333348</v>
      </c>
      <c r="O751" s="95">
        <v>10</v>
      </c>
      <c r="P751" s="98">
        <f t="shared" si="156"/>
        <v>10</v>
      </c>
      <c r="Q751" s="99">
        <f>IFERROR(VLOOKUP(I751,'Raw material list'!$A$3:$F$695,6,0),"")</f>
        <v>4.5351473922902504E-3</v>
      </c>
      <c r="R751" s="100">
        <f t="shared" si="148"/>
        <v>4.5351473922902508E-2</v>
      </c>
      <c r="S751" s="94">
        <f t="shared" si="149"/>
        <v>4.5351473922902513E-3</v>
      </c>
      <c r="T751" s="94">
        <f t="shared" si="150"/>
        <v>4.988662131519276E-2</v>
      </c>
      <c r="U751" s="93">
        <f t="shared" si="153"/>
        <v>4.988662131519276E-3</v>
      </c>
      <c r="V751" s="93">
        <f t="shared" si="154"/>
        <v>4.9886621315192758E-4</v>
      </c>
      <c r="W751" s="93">
        <f t="shared" si="155"/>
        <v>4.9886621315192758E-4</v>
      </c>
      <c r="X751" s="93">
        <f t="shared" si="151"/>
        <v>5.5873015873015894E-2</v>
      </c>
      <c r="Y751" s="121"/>
    </row>
    <row r="752" spans="1:25">
      <c r="A752" s="95" t="s">
        <v>1549</v>
      </c>
      <c r="B752" s="95" t="s">
        <v>1574</v>
      </c>
      <c r="C752" s="95" t="s">
        <v>1427</v>
      </c>
      <c r="D752" s="96" t="s">
        <v>1557</v>
      </c>
      <c r="E752" s="95" t="s">
        <v>1618</v>
      </c>
      <c r="F752" s="95" t="s">
        <v>1630</v>
      </c>
      <c r="G752" s="95"/>
      <c r="H752" s="97" t="str">
        <f>IFERROR(VLOOKUP(I752,'Raw material list'!$A$3:$C$695,3,0),"")</f>
        <v>DRY1-353</v>
      </c>
      <c r="I752" s="97" t="s">
        <v>1558</v>
      </c>
      <c r="J752" s="95" t="s">
        <v>111</v>
      </c>
      <c r="K752" s="101" t="str">
        <f>IFERROR(VLOOKUP(I752,'Raw material list'!$A$3:$E$695,5,0),"")</f>
        <v xml:space="preserve">Gram </v>
      </c>
      <c r="L752" s="95">
        <v>180</v>
      </c>
      <c r="M752" s="98">
        <f t="shared" si="152"/>
        <v>180</v>
      </c>
      <c r="N752" s="98">
        <v>100</v>
      </c>
      <c r="O752" s="95">
        <v>10</v>
      </c>
      <c r="P752" s="98">
        <f t="shared" si="156"/>
        <v>18</v>
      </c>
      <c r="Q752" s="99">
        <f>IFERROR(VLOOKUP(I752,'Raw material list'!$A$3:$F$695,6,0),"")</f>
        <v>2.4500000000000001E-2</v>
      </c>
      <c r="R752" s="100">
        <f t="shared" si="148"/>
        <v>0.441</v>
      </c>
      <c r="S752" s="94">
        <f t="shared" si="149"/>
        <v>4.41E-2</v>
      </c>
      <c r="T752" s="94">
        <f t="shared" si="150"/>
        <v>0.48509999999999998</v>
      </c>
      <c r="U752" s="93">
        <f t="shared" si="153"/>
        <v>4.8509999999999998E-2</v>
      </c>
      <c r="V752" s="93">
        <f t="shared" si="154"/>
        <v>4.8510000000000003E-3</v>
      </c>
      <c r="W752" s="93">
        <f t="shared" si="155"/>
        <v>4.8510000000000003E-3</v>
      </c>
      <c r="X752" s="93">
        <f t="shared" si="151"/>
        <v>0.54331200000000002</v>
      </c>
      <c r="Y752" s="121"/>
    </row>
    <row r="753" spans="1:25">
      <c r="A753" s="95" t="s">
        <v>1549</v>
      </c>
      <c r="B753" s="95" t="s">
        <v>1574</v>
      </c>
      <c r="C753" s="95" t="s">
        <v>1427</v>
      </c>
      <c r="D753" s="96" t="s">
        <v>1557</v>
      </c>
      <c r="E753" s="95" t="s">
        <v>1618</v>
      </c>
      <c r="F753" s="95" t="s">
        <v>1630</v>
      </c>
      <c r="G753" s="95" t="s">
        <v>1589</v>
      </c>
      <c r="H753" s="97" t="str">
        <f>IFERROR(VLOOKUP(I753,'Raw material list'!$A$3:$C$695,3,0),"")</f>
        <v>DRS3-1615</v>
      </c>
      <c r="I753" s="97" t="s">
        <v>24</v>
      </c>
      <c r="J753" s="95" t="s">
        <v>161</v>
      </c>
      <c r="K753" s="101" t="str">
        <f>IFERROR(VLOOKUP(I753,'Raw material list'!$A$3:$E$695,5,0),"")</f>
        <v>Ml</v>
      </c>
      <c r="L753" s="95">
        <v>22.72</v>
      </c>
      <c r="M753" s="98">
        <f t="shared" si="152"/>
        <v>22.72</v>
      </c>
      <c r="N753" s="98">
        <v>100</v>
      </c>
      <c r="O753" s="95">
        <v>10</v>
      </c>
      <c r="P753" s="98">
        <f t="shared" si="156"/>
        <v>2.2719999999999998</v>
      </c>
      <c r="Q753" s="99">
        <f>IFERROR(VLOOKUP(I753,'Raw material list'!$A$3:$F$695,6,0),"")</f>
        <v>1.2E-2</v>
      </c>
      <c r="R753" s="100">
        <f t="shared" si="148"/>
        <v>2.7263999999999997E-2</v>
      </c>
      <c r="S753" s="94">
        <f t="shared" si="149"/>
        <v>2.7263999999999999E-3</v>
      </c>
      <c r="T753" s="94">
        <f t="shared" si="150"/>
        <v>2.9990399999999997E-2</v>
      </c>
      <c r="U753" s="93">
        <f t="shared" si="153"/>
        <v>2.9990399999999997E-3</v>
      </c>
      <c r="V753" s="93">
        <f t="shared" si="154"/>
        <v>2.9990399999999998E-4</v>
      </c>
      <c r="W753" s="93">
        <f t="shared" si="155"/>
        <v>2.9990399999999998E-4</v>
      </c>
      <c r="X753" s="93">
        <f t="shared" si="151"/>
        <v>3.3589247999999988E-2</v>
      </c>
      <c r="Y753" s="121"/>
    </row>
    <row r="754" spans="1:25">
      <c r="A754" s="95" t="s">
        <v>1549</v>
      </c>
      <c r="B754" s="95" t="s">
        <v>1574</v>
      </c>
      <c r="C754" s="95" t="s">
        <v>1427</v>
      </c>
      <c r="D754" s="96" t="s">
        <v>1557</v>
      </c>
      <c r="E754" s="95" t="s">
        <v>1618</v>
      </c>
      <c r="F754" s="95" t="s">
        <v>1630</v>
      </c>
      <c r="G754" s="95" t="s">
        <v>1589</v>
      </c>
      <c r="H754" s="97" t="str">
        <f>IFERROR(VLOOKUP(I754,'Raw material list'!$A$3:$C$695,3,0),"")</f>
        <v>DRS1-95</v>
      </c>
      <c r="I754" s="97" t="s">
        <v>57</v>
      </c>
      <c r="J754" s="95" t="s">
        <v>161</v>
      </c>
      <c r="K754" s="101" t="str">
        <f>IFERROR(VLOOKUP(I754,'Raw material list'!$A$3:$E$695,5,0),"")</f>
        <v>Ml</v>
      </c>
      <c r="L754" s="95">
        <v>22.72</v>
      </c>
      <c r="M754" s="98">
        <f t="shared" si="152"/>
        <v>22.72</v>
      </c>
      <c r="N754" s="98">
        <v>100</v>
      </c>
      <c r="O754" s="95">
        <v>10</v>
      </c>
      <c r="P754" s="98">
        <f t="shared" si="156"/>
        <v>2.2719999999999998</v>
      </c>
      <c r="Q754" s="99">
        <f>IFERROR(VLOOKUP(I754,'Raw material list'!$A$3:$F$695,6,0),"")</f>
        <v>2.8340000000000001E-2</v>
      </c>
      <c r="R754" s="100">
        <f t="shared" si="148"/>
        <v>6.4388479999999998E-2</v>
      </c>
      <c r="S754" s="94">
        <f t="shared" si="149"/>
        <v>6.4388480000000005E-3</v>
      </c>
      <c r="T754" s="94">
        <f t="shared" si="150"/>
        <v>7.0827327999999995E-2</v>
      </c>
      <c r="U754" s="93">
        <f t="shared" si="153"/>
        <v>7.0827327999999998E-3</v>
      </c>
      <c r="V754" s="93">
        <f t="shared" si="154"/>
        <v>7.0827328000000001E-4</v>
      </c>
      <c r="W754" s="93">
        <f t="shared" si="155"/>
        <v>7.0827328000000001E-4</v>
      </c>
      <c r="X754" s="93">
        <f t="shared" si="151"/>
        <v>7.9326607360000009E-2</v>
      </c>
      <c r="Y754" s="121"/>
    </row>
    <row r="755" spans="1:25">
      <c r="A755" s="95" t="s">
        <v>1549</v>
      </c>
      <c r="B755" s="95" t="s">
        <v>1574</v>
      </c>
      <c r="C755" s="95" t="s">
        <v>1427</v>
      </c>
      <c r="D755" s="96" t="s">
        <v>1557</v>
      </c>
      <c r="E755" s="95" t="s">
        <v>1618</v>
      </c>
      <c r="F755" s="95" t="s">
        <v>1630</v>
      </c>
      <c r="G755" s="95" t="s">
        <v>1589</v>
      </c>
      <c r="H755" s="97" t="str">
        <f>IFERROR(VLOOKUP(I755,'Raw material list'!$A$3:$C$695,3,0),"")</f>
        <v>DRS1-1780</v>
      </c>
      <c r="I755" s="97" t="s">
        <v>235</v>
      </c>
      <c r="J755" s="95" t="s">
        <v>111</v>
      </c>
      <c r="K755" s="101" t="str">
        <f>IFERROR(VLOOKUP(I755,'Raw material list'!$A$3:$E$695,5,0),"")</f>
        <v xml:space="preserve">Gram </v>
      </c>
      <c r="L755" s="95">
        <v>9.09</v>
      </c>
      <c r="M755" s="98">
        <f t="shared" si="152"/>
        <v>9.09</v>
      </c>
      <c r="N755" s="98">
        <v>100</v>
      </c>
      <c r="O755" s="95">
        <v>10</v>
      </c>
      <c r="P755" s="98">
        <f t="shared" si="156"/>
        <v>0.90900000000000003</v>
      </c>
      <c r="Q755" s="99">
        <f>IFERROR(VLOOKUP(I755,'Raw material list'!$A$3:$F$695,6,0),"")</f>
        <v>0.04</v>
      </c>
      <c r="R755" s="100">
        <f t="shared" si="148"/>
        <v>3.6360000000000003E-2</v>
      </c>
      <c r="S755" s="94">
        <f t="shared" si="149"/>
        <v>3.6360000000000003E-3</v>
      </c>
      <c r="T755" s="94">
        <f t="shared" si="150"/>
        <v>3.9996000000000004E-2</v>
      </c>
      <c r="U755" s="93">
        <f t="shared" si="153"/>
        <v>3.9996000000000007E-3</v>
      </c>
      <c r="V755" s="93">
        <f t="shared" si="154"/>
        <v>3.9996000000000004E-4</v>
      </c>
      <c r="W755" s="93">
        <f t="shared" si="155"/>
        <v>3.9996000000000004E-4</v>
      </c>
      <c r="X755" s="93">
        <f t="shared" si="151"/>
        <v>4.4795519999999998E-2</v>
      </c>
      <c r="Y755" s="121"/>
    </row>
    <row r="756" spans="1:25">
      <c r="A756" s="95" t="s">
        <v>1549</v>
      </c>
      <c r="B756" s="95" t="s">
        <v>1574</v>
      </c>
      <c r="C756" s="95" t="s">
        <v>1427</v>
      </c>
      <c r="D756" s="96" t="s">
        <v>1557</v>
      </c>
      <c r="E756" s="95" t="s">
        <v>1618</v>
      </c>
      <c r="F756" s="95" t="s">
        <v>1630</v>
      </c>
      <c r="G756" s="95" t="s">
        <v>1589</v>
      </c>
      <c r="H756" s="97" t="str">
        <f>IFERROR(VLOOKUP(I756,'Raw material list'!$A$3:$C$695,3,0),"")</f>
        <v>DRS1-1549</v>
      </c>
      <c r="I756" s="97" t="s">
        <v>252</v>
      </c>
      <c r="J756" s="95" t="s">
        <v>111</v>
      </c>
      <c r="K756" s="101" t="str">
        <f>IFERROR(VLOOKUP(I756,'Raw material list'!$A$3:$E$695,5,0),"")</f>
        <v xml:space="preserve">Gram </v>
      </c>
      <c r="L756" s="95">
        <v>2.27</v>
      </c>
      <c r="M756" s="98">
        <f t="shared" si="152"/>
        <v>2.27</v>
      </c>
      <c r="N756" s="98">
        <v>100</v>
      </c>
      <c r="O756" s="95">
        <v>10</v>
      </c>
      <c r="P756" s="98">
        <f t="shared" si="156"/>
        <v>0.22700000000000001</v>
      </c>
      <c r="Q756" s="99">
        <f>IFERROR(VLOOKUP(I756,'Raw material list'!$A$3:$F$695,6,0),"")</f>
        <v>9.58E-3</v>
      </c>
      <c r="R756" s="100">
        <f t="shared" si="148"/>
        <v>2.1746600000000001E-3</v>
      </c>
      <c r="S756" s="94">
        <f t="shared" si="149"/>
        <v>2.1746600000000004E-4</v>
      </c>
      <c r="T756" s="94">
        <f t="shared" si="150"/>
        <v>2.3921260000000001E-3</v>
      </c>
      <c r="U756" s="93">
        <f t="shared" si="153"/>
        <v>2.3921260000000003E-4</v>
      </c>
      <c r="V756" s="93">
        <f t="shared" si="154"/>
        <v>2.3921260000000001E-5</v>
      </c>
      <c r="W756" s="93">
        <f t="shared" si="155"/>
        <v>2.3921260000000001E-5</v>
      </c>
      <c r="X756" s="93">
        <f t="shared" si="151"/>
        <v>2.6791811200000001E-3</v>
      </c>
      <c r="Y756" s="121"/>
    </row>
    <row r="757" spans="1:25">
      <c r="A757" s="95" t="s">
        <v>1549</v>
      </c>
      <c r="B757" s="95" t="s">
        <v>1574</v>
      </c>
      <c r="C757" s="95" t="s">
        <v>1427</v>
      </c>
      <c r="D757" s="96" t="s">
        <v>1557</v>
      </c>
      <c r="E757" s="95" t="s">
        <v>1618</v>
      </c>
      <c r="F757" s="95" t="s">
        <v>1630</v>
      </c>
      <c r="G757" s="95" t="s">
        <v>1589</v>
      </c>
      <c r="H757" s="97" t="str">
        <f>IFERROR(VLOOKUP(I757,'Raw material list'!$A$3:$C$695,3,0),"")</f>
        <v>PRD1-209</v>
      </c>
      <c r="I757" s="97" t="s">
        <v>26</v>
      </c>
      <c r="J757" s="95" t="s">
        <v>111</v>
      </c>
      <c r="K757" s="101" t="str">
        <f>IFERROR(VLOOKUP(I757,'Raw material list'!$A$3:$E$695,5,0),"")</f>
        <v xml:space="preserve">Gram </v>
      </c>
      <c r="L757" s="95">
        <v>2.27</v>
      </c>
      <c r="M757" s="98">
        <f t="shared" si="152"/>
        <v>5.9736842105263159</v>
      </c>
      <c r="N757" s="98">
        <v>38</v>
      </c>
      <c r="O757" s="95">
        <v>10</v>
      </c>
      <c r="P757" s="98">
        <f t="shared" si="156"/>
        <v>0.22700000000000001</v>
      </c>
      <c r="Q757" s="99">
        <f>IFERROR(VLOOKUP(I757,'Raw material list'!$A$3:$F$695,6,0),"")</f>
        <v>1.0088272383354351E-2</v>
      </c>
      <c r="R757" s="100">
        <f t="shared" si="148"/>
        <v>2.2900378310214378E-3</v>
      </c>
      <c r="S757" s="94">
        <f t="shared" si="149"/>
        <v>2.2900378310214379E-4</v>
      </c>
      <c r="T757" s="94">
        <f t="shared" si="150"/>
        <v>2.5190416141235815E-3</v>
      </c>
      <c r="U757" s="93">
        <f t="shared" si="153"/>
        <v>2.5190416141235815E-4</v>
      </c>
      <c r="V757" s="93">
        <f t="shared" si="154"/>
        <v>2.5190416141235814E-5</v>
      </c>
      <c r="W757" s="93">
        <f t="shared" si="155"/>
        <v>2.5190416141235814E-5</v>
      </c>
      <c r="X757" s="93">
        <f t="shared" si="151"/>
        <v>2.8213266078184109E-3</v>
      </c>
      <c r="Y757" s="121"/>
    </row>
    <row r="758" spans="1:25">
      <c r="A758" s="95" t="s">
        <v>1549</v>
      </c>
      <c r="B758" s="95" t="s">
        <v>1574</v>
      </c>
      <c r="C758" s="95" t="s">
        <v>1427</v>
      </c>
      <c r="D758" s="96" t="s">
        <v>1557</v>
      </c>
      <c r="E758" s="95" t="s">
        <v>1618</v>
      </c>
      <c r="F758" s="95" t="s">
        <v>1630</v>
      </c>
      <c r="G758" s="95" t="s">
        <v>1589</v>
      </c>
      <c r="H758" s="97" t="str">
        <f>IFERROR(VLOOKUP(I758,'Raw material list'!$A$3:$C$695,3,0),"")</f>
        <v>DRS1-3880</v>
      </c>
      <c r="I758" s="97" t="s">
        <v>1398</v>
      </c>
      <c r="J758" s="95" t="s">
        <v>111</v>
      </c>
      <c r="K758" s="101" t="str">
        <f>IFERROR(VLOOKUP(I758,'Raw material list'!$A$3:$E$695,5,0),"")</f>
        <v xml:space="preserve">Gram </v>
      </c>
      <c r="L758" s="95">
        <v>0.45</v>
      </c>
      <c r="M758" s="98">
        <f t="shared" si="152"/>
        <v>0.45000000000000007</v>
      </c>
      <c r="N758" s="98">
        <v>100</v>
      </c>
      <c r="O758" s="95">
        <v>10</v>
      </c>
      <c r="P758" s="98">
        <f t="shared" si="156"/>
        <v>4.4999999999999998E-2</v>
      </c>
      <c r="Q758" s="99">
        <f>IFERROR(VLOOKUP(I758,'Raw material list'!$A$3:$F$695,6,0),"")</f>
        <v>5.0000000000000001E-4</v>
      </c>
      <c r="R758" s="100">
        <f t="shared" si="148"/>
        <v>2.2499999999999998E-5</v>
      </c>
      <c r="S758" s="94">
        <f t="shared" si="149"/>
        <v>2.2500000000000001E-6</v>
      </c>
      <c r="T758" s="94">
        <f t="shared" si="150"/>
        <v>2.4749999999999999E-5</v>
      </c>
      <c r="U758" s="93">
        <f t="shared" si="153"/>
        <v>2.475E-6</v>
      </c>
      <c r="V758" s="93">
        <f t="shared" si="154"/>
        <v>2.4750000000000001E-7</v>
      </c>
      <c r="W758" s="93">
        <f t="shared" si="155"/>
        <v>2.4750000000000001E-7</v>
      </c>
      <c r="X758" s="93">
        <f t="shared" si="151"/>
        <v>2.7719999999999999E-5</v>
      </c>
      <c r="Y758" s="121"/>
    </row>
    <row r="759" spans="1:25">
      <c r="A759" s="95" t="s">
        <v>1549</v>
      </c>
      <c r="B759" s="95" t="s">
        <v>1574</v>
      </c>
      <c r="C759" s="95" t="s">
        <v>1427</v>
      </c>
      <c r="D759" s="96" t="s">
        <v>1557</v>
      </c>
      <c r="E759" s="95" t="s">
        <v>1618</v>
      </c>
      <c r="F759" s="95" t="s">
        <v>1630</v>
      </c>
      <c r="G759" s="95" t="s">
        <v>1589</v>
      </c>
      <c r="H759" s="97" t="str">
        <f>IFERROR(VLOOKUP(I759,'Raw material list'!$A$3:$C$695,3,0),"")</f>
        <v>DRS6-537</v>
      </c>
      <c r="I759" s="97" t="s">
        <v>25</v>
      </c>
      <c r="J759" s="95" t="s">
        <v>111</v>
      </c>
      <c r="K759" s="101" t="str">
        <f>IFERROR(VLOOKUP(I759,'Raw material list'!$A$3:$E$695,5,0),"")</f>
        <v xml:space="preserve">Gram </v>
      </c>
      <c r="L759" s="95">
        <v>0.45</v>
      </c>
      <c r="M759" s="98">
        <f t="shared" si="152"/>
        <v>0.45000000000000007</v>
      </c>
      <c r="N759" s="98">
        <v>100</v>
      </c>
      <c r="O759" s="95">
        <v>10</v>
      </c>
      <c r="P759" s="98">
        <f t="shared" si="156"/>
        <v>4.4999999999999998E-2</v>
      </c>
      <c r="Q759" s="99">
        <f>IFERROR(VLOOKUP(I759,'Raw material list'!$A$3:$F$695,6,0),"")</f>
        <v>3.5000000000000003E-2</v>
      </c>
      <c r="R759" s="100">
        <f t="shared" si="148"/>
        <v>1.575E-3</v>
      </c>
      <c r="S759" s="94">
        <f t="shared" si="149"/>
        <v>1.5750000000000001E-4</v>
      </c>
      <c r="T759" s="94">
        <f t="shared" si="150"/>
        <v>1.7325000000000001E-3</v>
      </c>
      <c r="U759" s="93">
        <f t="shared" si="153"/>
        <v>1.7325000000000001E-4</v>
      </c>
      <c r="V759" s="93">
        <f t="shared" si="154"/>
        <v>1.7325000000000001E-5</v>
      </c>
      <c r="W759" s="93">
        <f t="shared" si="155"/>
        <v>1.7325000000000001E-5</v>
      </c>
      <c r="X759" s="93">
        <f t="shared" si="151"/>
        <v>1.9404000000000001E-3</v>
      </c>
      <c r="Y759" s="121"/>
    </row>
    <row r="760" spans="1:25">
      <c r="A760" s="95" t="s">
        <v>1559</v>
      </c>
      <c r="B760" s="95" t="s">
        <v>1574</v>
      </c>
      <c r="C760" s="95" t="s">
        <v>1427</v>
      </c>
      <c r="D760" s="96" t="s">
        <v>1590</v>
      </c>
      <c r="E760" s="95" t="s">
        <v>1618</v>
      </c>
      <c r="F760" s="95" t="s">
        <v>1630</v>
      </c>
      <c r="G760" s="95"/>
      <c r="H760" s="97" t="str">
        <f>IFERROR(VLOOKUP(I760,'Raw material list'!$A$3:$C$695,3,0),"")</f>
        <v>PRD1-196</v>
      </c>
      <c r="I760" s="97" t="s">
        <v>994</v>
      </c>
      <c r="J760" s="95" t="s">
        <v>111</v>
      </c>
      <c r="K760" s="101" t="str">
        <f>IFERROR(VLOOKUP(I760,'Raw material list'!$A$3:$E$695,5,0),"")</f>
        <v xml:space="preserve">Gram </v>
      </c>
      <c r="L760" s="95">
        <v>220</v>
      </c>
      <c r="M760" s="98">
        <f t="shared" si="152"/>
        <v>260.56060007895775</v>
      </c>
      <c r="N760" s="98">
        <v>84.433333333333337</v>
      </c>
      <c r="O760" s="95">
        <v>10</v>
      </c>
      <c r="P760" s="98">
        <f t="shared" si="156"/>
        <v>22</v>
      </c>
      <c r="Q760" s="99">
        <f>IFERROR(VLOOKUP(I760,'Raw material list'!$A$3:$F$695,6,0),"")</f>
        <v>4.1469194312796203E-3</v>
      </c>
      <c r="R760" s="100">
        <f t="shared" si="148"/>
        <v>9.1232227488151643E-2</v>
      </c>
      <c r="S760" s="94">
        <f t="shared" si="149"/>
        <v>9.1232227488151647E-3</v>
      </c>
      <c r="T760" s="94">
        <f t="shared" si="150"/>
        <v>0.10035545023696681</v>
      </c>
      <c r="U760" s="93">
        <f t="shared" si="153"/>
        <v>1.0035545023696682E-2</v>
      </c>
      <c r="V760" s="93">
        <f t="shared" si="154"/>
        <v>1.003554502369668E-3</v>
      </c>
      <c r="W760" s="93">
        <f t="shared" si="155"/>
        <v>1.003554502369668E-3</v>
      </c>
      <c r="X760" s="93">
        <f t="shared" si="151"/>
        <v>0.11239810426540281</v>
      </c>
      <c r="Y760" s="121"/>
    </row>
    <row r="761" spans="1:25">
      <c r="A761" s="95" t="s">
        <v>1559</v>
      </c>
      <c r="B761" s="95" t="s">
        <v>1574</v>
      </c>
      <c r="C761" s="95" t="s">
        <v>1427</v>
      </c>
      <c r="D761" s="96" t="s">
        <v>1590</v>
      </c>
      <c r="E761" s="95" t="s">
        <v>1618</v>
      </c>
      <c r="F761" s="95" t="s">
        <v>1630</v>
      </c>
      <c r="G761" s="95"/>
      <c r="H761" s="97" t="str">
        <f>IFERROR(VLOOKUP(I761,'Raw material list'!$A$3:$C$695,3,0),"")</f>
        <v>PRD1-1447</v>
      </c>
      <c r="I761" s="97" t="s">
        <v>1412</v>
      </c>
      <c r="J761" s="95" t="s">
        <v>111</v>
      </c>
      <c r="K761" s="101" t="str">
        <f>IFERROR(VLOOKUP(I761,'Raw material list'!$A$3:$E$695,5,0),"")</f>
        <v xml:space="preserve">Gram </v>
      </c>
      <c r="L761" s="95">
        <v>350</v>
      </c>
      <c r="M761" s="98">
        <f t="shared" si="152"/>
        <v>472.97297297297297</v>
      </c>
      <c r="N761" s="98">
        <v>74</v>
      </c>
      <c r="O761" s="95">
        <v>10</v>
      </c>
      <c r="P761" s="98">
        <f t="shared" si="156"/>
        <v>35</v>
      </c>
      <c r="Q761" s="99">
        <f>IFERROR(VLOOKUP(I761,'Raw material list'!$A$3:$F$695,6,0),"")</f>
        <v>1.2999999999999999E-2</v>
      </c>
      <c r="R761" s="100">
        <f t="shared" si="148"/>
        <v>0.45499999999999996</v>
      </c>
      <c r="S761" s="94">
        <f t="shared" si="149"/>
        <v>4.5499999999999999E-2</v>
      </c>
      <c r="T761" s="94">
        <f t="shared" si="150"/>
        <v>0.50049999999999994</v>
      </c>
      <c r="U761" s="93">
        <f t="shared" si="153"/>
        <v>5.0049999999999997E-2</v>
      </c>
      <c r="V761" s="93">
        <f t="shared" si="154"/>
        <v>5.0049999999999999E-3</v>
      </c>
      <c r="W761" s="93">
        <f t="shared" si="155"/>
        <v>5.0049999999999999E-3</v>
      </c>
      <c r="X761" s="93">
        <f t="shared" si="151"/>
        <v>0.56056000000000006</v>
      </c>
      <c r="Y761" s="121"/>
    </row>
    <row r="762" spans="1:25">
      <c r="A762" s="95" t="s">
        <v>1559</v>
      </c>
      <c r="B762" s="95" t="s">
        <v>1574</v>
      </c>
      <c r="C762" s="95" t="s">
        <v>1427</v>
      </c>
      <c r="D762" s="96" t="s">
        <v>1590</v>
      </c>
      <c r="E762" s="95" t="s">
        <v>1618</v>
      </c>
      <c r="F762" s="95" t="s">
        <v>1630</v>
      </c>
      <c r="G762" s="95"/>
      <c r="H762" s="97" t="str">
        <f>IFERROR(VLOOKUP(I762,'Raw material list'!$A$3:$C$695,3,0),"")</f>
        <v>PRD1-572</v>
      </c>
      <c r="I762" s="97" t="s">
        <v>20</v>
      </c>
      <c r="J762" s="95" t="s">
        <v>111</v>
      </c>
      <c r="K762" s="101" t="str">
        <f>IFERROR(VLOOKUP(I762,'Raw material list'!$A$3:$E$695,5,0),"")</f>
        <v xml:space="preserve">Gram </v>
      </c>
      <c r="L762" s="95">
        <v>150</v>
      </c>
      <c r="M762" s="98">
        <f t="shared" si="152"/>
        <v>170.00377786173021</v>
      </c>
      <c r="N762" s="98">
        <v>88.233333333333348</v>
      </c>
      <c r="O762" s="95">
        <v>10</v>
      </c>
      <c r="P762" s="98">
        <f t="shared" si="156"/>
        <v>15</v>
      </c>
      <c r="Q762" s="99">
        <f>IFERROR(VLOOKUP(I762,'Raw material list'!$A$3:$F$695,6,0),"")</f>
        <v>4.5351473922902504E-3</v>
      </c>
      <c r="R762" s="100">
        <f t="shared" si="148"/>
        <v>6.8027210884353762E-2</v>
      </c>
      <c r="S762" s="94">
        <f t="shared" si="149"/>
        <v>6.8027210884353765E-3</v>
      </c>
      <c r="T762" s="94">
        <f t="shared" si="150"/>
        <v>7.4829931972789143E-2</v>
      </c>
      <c r="U762" s="93">
        <f t="shared" si="153"/>
        <v>7.4829931972789148E-3</v>
      </c>
      <c r="V762" s="93">
        <f t="shared" si="154"/>
        <v>7.4829931972789142E-4</v>
      </c>
      <c r="W762" s="93">
        <f t="shared" si="155"/>
        <v>7.4829931972789142E-4</v>
      </c>
      <c r="X762" s="93">
        <f t="shared" si="151"/>
        <v>8.3809523809523834E-2</v>
      </c>
      <c r="Y762" s="121"/>
    </row>
    <row r="763" spans="1:25">
      <c r="A763" s="95" t="s">
        <v>1559</v>
      </c>
      <c r="B763" s="95" t="s">
        <v>1574</v>
      </c>
      <c r="C763" s="95" t="s">
        <v>1427</v>
      </c>
      <c r="D763" s="96" t="s">
        <v>1590</v>
      </c>
      <c r="E763" s="95" t="s">
        <v>1618</v>
      </c>
      <c r="F763" s="95" t="s">
        <v>1630</v>
      </c>
      <c r="G763" s="95" t="s">
        <v>1692</v>
      </c>
      <c r="H763" s="97" t="str">
        <f>IFERROR(VLOOKUP(I763,'Raw material list'!$A$3:$C$695,3,0),"")</f>
        <v>DRS1-1652</v>
      </c>
      <c r="I763" s="97" t="s">
        <v>1425</v>
      </c>
      <c r="J763" s="95" t="s">
        <v>111</v>
      </c>
      <c r="K763" s="101" t="str">
        <f>IFERROR(VLOOKUP(I763,'Raw material list'!$A$3:$E$695,5,0),"")</f>
        <v xml:space="preserve">Gram </v>
      </c>
      <c r="L763" s="95">
        <v>33.82</v>
      </c>
      <c r="M763" s="98">
        <f t="shared" si="152"/>
        <v>33.82</v>
      </c>
      <c r="N763" s="98">
        <v>100</v>
      </c>
      <c r="O763" s="95">
        <v>10</v>
      </c>
      <c r="P763" s="98">
        <f t="shared" si="156"/>
        <v>3.3820000000000001</v>
      </c>
      <c r="Q763" s="99">
        <f>IFERROR(VLOOKUP(I763,'Raw material list'!$A$3:$F$695,6,0),"")</f>
        <v>1.2800000000000001E-2</v>
      </c>
      <c r="R763" s="100">
        <f t="shared" si="148"/>
        <v>4.3289600000000004E-2</v>
      </c>
      <c r="S763" s="94">
        <f t="shared" si="149"/>
        <v>4.3289600000000006E-3</v>
      </c>
      <c r="T763" s="94">
        <f t="shared" si="150"/>
        <v>4.7618560000000004E-2</v>
      </c>
      <c r="U763" s="93">
        <f t="shared" si="153"/>
        <v>4.7618560000000009E-3</v>
      </c>
      <c r="V763" s="93">
        <f t="shared" si="154"/>
        <v>4.7618560000000005E-4</v>
      </c>
      <c r="W763" s="93">
        <f t="shared" si="155"/>
        <v>4.7618560000000005E-4</v>
      </c>
      <c r="X763" s="93">
        <f t="shared" si="151"/>
        <v>5.3332787200000002E-2</v>
      </c>
      <c r="Y763" s="121"/>
    </row>
    <row r="764" spans="1:25">
      <c r="A764" s="95" t="s">
        <v>1559</v>
      </c>
      <c r="B764" s="95" t="s">
        <v>1574</v>
      </c>
      <c r="C764" s="95" t="s">
        <v>1427</v>
      </c>
      <c r="D764" s="96" t="s">
        <v>1590</v>
      </c>
      <c r="E764" s="95" t="s">
        <v>1618</v>
      </c>
      <c r="F764" s="95" t="s">
        <v>1630</v>
      </c>
      <c r="G764" s="95" t="s">
        <v>1692</v>
      </c>
      <c r="H764" s="97" t="str">
        <f>IFERROR(VLOOKUP(I764,'Raw material list'!$A$3:$C$695,3,0),"")</f>
        <v>DRY1-1717</v>
      </c>
      <c r="I764" s="97" t="s">
        <v>303</v>
      </c>
      <c r="J764" s="95" t="s">
        <v>111</v>
      </c>
      <c r="K764" s="101" t="str">
        <f>IFERROR(VLOOKUP(I764,'Raw material list'!$A$3:$E$695,5,0),"")</f>
        <v xml:space="preserve">Gram </v>
      </c>
      <c r="L764" s="95">
        <v>16.91</v>
      </c>
      <c r="M764" s="98">
        <f t="shared" si="152"/>
        <v>16.91</v>
      </c>
      <c r="N764" s="98">
        <v>100</v>
      </c>
      <c r="O764" s="95">
        <v>10</v>
      </c>
      <c r="P764" s="98">
        <f t="shared" si="156"/>
        <v>1.6910000000000001</v>
      </c>
      <c r="Q764" s="99">
        <f>IFERROR(VLOOKUP(I764,'Raw material list'!$A$3:$F$695,6,0),"")</f>
        <v>3.6999999999999998E-2</v>
      </c>
      <c r="R764" s="100">
        <f t="shared" ref="R764:R824" si="157">IFERROR(Q764*P764,0)</f>
        <v>6.2566999999999998E-2</v>
      </c>
      <c r="S764" s="94">
        <f t="shared" si="149"/>
        <v>6.2567000000000005E-3</v>
      </c>
      <c r="T764" s="94">
        <f t="shared" si="150"/>
        <v>6.8823700000000002E-2</v>
      </c>
      <c r="U764" s="93">
        <f t="shared" si="153"/>
        <v>6.8823700000000005E-3</v>
      </c>
      <c r="V764" s="93">
        <f t="shared" si="154"/>
        <v>6.8823700000000007E-4</v>
      </c>
      <c r="W764" s="93">
        <f t="shared" si="155"/>
        <v>6.8823700000000007E-4</v>
      </c>
      <c r="X764" s="93">
        <f t="shared" si="151"/>
        <v>7.7082543999999989E-2</v>
      </c>
      <c r="Y764" s="121"/>
    </row>
    <row r="765" spans="1:25">
      <c r="A765" s="95" t="s">
        <v>1559</v>
      </c>
      <c r="B765" s="95" t="s">
        <v>1574</v>
      </c>
      <c r="C765" s="95" t="s">
        <v>1427</v>
      </c>
      <c r="D765" s="96" t="s">
        <v>1590</v>
      </c>
      <c r="E765" s="95" t="s">
        <v>1618</v>
      </c>
      <c r="F765" s="95" t="s">
        <v>1630</v>
      </c>
      <c r="G765" s="95" t="s">
        <v>1692</v>
      </c>
      <c r="H765" s="97" t="str">
        <f>IFERROR(VLOOKUP(I765,'Raw material list'!$A$3:$C$695,3,0),"")</f>
        <v>PRD1-209</v>
      </c>
      <c r="I765" s="97" t="s">
        <v>26</v>
      </c>
      <c r="J765" s="95" t="s">
        <v>111</v>
      </c>
      <c r="K765" s="101" t="str">
        <f>IFERROR(VLOOKUP(I765,'Raw material list'!$A$3:$E$695,5,0),"")</f>
        <v xml:space="preserve">Gram </v>
      </c>
      <c r="L765" s="95">
        <v>0.33</v>
      </c>
      <c r="M765" s="98">
        <f t="shared" si="152"/>
        <v>0.86842105263157887</v>
      </c>
      <c r="N765" s="98">
        <v>38</v>
      </c>
      <c r="O765" s="95">
        <v>10</v>
      </c>
      <c r="P765" s="98">
        <f t="shared" si="156"/>
        <v>3.3000000000000002E-2</v>
      </c>
      <c r="Q765" s="99">
        <f>IFERROR(VLOOKUP(I765,'Raw material list'!$A$3:$F$695,6,0),"")</f>
        <v>1.0088272383354351E-2</v>
      </c>
      <c r="R765" s="100">
        <f t="shared" si="157"/>
        <v>3.3291298865069358E-4</v>
      </c>
      <c r="S765" s="94">
        <f t="shared" si="149"/>
        <v>3.3291298865069361E-5</v>
      </c>
      <c r="T765" s="94">
        <f t="shared" si="150"/>
        <v>3.6620428751576295E-4</v>
      </c>
      <c r="U765" s="93">
        <f t="shared" si="153"/>
        <v>3.6620428751576301E-5</v>
      </c>
      <c r="V765" s="93">
        <f t="shared" si="154"/>
        <v>3.6620428751576295E-6</v>
      </c>
      <c r="W765" s="93">
        <f t="shared" si="155"/>
        <v>3.6620428751576295E-6</v>
      </c>
      <c r="X765" s="93">
        <f t="shared" si="151"/>
        <v>4.1014880201765448E-4</v>
      </c>
      <c r="Y765" s="121"/>
    </row>
    <row r="766" spans="1:25">
      <c r="A766" s="95" t="s">
        <v>1559</v>
      </c>
      <c r="B766" s="95" t="s">
        <v>1574</v>
      </c>
      <c r="C766" s="95" t="s">
        <v>1427</v>
      </c>
      <c r="D766" s="96" t="s">
        <v>1590</v>
      </c>
      <c r="E766" s="95" t="s">
        <v>1618</v>
      </c>
      <c r="F766" s="95" t="s">
        <v>1630</v>
      </c>
      <c r="G766" s="95" t="s">
        <v>1692</v>
      </c>
      <c r="H766" s="97" t="str">
        <f>IFERROR(VLOOKUP(I766,'Raw material list'!$A$3:$C$695,3,0),"")</f>
        <v>DRS6-537</v>
      </c>
      <c r="I766" s="97" t="s">
        <v>25</v>
      </c>
      <c r="J766" s="95" t="s">
        <v>111</v>
      </c>
      <c r="K766" s="101" t="str">
        <f>IFERROR(VLOOKUP(I766,'Raw material list'!$A$3:$E$695,5,0),"")</f>
        <v xml:space="preserve">Gram </v>
      </c>
      <c r="L766" s="95">
        <v>0.13500000000000001</v>
      </c>
      <c r="M766" s="98">
        <f t="shared" si="152"/>
        <v>0.13500000000000001</v>
      </c>
      <c r="N766" s="98">
        <v>100</v>
      </c>
      <c r="O766" s="95">
        <v>10</v>
      </c>
      <c r="P766" s="98">
        <f t="shared" si="156"/>
        <v>1.3500000000000002E-2</v>
      </c>
      <c r="Q766" s="99">
        <f>IFERROR(VLOOKUP(I766,'Raw material list'!$A$3:$F$695,6,0),"")</f>
        <v>3.5000000000000003E-2</v>
      </c>
      <c r="R766" s="100">
        <f t="shared" si="157"/>
        <v>4.725000000000001E-4</v>
      </c>
      <c r="S766" s="94">
        <f t="shared" si="149"/>
        <v>4.725000000000001E-5</v>
      </c>
      <c r="T766" s="94">
        <f t="shared" si="150"/>
        <v>5.1975000000000014E-4</v>
      </c>
      <c r="U766" s="93">
        <f t="shared" si="153"/>
        <v>5.1975000000000017E-5</v>
      </c>
      <c r="V766" s="93">
        <f t="shared" si="154"/>
        <v>5.1975000000000015E-6</v>
      </c>
      <c r="W766" s="93">
        <f t="shared" si="155"/>
        <v>5.1975000000000015E-6</v>
      </c>
      <c r="X766" s="93">
        <f t="shared" si="151"/>
        <v>5.8212000000000021E-4</v>
      </c>
      <c r="Y766" s="121"/>
    </row>
    <row r="767" spans="1:25">
      <c r="A767" s="95" t="s">
        <v>1559</v>
      </c>
      <c r="B767" s="95" t="s">
        <v>1574</v>
      </c>
      <c r="C767" s="95" t="s">
        <v>1427</v>
      </c>
      <c r="D767" s="96" t="s">
        <v>1590</v>
      </c>
      <c r="E767" s="95" t="s">
        <v>1618</v>
      </c>
      <c r="F767" s="95" t="s">
        <v>1630</v>
      </c>
      <c r="G767" s="95" t="s">
        <v>1692</v>
      </c>
      <c r="H767" s="97" t="str">
        <f>IFERROR(VLOOKUP(I767,'Raw material list'!$A$3:$C$695,3,0),"")</f>
        <v>DRS1-114</v>
      </c>
      <c r="I767" s="97" t="s">
        <v>279</v>
      </c>
      <c r="J767" s="95" t="s">
        <v>111</v>
      </c>
      <c r="K767" s="101" t="str">
        <f>IFERROR(VLOOKUP(I767,'Raw material list'!$A$3:$E$695,5,0),"")</f>
        <v xml:space="preserve">Gram </v>
      </c>
      <c r="L767" s="95">
        <v>0.13500000000000001</v>
      </c>
      <c r="M767" s="98">
        <f t="shared" si="152"/>
        <v>0.13500000000000001</v>
      </c>
      <c r="N767" s="98">
        <v>100</v>
      </c>
      <c r="O767" s="95">
        <v>10</v>
      </c>
      <c r="P767" s="98">
        <f t="shared" si="156"/>
        <v>1.3500000000000002E-2</v>
      </c>
      <c r="Q767" s="99">
        <f>IFERROR(VLOOKUP(I767,'Raw material list'!$A$3:$F$695,6,0),"")</f>
        <v>4.7489823609226586E-3</v>
      </c>
      <c r="R767" s="100">
        <f t="shared" si="157"/>
        <v>6.41112618724559E-5</v>
      </c>
      <c r="S767" s="94">
        <f t="shared" si="149"/>
        <v>6.4111261872455901E-6</v>
      </c>
      <c r="T767" s="94">
        <f t="shared" si="150"/>
        <v>7.0522388059701492E-5</v>
      </c>
      <c r="U767" s="93">
        <f t="shared" si="153"/>
        <v>7.0522388059701492E-6</v>
      </c>
      <c r="V767" s="93">
        <f t="shared" si="154"/>
        <v>7.0522388059701492E-7</v>
      </c>
      <c r="W767" s="93">
        <f t="shared" si="155"/>
        <v>7.0522388059701492E-7</v>
      </c>
      <c r="X767" s="93">
        <f t="shared" si="151"/>
        <v>7.8985074626865672E-5</v>
      </c>
      <c r="Y767" s="121"/>
    </row>
    <row r="768" spans="1:25">
      <c r="A768" s="95" t="s">
        <v>1559</v>
      </c>
      <c r="B768" s="95" t="s">
        <v>1574</v>
      </c>
      <c r="C768" s="95" t="s">
        <v>1427</v>
      </c>
      <c r="D768" s="96" t="s">
        <v>1590</v>
      </c>
      <c r="E768" s="95" t="s">
        <v>1618</v>
      </c>
      <c r="F768" s="95" t="s">
        <v>1630</v>
      </c>
      <c r="G768" s="95" t="s">
        <v>1692</v>
      </c>
      <c r="H768" s="97" t="str">
        <f>IFERROR(VLOOKUP(I768,'Raw material list'!$A$3:$C$695,3,0),"")</f>
        <v>WAT-001</v>
      </c>
      <c r="I768" s="97" t="s">
        <v>1406</v>
      </c>
      <c r="J768" s="95" t="s">
        <v>161</v>
      </c>
      <c r="K768" s="101" t="str">
        <f>IFERROR(VLOOKUP(I768,'Raw material list'!$A$3:$E$695,5,0),"")</f>
        <v>Ml</v>
      </c>
      <c r="L768" s="95">
        <v>3.38</v>
      </c>
      <c r="M768" s="98">
        <f t="shared" si="152"/>
        <v>3.38</v>
      </c>
      <c r="N768" s="98">
        <v>100</v>
      </c>
      <c r="O768" s="95">
        <v>10</v>
      </c>
      <c r="P768" s="98">
        <f t="shared" si="156"/>
        <v>0.33799999999999997</v>
      </c>
      <c r="Q768" s="99">
        <f>IFERROR(VLOOKUP(I768,'Raw material list'!$A$3:$F$695,6,0),"")</f>
        <v>8.0000000000000007E-5</v>
      </c>
      <c r="R768" s="100">
        <f t="shared" si="157"/>
        <v>2.7039999999999999E-5</v>
      </c>
      <c r="S768" s="94">
        <f t="shared" ref="S768:S828" si="158">R768*10%</f>
        <v>2.7039999999999999E-6</v>
      </c>
      <c r="T768" s="94">
        <f t="shared" ref="T768:T828" si="159">R768+S768</f>
        <v>2.9743999999999998E-5</v>
      </c>
      <c r="U768" s="93">
        <f t="shared" si="153"/>
        <v>2.9743999999999998E-6</v>
      </c>
      <c r="V768" s="93">
        <f t="shared" si="154"/>
        <v>2.9744E-7</v>
      </c>
      <c r="W768" s="93">
        <f t="shared" si="155"/>
        <v>2.9744E-7</v>
      </c>
      <c r="X768" s="93">
        <f t="shared" si="151"/>
        <v>3.331327999999999E-5</v>
      </c>
      <c r="Y768" s="121"/>
    </row>
    <row r="769" spans="1:27">
      <c r="A769" s="95" t="s">
        <v>1559</v>
      </c>
      <c r="B769" s="95" t="s">
        <v>1574</v>
      </c>
      <c r="C769" s="95" t="s">
        <v>1427</v>
      </c>
      <c r="D769" s="96" t="s">
        <v>1590</v>
      </c>
      <c r="E769" s="95" t="s">
        <v>1618</v>
      </c>
      <c r="F769" s="95" t="s">
        <v>1630</v>
      </c>
      <c r="G769" s="95" t="s">
        <v>1692</v>
      </c>
      <c r="H769" s="97" t="str">
        <f>IFERROR(VLOOKUP(I769,'Raw material list'!$A$3:$C$695,3,0),"")</f>
        <v>DRS1-5273</v>
      </c>
      <c r="I769" s="97" t="s">
        <v>773</v>
      </c>
      <c r="J769" s="95" t="s">
        <v>161</v>
      </c>
      <c r="K769" s="101" t="str">
        <f>IFERROR(VLOOKUP(I769,'Raw material list'!$A$3:$E$695,5,0),"")</f>
        <v>Ml</v>
      </c>
      <c r="L769" s="95">
        <v>0.67</v>
      </c>
      <c r="M769" s="98">
        <f t="shared" si="152"/>
        <v>0.67</v>
      </c>
      <c r="N769" s="98">
        <v>100</v>
      </c>
      <c r="O769" s="95">
        <v>10</v>
      </c>
      <c r="P769" s="98">
        <f t="shared" si="156"/>
        <v>6.7000000000000004E-2</v>
      </c>
      <c r="Q769" s="99">
        <f>IFERROR(VLOOKUP(I769,'Raw material list'!$A$3:$F$695,6,0),"")</f>
        <v>1.8518518518518521E-2</v>
      </c>
      <c r="R769" s="100">
        <f t="shared" si="157"/>
        <v>1.240740740740741E-3</v>
      </c>
      <c r="S769" s="94">
        <f t="shared" si="158"/>
        <v>1.2407407407407411E-4</v>
      </c>
      <c r="T769" s="94">
        <f t="shared" si="159"/>
        <v>1.3648148148148152E-3</v>
      </c>
      <c r="U769" s="93">
        <f t="shared" si="153"/>
        <v>1.3648148148148154E-4</v>
      </c>
      <c r="V769" s="93">
        <f t="shared" si="154"/>
        <v>1.3648148148148153E-5</v>
      </c>
      <c r="W769" s="93">
        <f t="shared" si="155"/>
        <v>1.3648148148148153E-5</v>
      </c>
      <c r="X769" s="93">
        <f t="shared" ref="X769:X829" si="160">T769+U769+V769+W769</f>
        <v>1.5285925925925929E-3</v>
      </c>
      <c r="Y769" s="121"/>
    </row>
    <row r="770" spans="1:27">
      <c r="A770" s="95" t="s">
        <v>1559</v>
      </c>
      <c r="B770" s="95" t="s">
        <v>1574</v>
      </c>
      <c r="C770" s="95" t="s">
        <v>1427</v>
      </c>
      <c r="D770" s="96" t="s">
        <v>1590</v>
      </c>
      <c r="E770" s="95" t="s">
        <v>1618</v>
      </c>
      <c r="F770" s="95" t="s">
        <v>1630</v>
      </c>
      <c r="G770" s="95" t="s">
        <v>1692</v>
      </c>
      <c r="H770" s="97" t="str">
        <f>IFERROR(VLOOKUP(I770,'Raw material list'!$A$3:$C$695,3,0),"")</f>
        <v>DRS1-5269</v>
      </c>
      <c r="I770" s="97" t="s">
        <v>248</v>
      </c>
      <c r="J770" s="95" t="s">
        <v>161</v>
      </c>
      <c r="K770" s="101" t="str">
        <f>IFERROR(VLOOKUP(I770,'Raw material list'!$A$3:$E$695,5,0),"")</f>
        <v>Ml</v>
      </c>
      <c r="L770" s="95">
        <v>0.67</v>
      </c>
      <c r="M770" s="98">
        <f t="shared" si="152"/>
        <v>0.67</v>
      </c>
      <c r="N770" s="98">
        <v>100</v>
      </c>
      <c r="O770" s="95">
        <v>10</v>
      </c>
      <c r="P770" s="98">
        <f t="shared" si="156"/>
        <v>6.7000000000000004E-2</v>
      </c>
      <c r="Q770" s="99">
        <f>IFERROR(VLOOKUP(I770,'Raw material list'!$A$3:$F$695,6,0),"")</f>
        <v>0.1066666666666667</v>
      </c>
      <c r="R770" s="100">
        <f t="shared" si="157"/>
        <v>7.1466666666666692E-3</v>
      </c>
      <c r="S770" s="94">
        <f t="shared" si="158"/>
        <v>7.1466666666666694E-4</v>
      </c>
      <c r="T770" s="94">
        <f t="shared" si="159"/>
        <v>7.8613333333333365E-3</v>
      </c>
      <c r="U770" s="93">
        <f t="shared" si="153"/>
        <v>7.8613333333333365E-4</v>
      </c>
      <c r="V770" s="93">
        <f t="shared" si="154"/>
        <v>7.8613333333333362E-5</v>
      </c>
      <c r="W770" s="93">
        <f t="shared" si="155"/>
        <v>7.8613333333333362E-5</v>
      </c>
      <c r="X770" s="93">
        <f t="shared" si="160"/>
        <v>8.8046933333333355E-3</v>
      </c>
      <c r="Y770" s="121"/>
    </row>
    <row r="771" spans="1:27">
      <c r="A771" s="95" t="s">
        <v>1559</v>
      </c>
      <c r="B771" s="95" t="s">
        <v>1574</v>
      </c>
      <c r="C771" s="95" t="s">
        <v>1427</v>
      </c>
      <c r="D771" s="96" t="s">
        <v>1590</v>
      </c>
      <c r="E771" s="95" t="s">
        <v>1618</v>
      </c>
      <c r="F771" s="95" t="s">
        <v>1630</v>
      </c>
      <c r="G771" s="95" t="s">
        <v>1692</v>
      </c>
      <c r="H771" s="97" t="str">
        <f>IFERROR(VLOOKUP(I771,'Raw material list'!$A$3:$C$695,3,0),"")</f>
        <v>DRY2-1858</v>
      </c>
      <c r="I771" s="97" t="s">
        <v>42</v>
      </c>
      <c r="J771" s="95" t="s">
        <v>161</v>
      </c>
      <c r="K771" s="101" t="str">
        <f>IFERROR(VLOOKUP(I771,'Raw material list'!$A$3:$E$695,5,0),"")</f>
        <v>Ml</v>
      </c>
      <c r="L771" s="95">
        <v>3.38</v>
      </c>
      <c r="M771" s="98">
        <f t="shared" si="152"/>
        <v>3.38</v>
      </c>
      <c r="N771" s="98">
        <v>100</v>
      </c>
      <c r="O771" s="95">
        <v>10</v>
      </c>
      <c r="P771" s="98">
        <f t="shared" si="156"/>
        <v>0.33799999999999997</v>
      </c>
      <c r="Q771" s="99">
        <f>IFERROR(VLOOKUP(I771,'Raw material list'!$A$3:$F$695,6,0),"")</f>
        <v>9.8800000000000016E-3</v>
      </c>
      <c r="R771" s="100">
        <f t="shared" si="157"/>
        <v>3.3394400000000004E-3</v>
      </c>
      <c r="S771" s="94">
        <f t="shared" si="158"/>
        <v>3.3394400000000008E-4</v>
      </c>
      <c r="T771" s="94">
        <f t="shared" si="159"/>
        <v>3.6733840000000005E-3</v>
      </c>
      <c r="U771" s="93">
        <f t="shared" si="153"/>
        <v>3.6733840000000007E-4</v>
      </c>
      <c r="V771" s="93">
        <f t="shared" si="154"/>
        <v>3.6733840000000007E-5</v>
      </c>
      <c r="W771" s="93">
        <f t="shared" si="155"/>
        <v>3.6733840000000007E-5</v>
      </c>
      <c r="X771" s="93">
        <f t="shared" si="160"/>
        <v>4.1141900799999999E-3</v>
      </c>
      <c r="Y771" s="121"/>
    </row>
    <row r="772" spans="1:27">
      <c r="A772" s="95" t="s">
        <v>1559</v>
      </c>
      <c r="B772" s="95" t="s">
        <v>1574</v>
      </c>
      <c r="C772" s="95" t="s">
        <v>1427</v>
      </c>
      <c r="D772" s="96" t="s">
        <v>1590</v>
      </c>
      <c r="E772" s="95" t="s">
        <v>1618</v>
      </c>
      <c r="F772" s="95" t="s">
        <v>1630</v>
      </c>
      <c r="G772" s="95" t="s">
        <v>1692</v>
      </c>
      <c r="H772" s="97" t="str">
        <f>IFERROR(VLOOKUP(I772,'Raw material list'!$A$3:$C$695,3,0),"")</f>
        <v>PRD3-3878</v>
      </c>
      <c r="I772" s="97" t="s">
        <v>945</v>
      </c>
      <c r="J772" s="95" t="s">
        <v>111</v>
      </c>
      <c r="K772" s="101" t="str">
        <f>IFERROR(VLOOKUP(I772,'Raw material list'!$A$3:$E$695,5,0),"")</f>
        <v xml:space="preserve">Gram </v>
      </c>
      <c r="L772" s="95">
        <v>0.54</v>
      </c>
      <c r="M772" s="98">
        <f t="shared" si="152"/>
        <v>0.54</v>
      </c>
      <c r="N772" s="98">
        <v>100</v>
      </c>
      <c r="O772" s="95">
        <v>10</v>
      </c>
      <c r="P772" s="98">
        <f t="shared" si="156"/>
        <v>5.4000000000000006E-2</v>
      </c>
      <c r="Q772" s="99">
        <f>IFERROR(VLOOKUP(I772,'Raw material list'!$A$3:$F$695,6,0),"")</f>
        <v>0.03</v>
      </c>
      <c r="R772" s="100">
        <f t="shared" si="157"/>
        <v>1.6200000000000001E-3</v>
      </c>
      <c r="S772" s="94">
        <f t="shared" si="158"/>
        <v>1.6200000000000003E-4</v>
      </c>
      <c r="T772" s="94">
        <f t="shared" si="159"/>
        <v>1.7820000000000002E-3</v>
      </c>
      <c r="U772" s="93">
        <f t="shared" si="153"/>
        <v>1.7820000000000002E-4</v>
      </c>
      <c r="V772" s="93">
        <f t="shared" si="154"/>
        <v>1.7820000000000002E-5</v>
      </c>
      <c r="W772" s="93">
        <f t="shared" si="155"/>
        <v>1.7820000000000002E-5</v>
      </c>
      <c r="X772" s="93">
        <f t="shared" si="160"/>
        <v>1.99584E-3</v>
      </c>
      <c r="Y772" s="121"/>
    </row>
    <row r="773" spans="1:27">
      <c r="A773" s="95" t="s">
        <v>1559</v>
      </c>
      <c r="B773" s="95" t="s">
        <v>1574</v>
      </c>
      <c r="C773" s="95" t="s">
        <v>1427</v>
      </c>
      <c r="D773" s="96" t="s">
        <v>1590</v>
      </c>
      <c r="E773" s="95" t="s">
        <v>1618</v>
      </c>
      <c r="F773" s="95" t="s">
        <v>1630</v>
      </c>
      <c r="G773" s="95" t="s">
        <v>1426</v>
      </c>
      <c r="H773" s="97" t="str">
        <f>IFERROR(VLOOKUP(I773,'Raw material list'!$A$3:$C$695,3,0),"")</f>
        <v>DRY1-602</v>
      </c>
      <c r="I773" s="97" t="s">
        <v>65</v>
      </c>
      <c r="J773" s="95" t="s">
        <v>111</v>
      </c>
      <c r="K773" s="101" t="str">
        <f>IFERROR(VLOOKUP(I773,'Raw material list'!$A$3:$E$695,5,0),"")</f>
        <v xml:space="preserve">Gram </v>
      </c>
      <c r="L773" s="95">
        <v>10</v>
      </c>
      <c r="M773" s="98">
        <f t="shared" si="152"/>
        <v>10</v>
      </c>
      <c r="N773" s="98">
        <v>100</v>
      </c>
      <c r="O773" s="95">
        <v>10</v>
      </c>
      <c r="P773" s="98">
        <f t="shared" si="156"/>
        <v>1</v>
      </c>
      <c r="Q773" s="99">
        <f>IFERROR(VLOOKUP(I773,'Raw material list'!$A$3:$F$695,6,0),"")</f>
        <v>5.5E-2</v>
      </c>
      <c r="R773" s="100">
        <f t="shared" si="157"/>
        <v>5.5E-2</v>
      </c>
      <c r="S773" s="94">
        <f t="shared" si="158"/>
        <v>5.5000000000000005E-3</v>
      </c>
      <c r="T773" s="94">
        <f t="shared" si="159"/>
        <v>6.0499999999999998E-2</v>
      </c>
      <c r="U773" s="93">
        <f t="shared" si="153"/>
        <v>6.0499999999999998E-3</v>
      </c>
      <c r="V773" s="93">
        <f t="shared" si="154"/>
        <v>6.0499999999999996E-4</v>
      </c>
      <c r="W773" s="93">
        <f t="shared" si="155"/>
        <v>6.0499999999999996E-4</v>
      </c>
      <c r="X773" s="93">
        <f t="shared" si="160"/>
        <v>6.7759999999999987E-2</v>
      </c>
      <c r="Y773" s="121"/>
    </row>
    <row r="774" spans="1:27">
      <c r="A774" s="95" t="s">
        <v>1560</v>
      </c>
      <c r="B774" s="95" t="s">
        <v>1574</v>
      </c>
      <c r="C774" s="95" t="s">
        <v>1427</v>
      </c>
      <c r="D774" s="96" t="s">
        <v>1439</v>
      </c>
      <c r="E774" s="95" t="s">
        <v>1618</v>
      </c>
      <c r="F774" s="95" t="s">
        <v>1630</v>
      </c>
      <c r="G774" s="95"/>
      <c r="H774" s="97" t="str">
        <f>IFERROR(VLOOKUP(I774,'Raw material list'!$A$3:$C$695,3,0),"")</f>
        <v>PRD1-196</v>
      </c>
      <c r="I774" s="97" t="s">
        <v>994</v>
      </c>
      <c r="J774" s="95" t="s">
        <v>111</v>
      </c>
      <c r="K774" s="101" t="str">
        <f>IFERROR(VLOOKUP(I774,'Raw material list'!$A$3:$E$695,5,0),"")</f>
        <v xml:space="preserve">Gram </v>
      </c>
      <c r="L774" s="95">
        <v>220</v>
      </c>
      <c r="M774" s="98">
        <f t="shared" ref="M774:M837" si="161">L774/N774*100</f>
        <v>260.56060007895775</v>
      </c>
      <c r="N774" s="98">
        <v>84.433333333333337</v>
      </c>
      <c r="O774" s="95">
        <v>10</v>
      </c>
      <c r="P774" s="98">
        <f t="shared" si="156"/>
        <v>22</v>
      </c>
      <c r="Q774" s="99">
        <f>IFERROR(VLOOKUP(I774,'Raw material list'!$A$3:$F$695,6,0),"")</f>
        <v>4.1469194312796203E-3</v>
      </c>
      <c r="R774" s="100">
        <f t="shared" si="157"/>
        <v>9.1232227488151643E-2</v>
      </c>
      <c r="S774" s="94">
        <f t="shared" si="158"/>
        <v>9.1232227488151647E-3</v>
      </c>
      <c r="T774" s="94">
        <f t="shared" si="159"/>
        <v>0.10035545023696681</v>
      </c>
      <c r="U774" s="93">
        <f t="shared" ref="U774:U837" si="162">T774*10%</f>
        <v>1.0035545023696682E-2</v>
      </c>
      <c r="V774" s="93">
        <f t="shared" ref="V774:V837" si="163">T774*1%</f>
        <v>1.003554502369668E-3</v>
      </c>
      <c r="W774" s="93">
        <f t="shared" ref="W774:W837" si="164">T774*1%</f>
        <v>1.003554502369668E-3</v>
      </c>
      <c r="X774" s="93">
        <f t="shared" si="160"/>
        <v>0.11239810426540281</v>
      </c>
      <c r="Y774" s="121"/>
    </row>
    <row r="775" spans="1:27">
      <c r="A775" s="95" t="s">
        <v>1560</v>
      </c>
      <c r="B775" s="95" t="s">
        <v>1574</v>
      </c>
      <c r="C775" s="95" t="s">
        <v>1427</v>
      </c>
      <c r="D775" s="96" t="s">
        <v>1439</v>
      </c>
      <c r="E775" s="95" t="s">
        <v>1618</v>
      </c>
      <c r="F775" s="95" t="s">
        <v>1630</v>
      </c>
      <c r="G775" s="95"/>
      <c r="H775" s="97" t="str">
        <f>IFERROR(VLOOKUP(I775,'Raw material list'!$A$3:$C$695,3,0),"")</f>
        <v>PRD1-1447</v>
      </c>
      <c r="I775" s="97" t="s">
        <v>1412</v>
      </c>
      <c r="J775" s="95" t="s">
        <v>111</v>
      </c>
      <c r="K775" s="101" t="str">
        <f>IFERROR(VLOOKUP(I775,'Raw material list'!$A$3:$E$695,5,0),"")</f>
        <v xml:space="preserve">Gram </v>
      </c>
      <c r="L775" s="95">
        <v>230</v>
      </c>
      <c r="M775" s="98">
        <f t="shared" si="161"/>
        <v>310.81081081081078</v>
      </c>
      <c r="N775" s="98">
        <v>74</v>
      </c>
      <c r="O775" s="95">
        <v>10</v>
      </c>
      <c r="P775" s="98">
        <f t="shared" si="156"/>
        <v>23</v>
      </c>
      <c r="Q775" s="99">
        <f>IFERROR(VLOOKUP(I775,'Raw material list'!$A$3:$F$695,6,0),"")</f>
        <v>1.2999999999999999E-2</v>
      </c>
      <c r="R775" s="100">
        <f t="shared" si="157"/>
        <v>0.29899999999999999</v>
      </c>
      <c r="S775" s="94">
        <f t="shared" si="158"/>
        <v>2.9899999999999999E-2</v>
      </c>
      <c r="T775" s="94">
        <f t="shared" si="159"/>
        <v>0.32889999999999997</v>
      </c>
      <c r="U775" s="93">
        <f t="shared" si="162"/>
        <v>3.2889999999999996E-2</v>
      </c>
      <c r="V775" s="93">
        <f t="shared" si="163"/>
        <v>3.2889999999999998E-3</v>
      </c>
      <c r="W775" s="93">
        <f t="shared" si="164"/>
        <v>3.2889999999999998E-3</v>
      </c>
      <c r="X775" s="93">
        <f t="shared" si="160"/>
        <v>0.36836799999999992</v>
      </c>
      <c r="Y775" s="121"/>
    </row>
    <row r="776" spans="1:27">
      <c r="A776" s="95" t="s">
        <v>1560</v>
      </c>
      <c r="B776" s="95" t="s">
        <v>1574</v>
      </c>
      <c r="C776" s="95" t="s">
        <v>1427</v>
      </c>
      <c r="D776" s="96" t="s">
        <v>1439</v>
      </c>
      <c r="E776" s="95" t="s">
        <v>1618</v>
      </c>
      <c r="F776" s="95" t="s">
        <v>1630</v>
      </c>
      <c r="G776" s="95"/>
      <c r="H776" s="97" t="str">
        <f>IFERROR(VLOOKUP(I776,'Raw material list'!$A$3:$C$695,3,0),"")</f>
        <v>PRD1-572</v>
      </c>
      <c r="I776" s="97" t="s">
        <v>20</v>
      </c>
      <c r="J776" s="95" t="s">
        <v>111</v>
      </c>
      <c r="K776" s="101" t="str">
        <f>IFERROR(VLOOKUP(I776,'Raw material list'!$A$3:$E$695,5,0),"")</f>
        <v xml:space="preserve">Gram </v>
      </c>
      <c r="L776" s="95">
        <v>100</v>
      </c>
      <c r="M776" s="98">
        <f t="shared" si="161"/>
        <v>113.33585190782016</v>
      </c>
      <c r="N776" s="98">
        <v>88.233333333333348</v>
      </c>
      <c r="O776" s="95">
        <v>10</v>
      </c>
      <c r="P776" s="98">
        <f t="shared" si="156"/>
        <v>10</v>
      </c>
      <c r="Q776" s="99">
        <f>IFERROR(VLOOKUP(I776,'Raw material list'!$A$3:$F$695,6,0),"")</f>
        <v>4.5351473922902504E-3</v>
      </c>
      <c r="R776" s="100">
        <f t="shared" si="157"/>
        <v>4.5351473922902508E-2</v>
      </c>
      <c r="S776" s="94">
        <f t="shared" si="158"/>
        <v>4.5351473922902513E-3</v>
      </c>
      <c r="T776" s="94">
        <f t="shared" si="159"/>
        <v>4.988662131519276E-2</v>
      </c>
      <c r="U776" s="93">
        <f t="shared" si="162"/>
        <v>4.988662131519276E-3</v>
      </c>
      <c r="V776" s="93">
        <f t="shared" si="163"/>
        <v>4.9886621315192758E-4</v>
      </c>
      <c r="W776" s="93">
        <f t="shared" si="164"/>
        <v>4.9886621315192758E-4</v>
      </c>
      <c r="X776" s="93">
        <f t="shared" si="160"/>
        <v>5.5873015873015894E-2</v>
      </c>
      <c r="Y776" s="121"/>
    </row>
    <row r="777" spans="1:27">
      <c r="A777" s="95" t="s">
        <v>1560</v>
      </c>
      <c r="B777" s="95" t="s">
        <v>1574</v>
      </c>
      <c r="C777" s="95" t="s">
        <v>1427</v>
      </c>
      <c r="D777" s="96" t="s">
        <v>1439</v>
      </c>
      <c r="E777" s="95" t="s">
        <v>1618</v>
      </c>
      <c r="F777" s="95" t="s">
        <v>1671</v>
      </c>
      <c r="G777" s="95" t="s">
        <v>1591</v>
      </c>
      <c r="H777" s="97" t="str">
        <f>IFERROR(VLOOKUP(I777,'Raw material list'!$A$3:$C$695,3,0),"")</f>
        <v>PLT2-3278</v>
      </c>
      <c r="I777" s="97" t="s">
        <v>61</v>
      </c>
      <c r="J777" s="95" t="s">
        <v>111</v>
      </c>
      <c r="K777" s="101" t="str">
        <f>IFERROR(VLOOKUP(I777,'Raw material list'!$A$3:$E$695,5,0),"")</f>
        <v xml:space="preserve">Gram </v>
      </c>
      <c r="L777" s="95">
        <v>100</v>
      </c>
      <c r="M777" s="98">
        <f t="shared" si="161"/>
        <v>131.23359580052494</v>
      </c>
      <c r="N777" s="98">
        <v>76.2</v>
      </c>
      <c r="O777" s="95">
        <v>10</v>
      </c>
      <c r="P777" s="98">
        <f t="shared" si="156"/>
        <v>10</v>
      </c>
      <c r="Q777" s="99">
        <f>IFERROR(VLOOKUP(I777,'Raw material list'!$A$3:$F$695,6,0),"")</f>
        <v>3.035714285714285E-2</v>
      </c>
      <c r="R777" s="100">
        <f t="shared" si="157"/>
        <v>0.30357142857142849</v>
      </c>
      <c r="S777" s="94">
        <f t="shared" si="158"/>
        <v>3.035714285714285E-2</v>
      </c>
      <c r="T777" s="94">
        <f t="shared" si="159"/>
        <v>0.33392857142857135</v>
      </c>
      <c r="U777" s="93">
        <f t="shared" si="162"/>
        <v>3.3392857142857134E-2</v>
      </c>
      <c r="V777" s="93">
        <f t="shared" si="163"/>
        <v>3.3392857142857135E-3</v>
      </c>
      <c r="W777" s="93">
        <f t="shared" si="164"/>
        <v>3.3392857142857135E-3</v>
      </c>
      <c r="X777" s="93">
        <f t="shared" si="160"/>
        <v>0.37399999999999989</v>
      </c>
      <c r="Y777" s="129" t="s">
        <v>1676</v>
      </c>
      <c r="Z777" s="125"/>
      <c r="AA777" s="125"/>
    </row>
    <row r="778" spans="1:27">
      <c r="A778" s="95" t="s">
        <v>1560</v>
      </c>
      <c r="B778" s="95" t="s">
        <v>1574</v>
      </c>
      <c r="C778" s="95" t="s">
        <v>1427</v>
      </c>
      <c r="D778" s="96" t="s">
        <v>1439</v>
      </c>
      <c r="E778" s="95" t="s">
        <v>1618</v>
      </c>
      <c r="F778" s="95" t="s">
        <v>1630</v>
      </c>
      <c r="G778" s="95" t="s">
        <v>1591</v>
      </c>
      <c r="H778" s="97" t="str">
        <f>IFERROR(VLOOKUP(I778,'Raw material list'!$A$3:$C$695,3,0),"")</f>
        <v>DRS6-1727</v>
      </c>
      <c r="I778" s="97" t="s">
        <v>41</v>
      </c>
      <c r="J778" s="95" t="s">
        <v>111</v>
      </c>
      <c r="K778" s="101" t="str">
        <f>IFERROR(VLOOKUP(I778,'Raw material list'!$A$3:$E$695,5,0),"")</f>
        <v xml:space="preserve">Gram </v>
      </c>
      <c r="L778" s="95">
        <v>1</v>
      </c>
      <c r="M778" s="98">
        <f t="shared" si="161"/>
        <v>1</v>
      </c>
      <c r="N778" s="98">
        <v>100</v>
      </c>
      <c r="O778" s="95">
        <v>10</v>
      </c>
      <c r="P778" s="98">
        <f t="shared" si="156"/>
        <v>0.1</v>
      </c>
      <c r="Q778" s="99">
        <f>IFERROR(VLOOKUP(I778,'Raw material list'!$A$3:$F$695,6,0),"")</f>
        <v>2.5000000000000001E-2</v>
      </c>
      <c r="R778" s="100">
        <f t="shared" si="157"/>
        <v>2.5000000000000005E-3</v>
      </c>
      <c r="S778" s="94">
        <f t="shared" si="158"/>
        <v>2.5000000000000006E-4</v>
      </c>
      <c r="T778" s="94">
        <f t="shared" si="159"/>
        <v>2.7500000000000007E-3</v>
      </c>
      <c r="U778" s="93">
        <f t="shared" si="162"/>
        <v>2.7500000000000007E-4</v>
      </c>
      <c r="V778" s="93">
        <f t="shared" si="163"/>
        <v>2.7500000000000008E-5</v>
      </c>
      <c r="W778" s="93">
        <f t="shared" si="164"/>
        <v>2.7500000000000008E-5</v>
      </c>
      <c r="X778" s="93">
        <f t="shared" si="160"/>
        <v>3.0800000000000011E-3</v>
      </c>
      <c r="Y778" s="121"/>
    </row>
    <row r="779" spans="1:27">
      <c r="A779" s="95" t="s">
        <v>1560</v>
      </c>
      <c r="B779" s="95" t="s">
        <v>1574</v>
      </c>
      <c r="C779" s="95" t="s">
        <v>1427</v>
      </c>
      <c r="D779" s="96" t="s">
        <v>1439</v>
      </c>
      <c r="E779" s="95" t="s">
        <v>1618</v>
      </c>
      <c r="F779" s="95" t="s">
        <v>1630</v>
      </c>
      <c r="G779" s="95" t="s">
        <v>1591</v>
      </c>
      <c r="H779" s="97" t="str">
        <f>IFERROR(VLOOKUP(I779,'Raw material list'!$A$3:$C$695,3,0),"")</f>
        <v>DRS6-5088</v>
      </c>
      <c r="I779" s="97" t="s">
        <v>668</v>
      </c>
      <c r="J779" s="95" t="s">
        <v>111</v>
      </c>
      <c r="K779" s="101" t="str">
        <f>IFERROR(VLOOKUP(I779,'Raw material list'!$A$3:$E$695,5,0),"")</f>
        <v xml:space="preserve">Gram </v>
      </c>
      <c r="L779" s="95">
        <v>1</v>
      </c>
      <c r="M779" s="98">
        <f t="shared" si="161"/>
        <v>1</v>
      </c>
      <c r="N779" s="98">
        <v>100</v>
      </c>
      <c r="O779" s="95">
        <v>10</v>
      </c>
      <c r="P779" s="98">
        <f t="shared" si="156"/>
        <v>0.1</v>
      </c>
      <c r="Q779" s="99">
        <f>IFERROR(VLOOKUP(I779,'Raw material list'!$A$3:$F$695,6,0),"")</f>
        <v>0.08</v>
      </c>
      <c r="R779" s="100">
        <f t="shared" si="157"/>
        <v>8.0000000000000002E-3</v>
      </c>
      <c r="S779" s="94">
        <f t="shared" si="158"/>
        <v>8.0000000000000004E-4</v>
      </c>
      <c r="T779" s="94">
        <f t="shared" si="159"/>
        <v>8.8000000000000005E-3</v>
      </c>
      <c r="U779" s="93">
        <f t="shared" si="162"/>
        <v>8.8000000000000014E-4</v>
      </c>
      <c r="V779" s="93">
        <f t="shared" si="163"/>
        <v>8.8000000000000011E-5</v>
      </c>
      <c r="W779" s="93">
        <f t="shared" si="164"/>
        <v>8.8000000000000011E-5</v>
      </c>
      <c r="X779" s="93">
        <f t="shared" si="160"/>
        <v>9.8560000000000002E-3</v>
      </c>
      <c r="Y779" s="121"/>
    </row>
    <row r="780" spans="1:27">
      <c r="A780" s="95" t="s">
        <v>1560</v>
      </c>
      <c r="B780" s="95" t="s">
        <v>1574</v>
      </c>
      <c r="C780" s="95" t="s">
        <v>1427</v>
      </c>
      <c r="D780" s="96" t="s">
        <v>1439</v>
      </c>
      <c r="E780" s="95" t="s">
        <v>1618</v>
      </c>
      <c r="F780" s="95" t="s">
        <v>1630</v>
      </c>
      <c r="G780" s="95" t="s">
        <v>1591</v>
      </c>
      <c r="H780" s="97" t="str">
        <f>IFERROR(VLOOKUP(I780,'Raw material list'!$A$3:$C$695,3,0),"")</f>
        <v>DRS6-5376</v>
      </c>
      <c r="I780" s="97" t="s">
        <v>55</v>
      </c>
      <c r="J780" s="95" t="s">
        <v>111</v>
      </c>
      <c r="K780" s="101" t="str">
        <f>IFERROR(VLOOKUP(I780,'Raw material list'!$A$3:$E$695,5,0),"")</f>
        <v xml:space="preserve">Gram </v>
      </c>
      <c r="L780" s="95">
        <v>0.25</v>
      </c>
      <c r="M780" s="98">
        <f t="shared" si="161"/>
        <v>0.25</v>
      </c>
      <c r="N780" s="98">
        <v>100</v>
      </c>
      <c r="O780" s="95">
        <v>10</v>
      </c>
      <c r="P780" s="98">
        <f t="shared" si="156"/>
        <v>2.5000000000000001E-2</v>
      </c>
      <c r="Q780" s="99">
        <f>IFERROR(VLOOKUP(I780,'Raw material list'!$A$3:$F$695,6,0),"")</f>
        <v>2.8000000000000001E-2</v>
      </c>
      <c r="R780" s="100">
        <f t="shared" si="157"/>
        <v>7.000000000000001E-4</v>
      </c>
      <c r="S780" s="94">
        <f t="shared" si="158"/>
        <v>7.0000000000000007E-5</v>
      </c>
      <c r="T780" s="94">
        <f t="shared" si="159"/>
        <v>7.7000000000000007E-4</v>
      </c>
      <c r="U780" s="93">
        <f t="shared" si="162"/>
        <v>7.7000000000000015E-5</v>
      </c>
      <c r="V780" s="93">
        <f t="shared" si="163"/>
        <v>7.7000000000000008E-6</v>
      </c>
      <c r="W780" s="93">
        <f t="shared" si="164"/>
        <v>7.7000000000000008E-6</v>
      </c>
      <c r="X780" s="93">
        <f t="shared" si="160"/>
        <v>8.6240000000000015E-4</v>
      </c>
      <c r="Y780" s="121"/>
    </row>
    <row r="781" spans="1:27">
      <c r="A781" s="95" t="s">
        <v>1560</v>
      </c>
      <c r="B781" s="95" t="s">
        <v>1574</v>
      </c>
      <c r="C781" s="95" t="s">
        <v>1427</v>
      </c>
      <c r="D781" s="96" t="s">
        <v>1439</v>
      </c>
      <c r="E781" s="95" t="s">
        <v>1618</v>
      </c>
      <c r="F781" s="95" t="s">
        <v>1630</v>
      </c>
      <c r="G781" s="95" t="s">
        <v>1591</v>
      </c>
      <c r="H781" s="97" t="str">
        <f>IFERROR(VLOOKUP(I781,'Raw material list'!$A$3:$C$695,3,0),"")</f>
        <v>WAT-001</v>
      </c>
      <c r="I781" s="97" t="s">
        <v>1406</v>
      </c>
      <c r="J781" s="95" t="s">
        <v>161</v>
      </c>
      <c r="K781" s="101" t="str">
        <f>IFERROR(VLOOKUP(I781,'Raw material list'!$A$3:$E$695,5,0),"")</f>
        <v>Ml</v>
      </c>
      <c r="L781" s="95">
        <v>10</v>
      </c>
      <c r="M781" s="98">
        <f t="shared" si="161"/>
        <v>10</v>
      </c>
      <c r="N781" s="98">
        <v>100</v>
      </c>
      <c r="O781" s="95">
        <v>10</v>
      </c>
      <c r="P781" s="98">
        <f t="shared" si="156"/>
        <v>1</v>
      </c>
      <c r="Q781" s="99">
        <f>IFERROR(VLOOKUP(I781,'Raw material list'!$A$3:$F$695,6,0),"")</f>
        <v>8.0000000000000007E-5</v>
      </c>
      <c r="R781" s="100">
        <f t="shared" si="157"/>
        <v>8.0000000000000007E-5</v>
      </c>
      <c r="S781" s="94">
        <f t="shared" si="158"/>
        <v>8.0000000000000013E-6</v>
      </c>
      <c r="T781" s="94">
        <f t="shared" si="159"/>
        <v>8.8000000000000011E-5</v>
      </c>
      <c r="U781" s="93">
        <f t="shared" si="162"/>
        <v>8.8000000000000021E-6</v>
      </c>
      <c r="V781" s="93">
        <f t="shared" si="163"/>
        <v>8.8000000000000015E-7</v>
      </c>
      <c r="W781" s="93">
        <f t="shared" si="164"/>
        <v>8.8000000000000015E-7</v>
      </c>
      <c r="X781" s="93">
        <f t="shared" si="160"/>
        <v>9.8560000000000019E-5</v>
      </c>
      <c r="Y781" s="121"/>
    </row>
    <row r="782" spans="1:27">
      <c r="A782" s="95" t="s">
        <v>1560</v>
      </c>
      <c r="B782" s="95" t="s">
        <v>1574</v>
      </c>
      <c r="C782" s="95" t="s">
        <v>1427</v>
      </c>
      <c r="D782" s="96" t="s">
        <v>1439</v>
      </c>
      <c r="E782" s="95" t="s">
        <v>1618</v>
      </c>
      <c r="F782" s="95" t="s">
        <v>1630</v>
      </c>
      <c r="G782" s="95" t="s">
        <v>1426</v>
      </c>
      <c r="H782" s="97" t="str">
        <f>IFERROR(VLOOKUP(I782,'Raw material list'!$A$3:$C$695,3,0),"")</f>
        <v>DRY1-602</v>
      </c>
      <c r="I782" s="97" t="s">
        <v>65</v>
      </c>
      <c r="J782" s="95" t="s">
        <v>111</v>
      </c>
      <c r="K782" s="101" t="str">
        <f>IFERROR(VLOOKUP(I782,'Raw material list'!$A$3:$E$695,5,0),"")</f>
        <v xml:space="preserve">Gram </v>
      </c>
      <c r="L782" s="95">
        <v>10</v>
      </c>
      <c r="M782" s="98">
        <f t="shared" si="161"/>
        <v>10</v>
      </c>
      <c r="N782" s="98">
        <v>100</v>
      </c>
      <c r="O782" s="95">
        <v>10</v>
      </c>
      <c r="P782" s="98">
        <f t="shared" si="156"/>
        <v>1</v>
      </c>
      <c r="Q782" s="99">
        <f>IFERROR(VLOOKUP(I782,'Raw material list'!$A$3:$F$695,6,0),"")</f>
        <v>5.5E-2</v>
      </c>
      <c r="R782" s="100">
        <f t="shared" si="157"/>
        <v>5.5E-2</v>
      </c>
      <c r="S782" s="94">
        <f t="shared" si="158"/>
        <v>5.5000000000000005E-3</v>
      </c>
      <c r="T782" s="94">
        <f t="shared" si="159"/>
        <v>6.0499999999999998E-2</v>
      </c>
      <c r="U782" s="93">
        <f t="shared" si="162"/>
        <v>6.0499999999999998E-3</v>
      </c>
      <c r="V782" s="93">
        <f t="shared" si="163"/>
        <v>6.0499999999999996E-4</v>
      </c>
      <c r="W782" s="93">
        <f t="shared" si="164"/>
        <v>6.0499999999999996E-4</v>
      </c>
      <c r="X782" s="93">
        <f t="shared" si="160"/>
        <v>6.7759999999999987E-2</v>
      </c>
      <c r="Y782" s="121"/>
    </row>
    <row r="783" spans="1:27">
      <c r="A783" s="95" t="s">
        <v>1560</v>
      </c>
      <c r="B783" s="95" t="s">
        <v>1574</v>
      </c>
      <c r="C783" s="95" t="s">
        <v>1427</v>
      </c>
      <c r="D783" s="96" t="s">
        <v>1439</v>
      </c>
      <c r="E783" s="95" t="s">
        <v>1618</v>
      </c>
      <c r="F783" s="95" t="s">
        <v>1630</v>
      </c>
      <c r="G783" s="95" t="s">
        <v>1693</v>
      </c>
      <c r="H783" s="97" t="str">
        <f>IFERROR(VLOOKUP(I783,'Raw material list'!$A$3:$C$695,3,0),"")</f>
        <v>DRS1-1652</v>
      </c>
      <c r="I783" s="97" t="s">
        <v>1425</v>
      </c>
      <c r="J783" s="95" t="s">
        <v>111</v>
      </c>
      <c r="K783" s="101" t="str">
        <f>IFERROR(VLOOKUP(I783,'Raw material list'!$A$3:$E$695,5,0),"")</f>
        <v xml:space="preserve">Gram </v>
      </c>
      <c r="L783" s="95">
        <v>33.82</v>
      </c>
      <c r="M783" s="98">
        <f t="shared" si="161"/>
        <v>33.82</v>
      </c>
      <c r="N783" s="98">
        <v>100</v>
      </c>
      <c r="O783" s="95">
        <v>10</v>
      </c>
      <c r="P783" s="98">
        <f t="shared" si="156"/>
        <v>3.3820000000000001</v>
      </c>
      <c r="Q783" s="99">
        <f>IFERROR(VLOOKUP(I783,'Raw material list'!$A$3:$F$695,6,0),"")</f>
        <v>1.2800000000000001E-2</v>
      </c>
      <c r="R783" s="100">
        <f t="shared" si="157"/>
        <v>4.3289600000000004E-2</v>
      </c>
      <c r="S783" s="94">
        <f t="shared" si="158"/>
        <v>4.3289600000000006E-3</v>
      </c>
      <c r="T783" s="94">
        <f t="shared" si="159"/>
        <v>4.7618560000000004E-2</v>
      </c>
      <c r="U783" s="93">
        <f t="shared" si="162"/>
        <v>4.7618560000000009E-3</v>
      </c>
      <c r="V783" s="93">
        <f t="shared" si="163"/>
        <v>4.7618560000000005E-4</v>
      </c>
      <c r="W783" s="93">
        <f t="shared" si="164"/>
        <v>4.7618560000000005E-4</v>
      </c>
      <c r="X783" s="93">
        <f t="shared" si="160"/>
        <v>5.3332787200000002E-2</v>
      </c>
      <c r="Y783" s="121"/>
    </row>
    <row r="784" spans="1:27">
      <c r="A784" s="95" t="s">
        <v>1560</v>
      </c>
      <c r="B784" s="95" t="s">
        <v>1574</v>
      </c>
      <c r="C784" s="95" t="s">
        <v>1427</v>
      </c>
      <c r="D784" s="96" t="s">
        <v>1439</v>
      </c>
      <c r="E784" s="95" t="s">
        <v>1618</v>
      </c>
      <c r="F784" s="95" t="s">
        <v>1630</v>
      </c>
      <c r="G784" s="95" t="s">
        <v>1693</v>
      </c>
      <c r="H784" s="97" t="str">
        <f>IFERROR(VLOOKUP(I784,'Raw material list'!$A$3:$C$695,3,0),"")</f>
        <v>DRY1-1717</v>
      </c>
      <c r="I784" s="97" t="s">
        <v>303</v>
      </c>
      <c r="J784" s="95" t="s">
        <v>111</v>
      </c>
      <c r="K784" s="101" t="str">
        <f>IFERROR(VLOOKUP(I784,'Raw material list'!$A$3:$E$695,5,0),"")</f>
        <v xml:space="preserve">Gram </v>
      </c>
      <c r="L784" s="95">
        <v>16.91</v>
      </c>
      <c r="M784" s="98">
        <f t="shared" si="161"/>
        <v>16.91</v>
      </c>
      <c r="N784" s="98">
        <v>100</v>
      </c>
      <c r="O784" s="95">
        <v>10</v>
      </c>
      <c r="P784" s="98">
        <f t="shared" si="156"/>
        <v>1.6910000000000001</v>
      </c>
      <c r="Q784" s="99">
        <f>IFERROR(VLOOKUP(I784,'Raw material list'!$A$3:$F$695,6,0),"")</f>
        <v>3.6999999999999998E-2</v>
      </c>
      <c r="R784" s="100">
        <f t="shared" si="157"/>
        <v>6.2566999999999998E-2</v>
      </c>
      <c r="S784" s="94">
        <f t="shared" si="158"/>
        <v>6.2567000000000005E-3</v>
      </c>
      <c r="T784" s="94">
        <f t="shared" si="159"/>
        <v>6.8823700000000002E-2</v>
      </c>
      <c r="U784" s="93">
        <f t="shared" si="162"/>
        <v>6.8823700000000005E-3</v>
      </c>
      <c r="V784" s="93">
        <f t="shared" si="163"/>
        <v>6.8823700000000007E-4</v>
      </c>
      <c r="W784" s="93">
        <f t="shared" si="164"/>
        <v>6.8823700000000007E-4</v>
      </c>
      <c r="X784" s="93">
        <f t="shared" si="160"/>
        <v>7.7082543999999989E-2</v>
      </c>
      <c r="Y784" s="121"/>
    </row>
    <row r="785" spans="1:25">
      <c r="A785" s="95" t="s">
        <v>1560</v>
      </c>
      <c r="B785" s="95" t="s">
        <v>1574</v>
      </c>
      <c r="C785" s="95" t="s">
        <v>1427</v>
      </c>
      <c r="D785" s="96" t="s">
        <v>1439</v>
      </c>
      <c r="E785" s="95" t="s">
        <v>1618</v>
      </c>
      <c r="F785" s="95" t="s">
        <v>1630</v>
      </c>
      <c r="G785" s="95" t="s">
        <v>1693</v>
      </c>
      <c r="H785" s="97" t="str">
        <f>IFERROR(VLOOKUP(I785,'Raw material list'!$A$3:$C$695,3,0),"")</f>
        <v>PRD1-209</v>
      </c>
      <c r="I785" s="97" t="s">
        <v>26</v>
      </c>
      <c r="J785" s="95" t="s">
        <v>111</v>
      </c>
      <c r="K785" s="101" t="str">
        <f>IFERROR(VLOOKUP(I785,'Raw material list'!$A$3:$E$695,5,0),"")</f>
        <v xml:space="preserve">Gram </v>
      </c>
      <c r="L785" s="95">
        <v>0.33</v>
      </c>
      <c r="M785" s="98">
        <f t="shared" si="161"/>
        <v>0.86842105263157887</v>
      </c>
      <c r="N785" s="98">
        <v>38</v>
      </c>
      <c r="O785" s="95">
        <v>10</v>
      </c>
      <c r="P785" s="98">
        <f t="shared" ref="P785:P838" si="165">IFERROR(L785/O785,0)</f>
        <v>3.3000000000000002E-2</v>
      </c>
      <c r="Q785" s="99">
        <f>IFERROR(VLOOKUP(I785,'Raw material list'!$A$3:$F$695,6,0),"")</f>
        <v>1.0088272383354351E-2</v>
      </c>
      <c r="R785" s="100">
        <f t="shared" si="157"/>
        <v>3.3291298865069358E-4</v>
      </c>
      <c r="S785" s="94">
        <f t="shared" si="158"/>
        <v>3.3291298865069361E-5</v>
      </c>
      <c r="T785" s="94">
        <f t="shared" si="159"/>
        <v>3.6620428751576295E-4</v>
      </c>
      <c r="U785" s="93">
        <f t="shared" si="162"/>
        <v>3.6620428751576301E-5</v>
      </c>
      <c r="V785" s="93">
        <f t="shared" si="163"/>
        <v>3.6620428751576295E-6</v>
      </c>
      <c r="W785" s="93">
        <f t="shared" si="164"/>
        <v>3.6620428751576295E-6</v>
      </c>
      <c r="X785" s="93">
        <f t="shared" si="160"/>
        <v>4.1014880201765448E-4</v>
      </c>
      <c r="Y785" s="121"/>
    </row>
    <row r="786" spans="1:25">
      <c r="A786" s="95" t="s">
        <v>1560</v>
      </c>
      <c r="B786" s="95" t="s">
        <v>1574</v>
      </c>
      <c r="C786" s="95" t="s">
        <v>1427</v>
      </c>
      <c r="D786" s="96" t="s">
        <v>1439</v>
      </c>
      <c r="E786" s="95" t="s">
        <v>1618</v>
      </c>
      <c r="F786" s="95" t="s">
        <v>1630</v>
      </c>
      <c r="G786" s="95" t="s">
        <v>1693</v>
      </c>
      <c r="H786" s="97" t="str">
        <f>IFERROR(VLOOKUP(I786,'Raw material list'!$A$3:$C$695,3,0),"")</f>
        <v>DRS6-537</v>
      </c>
      <c r="I786" s="97" t="s">
        <v>25</v>
      </c>
      <c r="J786" s="95" t="s">
        <v>111</v>
      </c>
      <c r="K786" s="101" t="str">
        <f>IFERROR(VLOOKUP(I786,'Raw material list'!$A$3:$E$695,5,0),"")</f>
        <v xml:space="preserve">Gram </v>
      </c>
      <c r="L786" s="95">
        <v>0.13500000000000001</v>
      </c>
      <c r="M786" s="98">
        <f t="shared" si="161"/>
        <v>0.13500000000000001</v>
      </c>
      <c r="N786" s="98">
        <v>100</v>
      </c>
      <c r="O786" s="95">
        <v>10</v>
      </c>
      <c r="P786" s="98">
        <f t="shared" si="165"/>
        <v>1.3500000000000002E-2</v>
      </c>
      <c r="Q786" s="99">
        <f>IFERROR(VLOOKUP(I786,'Raw material list'!$A$3:$F$695,6,0),"")</f>
        <v>3.5000000000000003E-2</v>
      </c>
      <c r="R786" s="100">
        <f t="shared" si="157"/>
        <v>4.725000000000001E-4</v>
      </c>
      <c r="S786" s="94">
        <f t="shared" si="158"/>
        <v>4.725000000000001E-5</v>
      </c>
      <c r="T786" s="94">
        <f t="shared" si="159"/>
        <v>5.1975000000000014E-4</v>
      </c>
      <c r="U786" s="93">
        <f t="shared" si="162"/>
        <v>5.1975000000000017E-5</v>
      </c>
      <c r="V786" s="93">
        <f t="shared" si="163"/>
        <v>5.1975000000000015E-6</v>
      </c>
      <c r="W786" s="93">
        <f t="shared" si="164"/>
        <v>5.1975000000000015E-6</v>
      </c>
      <c r="X786" s="93">
        <f t="shared" si="160"/>
        <v>5.8212000000000021E-4</v>
      </c>
      <c r="Y786" s="121"/>
    </row>
    <row r="787" spans="1:25">
      <c r="A787" s="95" t="s">
        <v>1560</v>
      </c>
      <c r="B787" s="95" t="s">
        <v>1574</v>
      </c>
      <c r="C787" s="95" t="s">
        <v>1427</v>
      </c>
      <c r="D787" s="96" t="s">
        <v>1439</v>
      </c>
      <c r="E787" s="95" t="s">
        <v>1618</v>
      </c>
      <c r="F787" s="95" t="s">
        <v>1630</v>
      </c>
      <c r="G787" s="95" t="s">
        <v>1693</v>
      </c>
      <c r="H787" s="97" t="str">
        <f>IFERROR(VLOOKUP(I787,'Raw material list'!$A$3:$C$695,3,0),"")</f>
        <v>DRS1-114</v>
      </c>
      <c r="I787" s="97" t="s">
        <v>279</v>
      </c>
      <c r="J787" s="95" t="s">
        <v>111</v>
      </c>
      <c r="K787" s="101" t="str">
        <f>IFERROR(VLOOKUP(I787,'Raw material list'!$A$3:$E$695,5,0),"")</f>
        <v xml:space="preserve">Gram </v>
      </c>
      <c r="L787" s="95">
        <v>0.13500000000000001</v>
      </c>
      <c r="M787" s="98">
        <f t="shared" si="161"/>
        <v>0.13500000000000001</v>
      </c>
      <c r="N787" s="98">
        <v>100</v>
      </c>
      <c r="O787" s="95">
        <v>10</v>
      </c>
      <c r="P787" s="98">
        <f t="shared" si="165"/>
        <v>1.3500000000000002E-2</v>
      </c>
      <c r="Q787" s="99">
        <f>IFERROR(VLOOKUP(I787,'Raw material list'!$A$3:$F$695,6,0),"")</f>
        <v>4.7489823609226586E-3</v>
      </c>
      <c r="R787" s="100">
        <f t="shared" si="157"/>
        <v>6.41112618724559E-5</v>
      </c>
      <c r="S787" s="94">
        <f t="shared" si="158"/>
        <v>6.4111261872455901E-6</v>
      </c>
      <c r="T787" s="94">
        <f t="shared" si="159"/>
        <v>7.0522388059701492E-5</v>
      </c>
      <c r="U787" s="93">
        <f t="shared" si="162"/>
        <v>7.0522388059701492E-6</v>
      </c>
      <c r="V787" s="93">
        <f t="shared" si="163"/>
        <v>7.0522388059701492E-7</v>
      </c>
      <c r="W787" s="93">
        <f t="shared" si="164"/>
        <v>7.0522388059701492E-7</v>
      </c>
      <c r="X787" s="93">
        <f t="shared" si="160"/>
        <v>7.8985074626865672E-5</v>
      </c>
      <c r="Y787" s="121"/>
    </row>
    <row r="788" spans="1:25">
      <c r="A788" s="95" t="s">
        <v>1560</v>
      </c>
      <c r="B788" s="95" t="s">
        <v>1574</v>
      </c>
      <c r="C788" s="95" t="s">
        <v>1427</v>
      </c>
      <c r="D788" s="96" t="s">
        <v>1439</v>
      </c>
      <c r="E788" s="95" t="s">
        <v>1618</v>
      </c>
      <c r="F788" s="95" t="s">
        <v>1630</v>
      </c>
      <c r="G788" s="95" t="s">
        <v>1693</v>
      </c>
      <c r="H788" s="97" t="str">
        <f>IFERROR(VLOOKUP(I788,'Raw material list'!$A$3:$C$695,3,0),"")</f>
        <v>WAT-001</v>
      </c>
      <c r="I788" s="97" t="s">
        <v>1406</v>
      </c>
      <c r="J788" s="95" t="s">
        <v>161</v>
      </c>
      <c r="K788" s="101" t="str">
        <f>IFERROR(VLOOKUP(I788,'Raw material list'!$A$3:$E$695,5,0),"")</f>
        <v>Ml</v>
      </c>
      <c r="L788" s="95">
        <v>3.38</v>
      </c>
      <c r="M788" s="98">
        <f t="shared" si="161"/>
        <v>3.38</v>
      </c>
      <c r="N788" s="98">
        <v>100</v>
      </c>
      <c r="O788" s="95">
        <v>10</v>
      </c>
      <c r="P788" s="98">
        <f t="shared" si="165"/>
        <v>0.33799999999999997</v>
      </c>
      <c r="Q788" s="99">
        <f>IFERROR(VLOOKUP(I788,'Raw material list'!$A$3:$F$695,6,0),"")</f>
        <v>8.0000000000000007E-5</v>
      </c>
      <c r="R788" s="100">
        <f t="shared" si="157"/>
        <v>2.7039999999999999E-5</v>
      </c>
      <c r="S788" s="94">
        <f t="shared" si="158"/>
        <v>2.7039999999999999E-6</v>
      </c>
      <c r="T788" s="94">
        <f t="shared" si="159"/>
        <v>2.9743999999999998E-5</v>
      </c>
      <c r="U788" s="93">
        <f t="shared" si="162"/>
        <v>2.9743999999999998E-6</v>
      </c>
      <c r="V788" s="93">
        <f t="shared" si="163"/>
        <v>2.9744E-7</v>
      </c>
      <c r="W788" s="93">
        <f t="shared" si="164"/>
        <v>2.9744E-7</v>
      </c>
      <c r="X788" s="93">
        <f t="shared" si="160"/>
        <v>3.331327999999999E-5</v>
      </c>
      <c r="Y788" s="121"/>
    </row>
    <row r="789" spans="1:25">
      <c r="A789" s="95" t="s">
        <v>1560</v>
      </c>
      <c r="B789" s="95" t="s">
        <v>1574</v>
      </c>
      <c r="C789" s="95" t="s">
        <v>1427</v>
      </c>
      <c r="D789" s="96" t="s">
        <v>1439</v>
      </c>
      <c r="E789" s="95" t="s">
        <v>1618</v>
      </c>
      <c r="F789" s="95" t="s">
        <v>1630</v>
      </c>
      <c r="G789" s="95" t="s">
        <v>1693</v>
      </c>
      <c r="H789" s="97" t="str">
        <f>IFERROR(VLOOKUP(I789,'Raw material list'!$A$3:$C$695,3,0),"")</f>
        <v>DRS1-5273</v>
      </c>
      <c r="I789" s="97" t="s">
        <v>773</v>
      </c>
      <c r="J789" s="95" t="s">
        <v>161</v>
      </c>
      <c r="K789" s="101" t="str">
        <f>IFERROR(VLOOKUP(I789,'Raw material list'!$A$3:$E$695,5,0),"")</f>
        <v>Ml</v>
      </c>
      <c r="L789" s="95">
        <v>0.67</v>
      </c>
      <c r="M789" s="98">
        <f t="shared" si="161"/>
        <v>0.67</v>
      </c>
      <c r="N789" s="98">
        <v>100</v>
      </c>
      <c r="O789" s="95">
        <v>10</v>
      </c>
      <c r="P789" s="98">
        <f t="shared" si="165"/>
        <v>6.7000000000000004E-2</v>
      </c>
      <c r="Q789" s="99">
        <f>IFERROR(VLOOKUP(I789,'Raw material list'!$A$3:$F$695,6,0),"")</f>
        <v>1.8518518518518521E-2</v>
      </c>
      <c r="R789" s="100">
        <f t="shared" si="157"/>
        <v>1.240740740740741E-3</v>
      </c>
      <c r="S789" s="94">
        <f t="shared" si="158"/>
        <v>1.2407407407407411E-4</v>
      </c>
      <c r="T789" s="94">
        <f t="shared" si="159"/>
        <v>1.3648148148148152E-3</v>
      </c>
      <c r="U789" s="93">
        <f t="shared" si="162"/>
        <v>1.3648148148148154E-4</v>
      </c>
      <c r="V789" s="93">
        <f t="shared" si="163"/>
        <v>1.3648148148148153E-5</v>
      </c>
      <c r="W789" s="93">
        <f t="shared" si="164"/>
        <v>1.3648148148148153E-5</v>
      </c>
      <c r="X789" s="93">
        <f t="shared" si="160"/>
        <v>1.5285925925925929E-3</v>
      </c>
      <c r="Y789" s="121"/>
    </row>
    <row r="790" spans="1:25">
      <c r="A790" s="95" t="s">
        <v>1560</v>
      </c>
      <c r="B790" s="95" t="s">
        <v>1574</v>
      </c>
      <c r="C790" s="95" t="s">
        <v>1427</v>
      </c>
      <c r="D790" s="96" t="s">
        <v>1439</v>
      </c>
      <c r="E790" s="95" t="s">
        <v>1618</v>
      </c>
      <c r="F790" s="95" t="s">
        <v>1630</v>
      </c>
      <c r="G790" s="95" t="s">
        <v>1693</v>
      </c>
      <c r="H790" s="97" t="str">
        <f>IFERROR(VLOOKUP(I790,'Raw material list'!$A$3:$C$695,3,0),"")</f>
        <v>DRS1-5269</v>
      </c>
      <c r="I790" s="97" t="s">
        <v>248</v>
      </c>
      <c r="J790" s="95" t="s">
        <v>161</v>
      </c>
      <c r="K790" s="101" t="str">
        <f>IFERROR(VLOOKUP(I790,'Raw material list'!$A$3:$E$695,5,0),"")</f>
        <v>Ml</v>
      </c>
      <c r="L790" s="95">
        <v>0.67</v>
      </c>
      <c r="M790" s="98">
        <f t="shared" si="161"/>
        <v>0.67</v>
      </c>
      <c r="N790" s="98">
        <v>100</v>
      </c>
      <c r="O790" s="95">
        <v>10</v>
      </c>
      <c r="P790" s="98">
        <f t="shared" si="165"/>
        <v>6.7000000000000004E-2</v>
      </c>
      <c r="Q790" s="99">
        <f>IFERROR(VLOOKUP(I790,'Raw material list'!$A$3:$F$695,6,0),"")</f>
        <v>0.1066666666666667</v>
      </c>
      <c r="R790" s="100">
        <f t="shared" si="157"/>
        <v>7.1466666666666692E-3</v>
      </c>
      <c r="S790" s="94">
        <f t="shared" si="158"/>
        <v>7.1466666666666694E-4</v>
      </c>
      <c r="T790" s="94">
        <f t="shared" si="159"/>
        <v>7.8613333333333365E-3</v>
      </c>
      <c r="U790" s="93">
        <f t="shared" si="162"/>
        <v>7.8613333333333365E-4</v>
      </c>
      <c r="V790" s="93">
        <f t="shared" si="163"/>
        <v>7.8613333333333362E-5</v>
      </c>
      <c r="W790" s="93">
        <f t="shared" si="164"/>
        <v>7.8613333333333362E-5</v>
      </c>
      <c r="X790" s="93">
        <f t="shared" si="160"/>
        <v>8.8046933333333355E-3</v>
      </c>
      <c r="Y790" s="121"/>
    </row>
    <row r="791" spans="1:25">
      <c r="A791" s="95" t="s">
        <v>1560</v>
      </c>
      <c r="B791" s="95" t="s">
        <v>1574</v>
      </c>
      <c r="C791" s="95" t="s">
        <v>1427</v>
      </c>
      <c r="D791" s="96" t="s">
        <v>1439</v>
      </c>
      <c r="E791" s="95" t="s">
        <v>1618</v>
      </c>
      <c r="F791" s="95" t="s">
        <v>1630</v>
      </c>
      <c r="G791" s="95" t="s">
        <v>1693</v>
      </c>
      <c r="H791" s="97" t="str">
        <f>IFERROR(VLOOKUP(I791,'Raw material list'!$A$3:$C$695,3,0),"")</f>
        <v>DRY2-1858</v>
      </c>
      <c r="I791" s="97" t="s">
        <v>42</v>
      </c>
      <c r="J791" s="95" t="s">
        <v>161</v>
      </c>
      <c r="K791" s="101" t="str">
        <f>IFERROR(VLOOKUP(I791,'Raw material list'!$A$3:$E$695,5,0),"")</f>
        <v>Ml</v>
      </c>
      <c r="L791" s="95">
        <v>3.38</v>
      </c>
      <c r="M791" s="98">
        <f t="shared" si="161"/>
        <v>3.38</v>
      </c>
      <c r="N791" s="98">
        <v>100</v>
      </c>
      <c r="O791" s="95">
        <v>10</v>
      </c>
      <c r="P791" s="98">
        <f t="shared" si="165"/>
        <v>0.33799999999999997</v>
      </c>
      <c r="Q791" s="99">
        <f>IFERROR(VLOOKUP(I791,'Raw material list'!$A$3:$F$695,6,0),"")</f>
        <v>9.8800000000000016E-3</v>
      </c>
      <c r="R791" s="100">
        <f t="shared" si="157"/>
        <v>3.3394400000000004E-3</v>
      </c>
      <c r="S791" s="94">
        <f t="shared" si="158"/>
        <v>3.3394400000000008E-4</v>
      </c>
      <c r="T791" s="94">
        <f t="shared" si="159"/>
        <v>3.6733840000000005E-3</v>
      </c>
      <c r="U791" s="93">
        <f t="shared" si="162"/>
        <v>3.6733840000000007E-4</v>
      </c>
      <c r="V791" s="93">
        <f t="shared" si="163"/>
        <v>3.6733840000000007E-5</v>
      </c>
      <c r="W791" s="93">
        <f t="shared" si="164"/>
        <v>3.6733840000000007E-5</v>
      </c>
      <c r="X791" s="93">
        <f t="shared" si="160"/>
        <v>4.1141900799999999E-3</v>
      </c>
      <c r="Y791" s="121"/>
    </row>
    <row r="792" spans="1:25">
      <c r="A792" s="95" t="s">
        <v>1560</v>
      </c>
      <c r="B792" s="95" t="s">
        <v>1574</v>
      </c>
      <c r="C792" s="95" t="s">
        <v>1427</v>
      </c>
      <c r="D792" s="96" t="s">
        <v>1439</v>
      </c>
      <c r="E792" s="95" t="s">
        <v>1618</v>
      </c>
      <c r="F792" s="95" t="s">
        <v>1630</v>
      </c>
      <c r="G792" s="95" t="s">
        <v>1693</v>
      </c>
      <c r="H792" s="97" t="str">
        <f>IFERROR(VLOOKUP(I792,'Raw material list'!$A$3:$C$695,3,0),"")</f>
        <v>PRD3-3878</v>
      </c>
      <c r="I792" s="97" t="s">
        <v>945</v>
      </c>
      <c r="J792" s="95" t="s">
        <v>111</v>
      </c>
      <c r="K792" s="101" t="str">
        <f>IFERROR(VLOOKUP(I792,'Raw material list'!$A$3:$E$695,5,0),"")</f>
        <v xml:space="preserve">Gram </v>
      </c>
      <c r="L792" s="95">
        <v>0.54</v>
      </c>
      <c r="M792" s="98">
        <f t="shared" si="161"/>
        <v>0.54</v>
      </c>
      <c r="N792" s="98">
        <v>100</v>
      </c>
      <c r="O792" s="95">
        <v>10</v>
      </c>
      <c r="P792" s="98">
        <f t="shared" si="165"/>
        <v>5.4000000000000006E-2</v>
      </c>
      <c r="Q792" s="99">
        <f>IFERROR(VLOOKUP(I792,'Raw material list'!$A$3:$F$695,6,0),"")</f>
        <v>0.03</v>
      </c>
      <c r="R792" s="100">
        <f t="shared" si="157"/>
        <v>1.6200000000000001E-3</v>
      </c>
      <c r="S792" s="94">
        <f t="shared" si="158"/>
        <v>1.6200000000000003E-4</v>
      </c>
      <c r="T792" s="94">
        <f t="shared" si="159"/>
        <v>1.7820000000000002E-3</v>
      </c>
      <c r="U792" s="93">
        <f t="shared" si="162"/>
        <v>1.7820000000000002E-4</v>
      </c>
      <c r="V792" s="93">
        <f t="shared" si="163"/>
        <v>1.7820000000000002E-5</v>
      </c>
      <c r="W792" s="93">
        <f t="shared" si="164"/>
        <v>1.7820000000000002E-5</v>
      </c>
      <c r="X792" s="93">
        <f t="shared" si="160"/>
        <v>1.99584E-3</v>
      </c>
      <c r="Y792" s="121"/>
    </row>
    <row r="793" spans="1:25">
      <c r="A793" s="95" t="s">
        <v>1561</v>
      </c>
      <c r="B793" s="95" t="s">
        <v>1574</v>
      </c>
      <c r="C793" s="95" t="s">
        <v>1427</v>
      </c>
      <c r="D793" s="96" t="s">
        <v>1592</v>
      </c>
      <c r="E793" s="95" t="s">
        <v>1618</v>
      </c>
      <c r="F793" s="95" t="s">
        <v>1630</v>
      </c>
      <c r="G793" s="95"/>
      <c r="H793" s="97" t="str">
        <f>IFERROR(VLOOKUP(I793,'Raw material list'!$A$3:$C$695,3,0),"")</f>
        <v>PRD1-196</v>
      </c>
      <c r="I793" s="97" t="s">
        <v>994</v>
      </c>
      <c r="J793" s="95" t="s">
        <v>111</v>
      </c>
      <c r="K793" s="101" t="str">
        <f>IFERROR(VLOOKUP(I793,'Raw material list'!$A$3:$E$695,5,0),"")</f>
        <v xml:space="preserve">Gram </v>
      </c>
      <c r="L793" s="95">
        <v>220</v>
      </c>
      <c r="M793" s="98">
        <f t="shared" si="161"/>
        <v>260.56060007895775</v>
      </c>
      <c r="N793" s="98">
        <v>84.433333333333337</v>
      </c>
      <c r="O793" s="95">
        <v>10</v>
      </c>
      <c r="P793" s="98">
        <f t="shared" si="165"/>
        <v>22</v>
      </c>
      <c r="Q793" s="99">
        <f>IFERROR(VLOOKUP(I793,'Raw material list'!$A$3:$F$695,6,0),"")</f>
        <v>4.1469194312796203E-3</v>
      </c>
      <c r="R793" s="100">
        <f t="shared" si="157"/>
        <v>9.1232227488151643E-2</v>
      </c>
      <c r="S793" s="94">
        <f t="shared" si="158"/>
        <v>9.1232227488151647E-3</v>
      </c>
      <c r="T793" s="94">
        <f t="shared" si="159"/>
        <v>0.10035545023696681</v>
      </c>
      <c r="U793" s="93">
        <f t="shared" si="162"/>
        <v>1.0035545023696682E-2</v>
      </c>
      <c r="V793" s="93">
        <f t="shared" si="163"/>
        <v>1.003554502369668E-3</v>
      </c>
      <c r="W793" s="93">
        <f t="shared" si="164"/>
        <v>1.003554502369668E-3</v>
      </c>
      <c r="X793" s="93">
        <f t="shared" si="160"/>
        <v>0.11239810426540281</v>
      </c>
      <c r="Y793" s="121"/>
    </row>
    <row r="794" spans="1:25">
      <c r="A794" s="95" t="s">
        <v>1561</v>
      </c>
      <c r="B794" s="95" t="s">
        <v>1574</v>
      </c>
      <c r="C794" s="95" t="s">
        <v>1427</v>
      </c>
      <c r="D794" s="96" t="s">
        <v>1592</v>
      </c>
      <c r="E794" s="95" t="s">
        <v>1618</v>
      </c>
      <c r="F794" s="95" t="s">
        <v>1630</v>
      </c>
      <c r="G794" s="95"/>
      <c r="H794" s="97" t="str">
        <f>IFERROR(VLOOKUP(I794,'Raw material list'!$A$3:$C$695,3,0),"")</f>
        <v>PRD1-1447</v>
      </c>
      <c r="I794" s="97" t="s">
        <v>1412</v>
      </c>
      <c r="J794" s="95" t="s">
        <v>111</v>
      </c>
      <c r="K794" s="101" t="str">
        <f>IFERROR(VLOOKUP(I794,'Raw material list'!$A$3:$E$695,5,0),"")</f>
        <v xml:space="preserve">Gram </v>
      </c>
      <c r="L794" s="95">
        <v>230</v>
      </c>
      <c r="M794" s="98">
        <f t="shared" si="161"/>
        <v>310.81081081081078</v>
      </c>
      <c r="N794" s="98">
        <v>74</v>
      </c>
      <c r="O794" s="95">
        <v>10</v>
      </c>
      <c r="P794" s="98">
        <f t="shared" si="165"/>
        <v>23</v>
      </c>
      <c r="Q794" s="99">
        <f>IFERROR(VLOOKUP(I794,'Raw material list'!$A$3:$F$695,6,0),"")</f>
        <v>1.2999999999999999E-2</v>
      </c>
      <c r="R794" s="100">
        <f t="shared" si="157"/>
        <v>0.29899999999999999</v>
      </c>
      <c r="S794" s="94">
        <f t="shared" si="158"/>
        <v>2.9899999999999999E-2</v>
      </c>
      <c r="T794" s="94">
        <f t="shared" si="159"/>
        <v>0.32889999999999997</v>
      </c>
      <c r="U794" s="93">
        <f t="shared" si="162"/>
        <v>3.2889999999999996E-2</v>
      </c>
      <c r="V794" s="93">
        <f t="shared" si="163"/>
        <v>3.2889999999999998E-3</v>
      </c>
      <c r="W794" s="93">
        <f t="shared" si="164"/>
        <v>3.2889999999999998E-3</v>
      </c>
      <c r="X794" s="93">
        <f t="shared" si="160"/>
        <v>0.36836799999999992</v>
      </c>
      <c r="Y794" s="121"/>
    </row>
    <row r="795" spans="1:25">
      <c r="A795" s="95" t="s">
        <v>1561</v>
      </c>
      <c r="B795" s="95" t="s">
        <v>1574</v>
      </c>
      <c r="C795" s="95" t="s">
        <v>1427</v>
      </c>
      <c r="D795" s="96" t="s">
        <v>1592</v>
      </c>
      <c r="E795" s="95" t="s">
        <v>1618</v>
      </c>
      <c r="F795" s="95" t="s">
        <v>1630</v>
      </c>
      <c r="G795" s="95"/>
      <c r="H795" s="97" t="str">
        <f>IFERROR(VLOOKUP(I795,'Raw material list'!$A$3:$C$695,3,0),"")</f>
        <v>PRD1-572</v>
      </c>
      <c r="I795" s="97" t="s">
        <v>20</v>
      </c>
      <c r="J795" s="95" t="s">
        <v>111</v>
      </c>
      <c r="K795" s="101" t="str">
        <f>IFERROR(VLOOKUP(I795,'Raw material list'!$A$3:$E$695,5,0),"")</f>
        <v xml:space="preserve">Gram </v>
      </c>
      <c r="L795" s="95">
        <v>100</v>
      </c>
      <c r="M795" s="98">
        <f t="shared" si="161"/>
        <v>113.33585190782016</v>
      </c>
      <c r="N795" s="98">
        <v>88.233333333333348</v>
      </c>
      <c r="O795" s="95">
        <v>10</v>
      </c>
      <c r="P795" s="98">
        <f t="shared" si="165"/>
        <v>10</v>
      </c>
      <c r="Q795" s="99">
        <f>IFERROR(VLOOKUP(I795,'Raw material list'!$A$3:$F$695,6,0),"")</f>
        <v>4.5351473922902504E-3</v>
      </c>
      <c r="R795" s="100">
        <f t="shared" si="157"/>
        <v>4.5351473922902508E-2</v>
      </c>
      <c r="S795" s="94">
        <f t="shared" si="158"/>
        <v>4.5351473922902513E-3</v>
      </c>
      <c r="T795" s="94">
        <f t="shared" si="159"/>
        <v>4.988662131519276E-2</v>
      </c>
      <c r="U795" s="93">
        <f t="shared" si="162"/>
        <v>4.988662131519276E-3</v>
      </c>
      <c r="V795" s="93">
        <f t="shared" si="163"/>
        <v>4.9886621315192758E-4</v>
      </c>
      <c r="W795" s="93">
        <f t="shared" si="164"/>
        <v>4.9886621315192758E-4</v>
      </c>
      <c r="X795" s="93">
        <f t="shared" si="160"/>
        <v>5.5873015873015894E-2</v>
      </c>
      <c r="Y795" s="121"/>
    </row>
    <row r="796" spans="1:25">
      <c r="A796" s="95" t="s">
        <v>1561</v>
      </c>
      <c r="B796" s="95" t="s">
        <v>1574</v>
      </c>
      <c r="C796" s="95" t="s">
        <v>1427</v>
      </c>
      <c r="D796" s="96" t="s">
        <v>1592</v>
      </c>
      <c r="E796" s="95" t="s">
        <v>1618</v>
      </c>
      <c r="F796" s="95" t="s">
        <v>1630</v>
      </c>
      <c r="G796" s="95" t="s">
        <v>1593</v>
      </c>
      <c r="H796" s="97" t="str">
        <f>IFERROR(VLOOKUP(I796,'Raw material list'!$A$3:$C$695,3,0),"")</f>
        <v>PRD1-4265</v>
      </c>
      <c r="I796" s="97" t="s">
        <v>10</v>
      </c>
      <c r="J796" s="95" t="s">
        <v>111</v>
      </c>
      <c r="K796" s="101" t="str">
        <f>IFERROR(VLOOKUP(I796,'Raw material list'!$A$3:$E$695,5,0),"")</f>
        <v xml:space="preserve">Gram </v>
      </c>
      <c r="L796" s="95">
        <v>50</v>
      </c>
      <c r="M796" s="98">
        <f t="shared" si="161"/>
        <v>58.82352941176471</v>
      </c>
      <c r="N796" s="98">
        <v>85</v>
      </c>
      <c r="O796" s="95">
        <v>10</v>
      </c>
      <c r="P796" s="98">
        <f t="shared" si="165"/>
        <v>5</v>
      </c>
      <c r="Q796" s="99">
        <f>IFERROR(VLOOKUP(I796,'Raw material list'!$A$3:$F$695,6,0),"")</f>
        <v>3.529411764705882E-3</v>
      </c>
      <c r="R796" s="100">
        <f t="shared" si="157"/>
        <v>1.7647058823529412E-2</v>
      </c>
      <c r="S796" s="94">
        <f t="shared" si="158"/>
        <v>1.7647058823529412E-3</v>
      </c>
      <c r="T796" s="94">
        <f t="shared" si="159"/>
        <v>1.9411764705882354E-2</v>
      </c>
      <c r="U796" s="93">
        <f t="shared" si="162"/>
        <v>1.9411764705882354E-3</v>
      </c>
      <c r="V796" s="93">
        <f t="shared" si="163"/>
        <v>1.9411764705882354E-4</v>
      </c>
      <c r="W796" s="93">
        <f t="shared" si="164"/>
        <v>1.9411764705882354E-4</v>
      </c>
      <c r="X796" s="93">
        <f t="shared" si="160"/>
        <v>2.1741176470588236E-2</v>
      </c>
      <c r="Y796" s="121"/>
    </row>
    <row r="797" spans="1:25">
      <c r="A797" s="95" t="s">
        <v>1561</v>
      </c>
      <c r="B797" s="95" t="s">
        <v>1574</v>
      </c>
      <c r="C797" s="95" t="s">
        <v>1427</v>
      </c>
      <c r="D797" s="96" t="s">
        <v>1592</v>
      </c>
      <c r="E797" s="95" t="s">
        <v>1618</v>
      </c>
      <c r="F797" s="95" t="s">
        <v>1630</v>
      </c>
      <c r="G797" s="95" t="s">
        <v>1593</v>
      </c>
      <c r="H797" s="97" t="str">
        <f>IFERROR(VLOOKUP(I797,'Raw material list'!$A$3:$C$695,3,0),"")</f>
        <v>PRD1-573</v>
      </c>
      <c r="I797" s="97" t="s">
        <v>1059</v>
      </c>
      <c r="J797" s="95" t="s">
        <v>111</v>
      </c>
      <c r="K797" s="101" t="str">
        <f>IFERROR(VLOOKUP(I797,'Raw material list'!$A$3:$E$695,5,0),"")</f>
        <v xml:space="preserve">Gram </v>
      </c>
      <c r="L797" s="95">
        <v>50</v>
      </c>
      <c r="M797" s="98">
        <f t="shared" si="161"/>
        <v>68.493150684931507</v>
      </c>
      <c r="N797" s="98">
        <v>73</v>
      </c>
      <c r="O797" s="95">
        <v>10</v>
      </c>
      <c r="P797" s="98">
        <f t="shared" si="165"/>
        <v>5</v>
      </c>
      <c r="Q797" s="99">
        <f>IFERROR(VLOOKUP(I797,'Raw material list'!$A$3:$F$695,6,0),"")</f>
        <v>5.4794520547945206E-3</v>
      </c>
      <c r="R797" s="100">
        <f t="shared" si="157"/>
        <v>2.7397260273972601E-2</v>
      </c>
      <c r="S797" s="94">
        <f t="shared" si="158"/>
        <v>2.7397260273972603E-3</v>
      </c>
      <c r="T797" s="94">
        <f t="shared" si="159"/>
        <v>3.0136986301369861E-2</v>
      </c>
      <c r="U797" s="93">
        <f t="shared" si="162"/>
        <v>3.0136986301369864E-3</v>
      </c>
      <c r="V797" s="93">
        <f t="shared" si="163"/>
        <v>3.013698630136986E-4</v>
      </c>
      <c r="W797" s="93">
        <f t="shared" si="164"/>
        <v>3.013698630136986E-4</v>
      </c>
      <c r="X797" s="93">
        <f t="shared" si="160"/>
        <v>3.3753424657534239E-2</v>
      </c>
      <c r="Y797" s="121"/>
    </row>
    <row r="798" spans="1:25">
      <c r="A798" s="95" t="s">
        <v>1561</v>
      </c>
      <c r="B798" s="95" t="s">
        <v>1574</v>
      </c>
      <c r="C798" s="95" t="s">
        <v>1427</v>
      </c>
      <c r="D798" s="96" t="s">
        <v>1592</v>
      </c>
      <c r="E798" s="95" t="s">
        <v>1618</v>
      </c>
      <c r="F798" s="95" t="s">
        <v>1630</v>
      </c>
      <c r="G798" s="95" t="s">
        <v>1593</v>
      </c>
      <c r="H798" s="97" t="str">
        <f>IFERROR(VLOOKUP(I798,'Raw material list'!$A$3:$C$695,3,0),"")</f>
        <v>DRS1-4781</v>
      </c>
      <c r="I798" s="97" t="s">
        <v>285</v>
      </c>
      <c r="J798" s="95" t="s">
        <v>111</v>
      </c>
      <c r="K798" s="101" t="str">
        <f>IFERROR(VLOOKUP(I798,'Raw material list'!$A$3:$E$695,5,0),"")</f>
        <v xml:space="preserve">Gram </v>
      </c>
      <c r="L798" s="95">
        <v>150</v>
      </c>
      <c r="M798" s="98">
        <f t="shared" si="161"/>
        <v>150</v>
      </c>
      <c r="N798" s="98">
        <v>100</v>
      </c>
      <c r="O798" s="95">
        <v>10</v>
      </c>
      <c r="P798" s="98">
        <f t="shared" si="165"/>
        <v>15</v>
      </c>
      <c r="Q798" s="99">
        <f>IFERROR(VLOOKUP(I798,'Raw material list'!$A$3:$F$695,6,0),"")</f>
        <v>2.53E-2</v>
      </c>
      <c r="R798" s="100">
        <f t="shared" si="157"/>
        <v>0.3795</v>
      </c>
      <c r="S798" s="94">
        <f t="shared" si="158"/>
        <v>3.7950000000000005E-2</v>
      </c>
      <c r="T798" s="94">
        <f t="shared" si="159"/>
        <v>0.41744999999999999</v>
      </c>
      <c r="U798" s="93">
        <f t="shared" si="162"/>
        <v>4.1745000000000004E-2</v>
      </c>
      <c r="V798" s="93">
        <f t="shared" si="163"/>
        <v>4.1745000000000003E-3</v>
      </c>
      <c r="W798" s="93">
        <f t="shared" si="164"/>
        <v>4.1745000000000003E-3</v>
      </c>
      <c r="X798" s="93">
        <f t="shared" si="160"/>
        <v>0.46754400000000007</v>
      </c>
      <c r="Y798" s="121"/>
    </row>
    <row r="799" spans="1:25">
      <c r="A799" s="95" t="s">
        <v>1561</v>
      </c>
      <c r="B799" s="95" t="s">
        <v>1574</v>
      </c>
      <c r="C799" s="95" t="s">
        <v>1427</v>
      </c>
      <c r="D799" s="96" t="s">
        <v>1592</v>
      </c>
      <c r="E799" s="95" t="s">
        <v>1618</v>
      </c>
      <c r="F799" s="95" t="s">
        <v>1630</v>
      </c>
      <c r="G799" s="95" t="s">
        <v>1593</v>
      </c>
      <c r="H799" s="97" t="str">
        <f>IFERROR(VLOOKUP(I799,'Raw material list'!$A$3:$C$695,3,0),"")</f>
        <v>PRD1-191</v>
      </c>
      <c r="I799" s="97" t="s">
        <v>13</v>
      </c>
      <c r="J799" s="95" t="s">
        <v>111</v>
      </c>
      <c r="K799" s="101" t="str">
        <f>IFERROR(VLOOKUP(I799,'Raw material list'!$A$3:$E$695,5,0),"")</f>
        <v xml:space="preserve">Gram </v>
      </c>
      <c r="L799" s="95">
        <v>15</v>
      </c>
      <c r="M799" s="98">
        <f t="shared" si="161"/>
        <v>17.026106696935305</v>
      </c>
      <c r="N799" s="98">
        <v>88.1</v>
      </c>
      <c r="O799" s="95">
        <v>10</v>
      </c>
      <c r="P799" s="98">
        <f t="shared" si="165"/>
        <v>1.5</v>
      </c>
      <c r="Q799" s="99">
        <f>IFERROR(VLOOKUP(I799,'Raw material list'!$A$3:$F$695,6,0),"")</f>
        <v>2.4971623155505111E-2</v>
      </c>
      <c r="R799" s="100">
        <f t="shared" si="157"/>
        <v>3.7457434733257668E-2</v>
      </c>
      <c r="S799" s="94">
        <f t="shared" si="158"/>
        <v>3.7457434733257668E-3</v>
      </c>
      <c r="T799" s="94">
        <f t="shared" si="159"/>
        <v>4.1203178206583438E-2</v>
      </c>
      <c r="U799" s="93">
        <f t="shared" si="162"/>
        <v>4.1203178206583443E-3</v>
      </c>
      <c r="V799" s="93">
        <f t="shared" si="163"/>
        <v>4.1203178206583439E-4</v>
      </c>
      <c r="W799" s="93">
        <f t="shared" si="164"/>
        <v>4.1203178206583439E-4</v>
      </c>
      <c r="X799" s="93">
        <f t="shared" si="160"/>
        <v>4.6147559591373455E-2</v>
      </c>
      <c r="Y799" s="121"/>
    </row>
    <row r="800" spans="1:25">
      <c r="A800" s="95" t="s">
        <v>1561</v>
      </c>
      <c r="B800" s="95" t="s">
        <v>1574</v>
      </c>
      <c r="C800" s="95" t="s">
        <v>1427</v>
      </c>
      <c r="D800" s="96" t="s">
        <v>1592</v>
      </c>
      <c r="E800" s="95" t="s">
        <v>1618</v>
      </c>
      <c r="F800" s="95" t="s">
        <v>1630</v>
      </c>
      <c r="G800" s="95" t="s">
        <v>1593</v>
      </c>
      <c r="H800" s="97" t="str">
        <f>IFERROR(VLOOKUP(I800,'Raw material list'!$A$3:$C$695,3,0),"")</f>
        <v>DRS3-1615</v>
      </c>
      <c r="I800" s="97" t="s">
        <v>24</v>
      </c>
      <c r="J800" s="95" t="s">
        <v>161</v>
      </c>
      <c r="K800" s="101" t="str">
        <f>IFERROR(VLOOKUP(I800,'Raw material list'!$A$3:$E$695,5,0),"")</f>
        <v>Ml</v>
      </c>
      <c r="L800" s="95">
        <v>2.5</v>
      </c>
      <c r="M800" s="98">
        <f t="shared" si="161"/>
        <v>2.5</v>
      </c>
      <c r="N800" s="98">
        <v>100</v>
      </c>
      <c r="O800" s="95">
        <v>10</v>
      </c>
      <c r="P800" s="98">
        <f t="shared" si="165"/>
        <v>0.25</v>
      </c>
      <c r="Q800" s="99">
        <f>IFERROR(VLOOKUP(I800,'Raw material list'!$A$3:$F$695,6,0),"")</f>
        <v>1.2E-2</v>
      </c>
      <c r="R800" s="100">
        <f t="shared" si="157"/>
        <v>3.0000000000000001E-3</v>
      </c>
      <c r="S800" s="94">
        <f t="shared" si="158"/>
        <v>3.0000000000000003E-4</v>
      </c>
      <c r="T800" s="94">
        <f t="shared" si="159"/>
        <v>3.3E-3</v>
      </c>
      <c r="U800" s="93">
        <f t="shared" si="162"/>
        <v>3.3E-4</v>
      </c>
      <c r="V800" s="93">
        <f t="shared" si="163"/>
        <v>3.3000000000000003E-5</v>
      </c>
      <c r="W800" s="93">
        <f t="shared" si="164"/>
        <v>3.3000000000000003E-5</v>
      </c>
      <c r="X800" s="93">
        <f t="shared" si="160"/>
        <v>3.6960000000000001E-3</v>
      </c>
      <c r="Y800" s="121"/>
    </row>
    <row r="801" spans="1:25">
      <c r="A801" s="95" t="s">
        <v>1561</v>
      </c>
      <c r="B801" s="95" t="s">
        <v>1574</v>
      </c>
      <c r="C801" s="95" t="s">
        <v>1427</v>
      </c>
      <c r="D801" s="96" t="s">
        <v>1592</v>
      </c>
      <c r="E801" s="95" t="s">
        <v>1618</v>
      </c>
      <c r="F801" s="95" t="s">
        <v>1630</v>
      </c>
      <c r="G801" s="95" t="s">
        <v>1593</v>
      </c>
      <c r="H801" s="97" t="str">
        <f>IFERROR(VLOOKUP(I801,'Raw material list'!$A$3:$C$695,3,0),"")</f>
        <v>DRS1-114</v>
      </c>
      <c r="I801" s="97" t="s">
        <v>279</v>
      </c>
      <c r="J801" s="95" t="s">
        <v>111</v>
      </c>
      <c r="K801" s="101" t="str">
        <f>IFERROR(VLOOKUP(I801,'Raw material list'!$A$3:$E$695,5,0),"")</f>
        <v xml:space="preserve">Gram </v>
      </c>
      <c r="L801" s="95">
        <v>0.5</v>
      </c>
      <c r="M801" s="98">
        <f t="shared" si="161"/>
        <v>0.5</v>
      </c>
      <c r="N801" s="98">
        <v>100</v>
      </c>
      <c r="O801" s="95">
        <v>10</v>
      </c>
      <c r="P801" s="98">
        <f t="shared" si="165"/>
        <v>0.05</v>
      </c>
      <c r="Q801" s="99">
        <f>IFERROR(VLOOKUP(I801,'Raw material list'!$A$3:$F$695,6,0),"")</f>
        <v>4.7489823609226586E-3</v>
      </c>
      <c r="R801" s="100">
        <f t="shared" si="157"/>
        <v>2.3744911804613294E-4</v>
      </c>
      <c r="S801" s="94">
        <f t="shared" si="158"/>
        <v>2.3744911804613294E-5</v>
      </c>
      <c r="T801" s="94">
        <f t="shared" si="159"/>
        <v>2.6119402985074624E-4</v>
      </c>
      <c r="U801" s="93">
        <f t="shared" si="162"/>
        <v>2.6119402985074626E-5</v>
      </c>
      <c r="V801" s="93">
        <f t="shared" si="163"/>
        <v>2.6119402985074623E-6</v>
      </c>
      <c r="W801" s="93">
        <f t="shared" si="164"/>
        <v>2.6119402985074623E-6</v>
      </c>
      <c r="X801" s="93">
        <f t="shared" si="160"/>
        <v>2.9253731343283583E-4</v>
      </c>
      <c r="Y801" s="121"/>
    </row>
    <row r="802" spans="1:25">
      <c r="A802" s="95" t="s">
        <v>1561</v>
      </c>
      <c r="B802" s="95" t="s">
        <v>1574</v>
      </c>
      <c r="C802" s="95" t="s">
        <v>1427</v>
      </c>
      <c r="D802" s="96" t="s">
        <v>1592</v>
      </c>
      <c r="E802" s="95" t="s">
        <v>1618</v>
      </c>
      <c r="F802" s="95" t="s">
        <v>1630</v>
      </c>
      <c r="G802" s="95" t="s">
        <v>1593</v>
      </c>
      <c r="H802" s="97" t="str">
        <f>IFERROR(VLOOKUP(I802,'Raw material list'!$A$3:$C$695,3,0),"")</f>
        <v>DRS6-537</v>
      </c>
      <c r="I802" s="97" t="s">
        <v>25</v>
      </c>
      <c r="J802" s="95" t="s">
        <v>111</v>
      </c>
      <c r="K802" s="101" t="str">
        <f>IFERROR(VLOOKUP(I802,'Raw material list'!$A$3:$E$695,5,0),"")</f>
        <v xml:space="preserve">Gram </v>
      </c>
      <c r="L802" s="95">
        <v>0.5</v>
      </c>
      <c r="M802" s="98">
        <f t="shared" si="161"/>
        <v>0.5</v>
      </c>
      <c r="N802" s="98">
        <v>100</v>
      </c>
      <c r="O802" s="95">
        <v>10</v>
      </c>
      <c r="P802" s="98">
        <f t="shared" si="165"/>
        <v>0.05</v>
      </c>
      <c r="Q802" s="99">
        <f>IFERROR(VLOOKUP(I802,'Raw material list'!$A$3:$F$695,6,0),"")</f>
        <v>3.5000000000000003E-2</v>
      </c>
      <c r="R802" s="100">
        <f t="shared" si="157"/>
        <v>1.7500000000000003E-3</v>
      </c>
      <c r="S802" s="94">
        <f t="shared" si="158"/>
        <v>1.7500000000000003E-4</v>
      </c>
      <c r="T802" s="94">
        <f t="shared" si="159"/>
        <v>1.9250000000000003E-3</v>
      </c>
      <c r="U802" s="93">
        <f t="shared" si="162"/>
        <v>1.9250000000000004E-4</v>
      </c>
      <c r="V802" s="93">
        <f t="shared" si="163"/>
        <v>1.9250000000000004E-5</v>
      </c>
      <c r="W802" s="93">
        <f t="shared" si="164"/>
        <v>1.9250000000000004E-5</v>
      </c>
      <c r="X802" s="93">
        <f t="shared" si="160"/>
        <v>2.1560000000000008E-3</v>
      </c>
      <c r="Y802" s="121"/>
    </row>
    <row r="803" spans="1:25">
      <c r="A803" s="95" t="s">
        <v>1561</v>
      </c>
      <c r="B803" s="95" t="s">
        <v>1574</v>
      </c>
      <c r="C803" s="95" t="s">
        <v>1427</v>
      </c>
      <c r="D803" s="96" t="s">
        <v>1592</v>
      </c>
      <c r="E803" s="95" t="s">
        <v>1618</v>
      </c>
      <c r="F803" s="95" t="s">
        <v>1630</v>
      </c>
      <c r="G803" s="95" t="s">
        <v>1593</v>
      </c>
      <c r="H803" s="97" t="str">
        <f>IFERROR(VLOOKUP(I803,'Raw material list'!$A$3:$C$695,3,0),"")</f>
        <v>PRD1-209</v>
      </c>
      <c r="I803" s="97" t="s">
        <v>26</v>
      </c>
      <c r="J803" s="95" t="s">
        <v>111</v>
      </c>
      <c r="K803" s="101" t="str">
        <f>IFERROR(VLOOKUP(I803,'Raw material list'!$A$3:$E$695,5,0),"")</f>
        <v xml:space="preserve">Gram </v>
      </c>
      <c r="L803" s="95">
        <v>2.5</v>
      </c>
      <c r="M803" s="98">
        <f t="shared" si="161"/>
        <v>6.5789473684210522</v>
      </c>
      <c r="N803" s="98">
        <v>38</v>
      </c>
      <c r="O803" s="95">
        <v>10</v>
      </c>
      <c r="P803" s="98">
        <f t="shared" si="165"/>
        <v>0.25</v>
      </c>
      <c r="Q803" s="99">
        <f>IFERROR(VLOOKUP(I803,'Raw material list'!$A$3:$F$695,6,0),"")</f>
        <v>1.0088272383354351E-2</v>
      </c>
      <c r="R803" s="100">
        <f t="shared" si="157"/>
        <v>2.5220680958385876E-3</v>
      </c>
      <c r="S803" s="94">
        <f t="shared" si="158"/>
        <v>2.5220680958385876E-4</v>
      </c>
      <c r="T803" s="94">
        <f t="shared" si="159"/>
        <v>2.7742749054224464E-3</v>
      </c>
      <c r="U803" s="93">
        <f t="shared" si="162"/>
        <v>2.7742749054224464E-4</v>
      </c>
      <c r="V803" s="93">
        <f t="shared" si="163"/>
        <v>2.7742749054224466E-5</v>
      </c>
      <c r="W803" s="93">
        <f t="shared" si="164"/>
        <v>2.7742749054224466E-5</v>
      </c>
      <c r="X803" s="93">
        <f t="shared" si="160"/>
        <v>3.1071878940731397E-3</v>
      </c>
      <c r="Y803" s="121"/>
    </row>
    <row r="804" spans="1:25">
      <c r="A804" s="95" t="s">
        <v>1561</v>
      </c>
      <c r="B804" s="95" t="s">
        <v>1574</v>
      </c>
      <c r="C804" s="95" t="s">
        <v>1427</v>
      </c>
      <c r="D804" s="96" t="s">
        <v>1592</v>
      </c>
      <c r="E804" s="95" t="s">
        <v>1618</v>
      </c>
      <c r="F804" s="95" t="s">
        <v>1630</v>
      </c>
      <c r="G804" s="95" t="s">
        <v>1593</v>
      </c>
      <c r="H804" s="97" t="str">
        <f>IFERROR(VLOOKUP(I804,'Raw material list'!$A$3:$C$695,3,0),"")</f>
        <v>DRY2-1858</v>
      </c>
      <c r="I804" s="97" t="s">
        <v>42</v>
      </c>
      <c r="J804" s="95" t="s">
        <v>161</v>
      </c>
      <c r="K804" s="101" t="str">
        <f>IFERROR(VLOOKUP(I804,'Raw material list'!$A$3:$E$695,5,0),"")</f>
        <v>Ml</v>
      </c>
      <c r="L804" s="95">
        <v>10</v>
      </c>
      <c r="M804" s="98">
        <f t="shared" si="161"/>
        <v>10</v>
      </c>
      <c r="N804" s="98">
        <v>100</v>
      </c>
      <c r="O804" s="95">
        <v>10</v>
      </c>
      <c r="P804" s="98">
        <f t="shared" si="165"/>
        <v>1</v>
      </c>
      <c r="Q804" s="99">
        <f>IFERROR(VLOOKUP(I804,'Raw material list'!$A$3:$F$695,6,0),"")</f>
        <v>9.8800000000000016E-3</v>
      </c>
      <c r="R804" s="100">
        <f t="shared" si="157"/>
        <v>9.8800000000000016E-3</v>
      </c>
      <c r="S804" s="94">
        <f t="shared" si="158"/>
        <v>9.8800000000000016E-4</v>
      </c>
      <c r="T804" s="94">
        <f t="shared" si="159"/>
        <v>1.0868000000000003E-2</v>
      </c>
      <c r="U804" s="93">
        <f t="shared" si="162"/>
        <v>1.0868000000000004E-3</v>
      </c>
      <c r="V804" s="93">
        <f t="shared" si="163"/>
        <v>1.0868000000000002E-4</v>
      </c>
      <c r="W804" s="93">
        <f t="shared" si="164"/>
        <v>1.0868000000000002E-4</v>
      </c>
      <c r="X804" s="93">
        <f t="shared" si="160"/>
        <v>1.2172160000000003E-2</v>
      </c>
      <c r="Y804" s="121"/>
    </row>
    <row r="805" spans="1:25">
      <c r="A805" s="95" t="s">
        <v>1561</v>
      </c>
      <c r="B805" s="95" t="s">
        <v>1574</v>
      </c>
      <c r="C805" s="95" t="s">
        <v>1427</v>
      </c>
      <c r="D805" s="96" t="s">
        <v>1592</v>
      </c>
      <c r="E805" s="95" t="s">
        <v>1618</v>
      </c>
      <c r="F805" s="95" t="s">
        <v>1630</v>
      </c>
      <c r="G805" s="95" t="s">
        <v>1577</v>
      </c>
      <c r="H805" s="97" t="str">
        <f>IFERROR(VLOOKUP(I805,'Raw material list'!$A$3:$C$695,3,0),"")</f>
        <v>DRS1-1768</v>
      </c>
      <c r="I805" s="97" t="s">
        <v>192</v>
      </c>
      <c r="J805" s="95" t="s">
        <v>111</v>
      </c>
      <c r="K805" s="101" t="str">
        <f>IFERROR(VLOOKUP(I805,'Raw material list'!$A$3:$E$695,5,0),"")</f>
        <v xml:space="preserve">Gram </v>
      </c>
      <c r="L805" s="95">
        <v>5</v>
      </c>
      <c r="M805" s="98">
        <f t="shared" si="161"/>
        <v>5</v>
      </c>
      <c r="N805" s="98">
        <v>100</v>
      </c>
      <c r="O805" s="95">
        <v>10</v>
      </c>
      <c r="P805" s="98">
        <f t="shared" si="165"/>
        <v>0.5</v>
      </c>
      <c r="Q805" s="99">
        <f>IFERROR(VLOOKUP(I805,'Raw material list'!$A$3:$F$695,6,0),"")</f>
        <v>1.29E-2</v>
      </c>
      <c r="R805" s="100">
        <f t="shared" si="157"/>
        <v>6.45E-3</v>
      </c>
      <c r="S805" s="94">
        <f t="shared" si="158"/>
        <v>6.4500000000000007E-4</v>
      </c>
      <c r="T805" s="94">
        <f t="shared" si="159"/>
        <v>7.0949999999999997E-3</v>
      </c>
      <c r="U805" s="93">
        <f t="shared" si="162"/>
        <v>7.0950000000000006E-4</v>
      </c>
      <c r="V805" s="93">
        <f t="shared" si="163"/>
        <v>7.0950000000000003E-5</v>
      </c>
      <c r="W805" s="93">
        <f t="shared" si="164"/>
        <v>7.0950000000000003E-5</v>
      </c>
      <c r="X805" s="93">
        <f t="shared" si="160"/>
        <v>7.9463999999999993E-3</v>
      </c>
      <c r="Y805" s="121"/>
    </row>
    <row r="806" spans="1:25">
      <c r="A806" s="95" t="s">
        <v>1561</v>
      </c>
      <c r="B806" s="95" t="s">
        <v>1574</v>
      </c>
      <c r="C806" s="95" t="s">
        <v>1427</v>
      </c>
      <c r="D806" s="96" t="s">
        <v>1592</v>
      </c>
      <c r="E806" s="95" t="s">
        <v>1618</v>
      </c>
      <c r="F806" s="95" t="s">
        <v>1630</v>
      </c>
      <c r="G806" s="95" t="s">
        <v>1693</v>
      </c>
      <c r="H806" s="97" t="str">
        <f>IFERROR(VLOOKUP(I806,'Raw material list'!$A$3:$C$695,3,0),"")</f>
        <v>DRS1-1652</v>
      </c>
      <c r="I806" s="97" t="s">
        <v>1425</v>
      </c>
      <c r="J806" s="95" t="s">
        <v>111</v>
      </c>
      <c r="K806" s="101" t="str">
        <f>IFERROR(VLOOKUP(I806,'Raw material list'!$A$3:$E$695,5,0),"")</f>
        <v xml:space="preserve">Gram </v>
      </c>
      <c r="L806" s="95">
        <v>33.82</v>
      </c>
      <c r="M806" s="98">
        <f t="shared" si="161"/>
        <v>33.82</v>
      </c>
      <c r="N806" s="98">
        <v>100</v>
      </c>
      <c r="O806" s="95">
        <v>10</v>
      </c>
      <c r="P806" s="98">
        <f t="shared" si="165"/>
        <v>3.3820000000000001</v>
      </c>
      <c r="Q806" s="99">
        <f>IFERROR(VLOOKUP(I806,'Raw material list'!$A$3:$F$695,6,0),"")</f>
        <v>1.2800000000000001E-2</v>
      </c>
      <c r="R806" s="100">
        <f t="shared" si="157"/>
        <v>4.3289600000000004E-2</v>
      </c>
      <c r="S806" s="94">
        <f t="shared" si="158"/>
        <v>4.3289600000000006E-3</v>
      </c>
      <c r="T806" s="94">
        <f t="shared" si="159"/>
        <v>4.7618560000000004E-2</v>
      </c>
      <c r="U806" s="93">
        <f t="shared" si="162"/>
        <v>4.7618560000000009E-3</v>
      </c>
      <c r="V806" s="93">
        <f t="shared" si="163"/>
        <v>4.7618560000000005E-4</v>
      </c>
      <c r="W806" s="93">
        <f t="shared" si="164"/>
        <v>4.7618560000000005E-4</v>
      </c>
      <c r="X806" s="93">
        <f t="shared" si="160"/>
        <v>5.3332787200000002E-2</v>
      </c>
      <c r="Y806" s="121"/>
    </row>
    <row r="807" spans="1:25">
      <c r="A807" s="95" t="s">
        <v>1561</v>
      </c>
      <c r="B807" s="95" t="s">
        <v>1574</v>
      </c>
      <c r="C807" s="95" t="s">
        <v>1427</v>
      </c>
      <c r="D807" s="96" t="s">
        <v>1592</v>
      </c>
      <c r="E807" s="95" t="s">
        <v>1618</v>
      </c>
      <c r="F807" s="95" t="s">
        <v>1630</v>
      </c>
      <c r="G807" s="95" t="s">
        <v>1693</v>
      </c>
      <c r="H807" s="97" t="str">
        <f>IFERROR(VLOOKUP(I807,'Raw material list'!$A$3:$C$695,3,0),"")</f>
        <v>DRY1-1717</v>
      </c>
      <c r="I807" s="97" t="s">
        <v>303</v>
      </c>
      <c r="J807" s="95" t="s">
        <v>111</v>
      </c>
      <c r="K807" s="101" t="str">
        <f>IFERROR(VLOOKUP(I807,'Raw material list'!$A$3:$E$695,5,0),"")</f>
        <v xml:space="preserve">Gram </v>
      </c>
      <c r="L807" s="95">
        <v>16.91</v>
      </c>
      <c r="M807" s="98">
        <f t="shared" si="161"/>
        <v>16.91</v>
      </c>
      <c r="N807" s="98">
        <v>100</v>
      </c>
      <c r="O807" s="95">
        <v>10</v>
      </c>
      <c r="P807" s="98">
        <f t="shared" si="165"/>
        <v>1.6910000000000001</v>
      </c>
      <c r="Q807" s="99">
        <f>IFERROR(VLOOKUP(I807,'Raw material list'!$A$3:$F$695,6,0),"")</f>
        <v>3.6999999999999998E-2</v>
      </c>
      <c r="R807" s="100">
        <f t="shared" si="157"/>
        <v>6.2566999999999998E-2</v>
      </c>
      <c r="S807" s="94">
        <f t="shared" si="158"/>
        <v>6.2567000000000005E-3</v>
      </c>
      <c r="T807" s="94">
        <f t="shared" si="159"/>
        <v>6.8823700000000002E-2</v>
      </c>
      <c r="U807" s="93">
        <f t="shared" si="162"/>
        <v>6.8823700000000005E-3</v>
      </c>
      <c r="V807" s="93">
        <f t="shared" si="163"/>
        <v>6.8823700000000007E-4</v>
      </c>
      <c r="W807" s="93">
        <f t="shared" si="164"/>
        <v>6.8823700000000007E-4</v>
      </c>
      <c r="X807" s="93">
        <f t="shared" si="160"/>
        <v>7.7082543999999989E-2</v>
      </c>
      <c r="Y807" s="121"/>
    </row>
    <row r="808" spans="1:25">
      <c r="A808" s="95" t="s">
        <v>1561</v>
      </c>
      <c r="B808" s="95" t="s">
        <v>1574</v>
      </c>
      <c r="C808" s="95" t="s">
        <v>1427</v>
      </c>
      <c r="D808" s="96" t="s">
        <v>1592</v>
      </c>
      <c r="E808" s="95" t="s">
        <v>1618</v>
      </c>
      <c r="F808" s="95" t="s">
        <v>1630</v>
      </c>
      <c r="G808" s="95" t="s">
        <v>1693</v>
      </c>
      <c r="H808" s="97" t="str">
        <f>IFERROR(VLOOKUP(I808,'Raw material list'!$A$3:$C$695,3,0),"")</f>
        <v>PRD1-209</v>
      </c>
      <c r="I808" s="97" t="s">
        <v>26</v>
      </c>
      <c r="J808" s="95" t="s">
        <v>111</v>
      </c>
      <c r="K808" s="101" t="str">
        <f>IFERROR(VLOOKUP(I808,'Raw material list'!$A$3:$E$695,5,0),"")</f>
        <v xml:space="preserve">Gram </v>
      </c>
      <c r="L808" s="95">
        <v>0.33</v>
      </c>
      <c r="M808" s="98">
        <f t="shared" si="161"/>
        <v>0.86842105263157887</v>
      </c>
      <c r="N808" s="98">
        <v>38</v>
      </c>
      <c r="O808" s="95">
        <v>10</v>
      </c>
      <c r="P808" s="98">
        <f t="shared" si="165"/>
        <v>3.3000000000000002E-2</v>
      </c>
      <c r="Q808" s="99">
        <f>IFERROR(VLOOKUP(I808,'Raw material list'!$A$3:$F$695,6,0),"")</f>
        <v>1.0088272383354351E-2</v>
      </c>
      <c r="R808" s="100">
        <f t="shared" si="157"/>
        <v>3.3291298865069358E-4</v>
      </c>
      <c r="S808" s="94">
        <f t="shared" si="158"/>
        <v>3.3291298865069361E-5</v>
      </c>
      <c r="T808" s="94">
        <f t="shared" si="159"/>
        <v>3.6620428751576295E-4</v>
      </c>
      <c r="U808" s="93">
        <f t="shared" si="162"/>
        <v>3.6620428751576301E-5</v>
      </c>
      <c r="V808" s="93">
        <f t="shared" si="163"/>
        <v>3.6620428751576295E-6</v>
      </c>
      <c r="W808" s="93">
        <f t="shared" si="164"/>
        <v>3.6620428751576295E-6</v>
      </c>
      <c r="X808" s="93">
        <f t="shared" si="160"/>
        <v>4.1014880201765448E-4</v>
      </c>
      <c r="Y808" s="121"/>
    </row>
    <row r="809" spans="1:25">
      <c r="A809" s="95" t="s">
        <v>1561</v>
      </c>
      <c r="B809" s="95" t="s">
        <v>1574</v>
      </c>
      <c r="C809" s="95" t="s">
        <v>1427</v>
      </c>
      <c r="D809" s="96" t="s">
        <v>1592</v>
      </c>
      <c r="E809" s="95" t="s">
        <v>1618</v>
      </c>
      <c r="F809" s="95" t="s">
        <v>1630</v>
      </c>
      <c r="G809" s="95" t="s">
        <v>1693</v>
      </c>
      <c r="H809" s="97" t="str">
        <f>IFERROR(VLOOKUP(I809,'Raw material list'!$A$3:$C$695,3,0),"")</f>
        <v>DRS6-537</v>
      </c>
      <c r="I809" s="97" t="s">
        <v>25</v>
      </c>
      <c r="J809" s="95" t="s">
        <v>111</v>
      </c>
      <c r="K809" s="101" t="str">
        <f>IFERROR(VLOOKUP(I809,'Raw material list'!$A$3:$E$695,5,0),"")</f>
        <v xml:space="preserve">Gram </v>
      </c>
      <c r="L809" s="95">
        <v>0.13500000000000001</v>
      </c>
      <c r="M809" s="98">
        <f t="shared" si="161"/>
        <v>0.13500000000000001</v>
      </c>
      <c r="N809" s="98">
        <v>100</v>
      </c>
      <c r="O809" s="95">
        <v>10</v>
      </c>
      <c r="P809" s="98">
        <f t="shared" si="165"/>
        <v>1.3500000000000002E-2</v>
      </c>
      <c r="Q809" s="99">
        <f>IFERROR(VLOOKUP(I809,'Raw material list'!$A$3:$F$695,6,0),"")</f>
        <v>3.5000000000000003E-2</v>
      </c>
      <c r="R809" s="100">
        <f t="shared" si="157"/>
        <v>4.725000000000001E-4</v>
      </c>
      <c r="S809" s="94">
        <f t="shared" si="158"/>
        <v>4.725000000000001E-5</v>
      </c>
      <c r="T809" s="94">
        <f t="shared" si="159"/>
        <v>5.1975000000000014E-4</v>
      </c>
      <c r="U809" s="93">
        <f t="shared" si="162"/>
        <v>5.1975000000000017E-5</v>
      </c>
      <c r="V809" s="93">
        <f t="shared" si="163"/>
        <v>5.1975000000000015E-6</v>
      </c>
      <c r="W809" s="93">
        <f t="shared" si="164"/>
        <v>5.1975000000000015E-6</v>
      </c>
      <c r="X809" s="93">
        <f t="shared" si="160"/>
        <v>5.8212000000000021E-4</v>
      </c>
      <c r="Y809" s="121"/>
    </row>
    <row r="810" spans="1:25">
      <c r="A810" s="95" t="s">
        <v>1561</v>
      </c>
      <c r="B810" s="95" t="s">
        <v>1574</v>
      </c>
      <c r="C810" s="95" t="s">
        <v>1427</v>
      </c>
      <c r="D810" s="96" t="s">
        <v>1592</v>
      </c>
      <c r="E810" s="95" t="s">
        <v>1618</v>
      </c>
      <c r="F810" s="95" t="s">
        <v>1630</v>
      </c>
      <c r="G810" s="95" t="s">
        <v>1693</v>
      </c>
      <c r="H810" s="97" t="str">
        <f>IFERROR(VLOOKUP(I810,'Raw material list'!$A$3:$C$695,3,0),"")</f>
        <v>DRS1-114</v>
      </c>
      <c r="I810" s="97" t="s">
        <v>279</v>
      </c>
      <c r="J810" s="95" t="s">
        <v>111</v>
      </c>
      <c r="K810" s="101" t="str">
        <f>IFERROR(VLOOKUP(I810,'Raw material list'!$A$3:$E$695,5,0),"")</f>
        <v xml:space="preserve">Gram </v>
      </c>
      <c r="L810" s="95">
        <v>0.13500000000000001</v>
      </c>
      <c r="M810" s="98">
        <f t="shared" si="161"/>
        <v>0.13500000000000001</v>
      </c>
      <c r="N810" s="98">
        <v>100</v>
      </c>
      <c r="O810" s="95">
        <v>10</v>
      </c>
      <c r="P810" s="98">
        <f t="shared" si="165"/>
        <v>1.3500000000000002E-2</v>
      </c>
      <c r="Q810" s="99">
        <f>IFERROR(VLOOKUP(I810,'Raw material list'!$A$3:$F$695,6,0),"")</f>
        <v>4.7489823609226586E-3</v>
      </c>
      <c r="R810" s="100">
        <f t="shared" si="157"/>
        <v>6.41112618724559E-5</v>
      </c>
      <c r="S810" s="94">
        <f t="shared" si="158"/>
        <v>6.4111261872455901E-6</v>
      </c>
      <c r="T810" s="94">
        <f t="shared" si="159"/>
        <v>7.0522388059701492E-5</v>
      </c>
      <c r="U810" s="93">
        <f t="shared" si="162"/>
        <v>7.0522388059701492E-6</v>
      </c>
      <c r="V810" s="93">
        <f t="shared" si="163"/>
        <v>7.0522388059701492E-7</v>
      </c>
      <c r="W810" s="93">
        <f t="shared" si="164"/>
        <v>7.0522388059701492E-7</v>
      </c>
      <c r="X810" s="93">
        <f t="shared" si="160"/>
        <v>7.8985074626865672E-5</v>
      </c>
      <c r="Y810" s="121"/>
    </row>
    <row r="811" spans="1:25">
      <c r="A811" s="95" t="s">
        <v>1561</v>
      </c>
      <c r="B811" s="95" t="s">
        <v>1574</v>
      </c>
      <c r="C811" s="95" t="s">
        <v>1427</v>
      </c>
      <c r="D811" s="96" t="s">
        <v>1592</v>
      </c>
      <c r="E811" s="95" t="s">
        <v>1618</v>
      </c>
      <c r="F811" s="95" t="s">
        <v>1630</v>
      </c>
      <c r="G811" s="95" t="s">
        <v>1693</v>
      </c>
      <c r="H811" s="97" t="str">
        <f>IFERROR(VLOOKUP(I811,'Raw material list'!$A$3:$C$695,3,0),"")</f>
        <v>WAT-001</v>
      </c>
      <c r="I811" s="97" t="s">
        <v>1406</v>
      </c>
      <c r="J811" s="95" t="s">
        <v>161</v>
      </c>
      <c r="K811" s="101" t="str">
        <f>IFERROR(VLOOKUP(I811,'Raw material list'!$A$3:$E$695,5,0),"")</f>
        <v>Ml</v>
      </c>
      <c r="L811" s="95">
        <v>3.38</v>
      </c>
      <c r="M811" s="98">
        <f t="shared" si="161"/>
        <v>3.38</v>
      </c>
      <c r="N811" s="98">
        <v>100</v>
      </c>
      <c r="O811" s="95">
        <v>10</v>
      </c>
      <c r="P811" s="98">
        <f t="shared" si="165"/>
        <v>0.33799999999999997</v>
      </c>
      <c r="Q811" s="99">
        <f>IFERROR(VLOOKUP(I811,'Raw material list'!$A$3:$F$695,6,0),"")</f>
        <v>8.0000000000000007E-5</v>
      </c>
      <c r="R811" s="100">
        <f t="shared" si="157"/>
        <v>2.7039999999999999E-5</v>
      </c>
      <c r="S811" s="94">
        <f t="shared" si="158"/>
        <v>2.7039999999999999E-6</v>
      </c>
      <c r="T811" s="94">
        <f t="shared" si="159"/>
        <v>2.9743999999999998E-5</v>
      </c>
      <c r="U811" s="93">
        <f t="shared" si="162"/>
        <v>2.9743999999999998E-6</v>
      </c>
      <c r="V811" s="93">
        <f t="shared" si="163"/>
        <v>2.9744E-7</v>
      </c>
      <c r="W811" s="93">
        <f t="shared" si="164"/>
        <v>2.9744E-7</v>
      </c>
      <c r="X811" s="93">
        <f t="shared" si="160"/>
        <v>3.331327999999999E-5</v>
      </c>
      <c r="Y811" s="121"/>
    </row>
    <row r="812" spans="1:25">
      <c r="A812" s="95" t="s">
        <v>1561</v>
      </c>
      <c r="B812" s="95" t="s">
        <v>1574</v>
      </c>
      <c r="C812" s="95" t="s">
        <v>1427</v>
      </c>
      <c r="D812" s="96" t="s">
        <v>1592</v>
      </c>
      <c r="E812" s="95" t="s">
        <v>1618</v>
      </c>
      <c r="F812" s="95" t="s">
        <v>1630</v>
      </c>
      <c r="G812" s="95" t="s">
        <v>1693</v>
      </c>
      <c r="H812" s="97" t="str">
        <f>IFERROR(VLOOKUP(I812,'Raw material list'!$A$3:$C$695,3,0),"")</f>
        <v>DRS1-5273</v>
      </c>
      <c r="I812" s="97" t="s">
        <v>773</v>
      </c>
      <c r="J812" s="95" t="s">
        <v>161</v>
      </c>
      <c r="K812" s="101" t="str">
        <f>IFERROR(VLOOKUP(I812,'Raw material list'!$A$3:$E$695,5,0),"")</f>
        <v>Ml</v>
      </c>
      <c r="L812" s="95">
        <v>0.67</v>
      </c>
      <c r="M812" s="98">
        <f t="shared" si="161"/>
        <v>0.67</v>
      </c>
      <c r="N812" s="98">
        <v>100</v>
      </c>
      <c r="O812" s="95">
        <v>10</v>
      </c>
      <c r="P812" s="98">
        <f t="shared" si="165"/>
        <v>6.7000000000000004E-2</v>
      </c>
      <c r="Q812" s="99">
        <f>IFERROR(VLOOKUP(I812,'Raw material list'!$A$3:$F$695,6,0),"")</f>
        <v>1.8518518518518521E-2</v>
      </c>
      <c r="R812" s="100">
        <f t="shared" si="157"/>
        <v>1.240740740740741E-3</v>
      </c>
      <c r="S812" s="94">
        <f t="shared" si="158"/>
        <v>1.2407407407407411E-4</v>
      </c>
      <c r="T812" s="94">
        <f t="shared" si="159"/>
        <v>1.3648148148148152E-3</v>
      </c>
      <c r="U812" s="93">
        <f t="shared" si="162"/>
        <v>1.3648148148148154E-4</v>
      </c>
      <c r="V812" s="93">
        <f t="shared" si="163"/>
        <v>1.3648148148148153E-5</v>
      </c>
      <c r="W812" s="93">
        <f t="shared" si="164"/>
        <v>1.3648148148148153E-5</v>
      </c>
      <c r="X812" s="93">
        <f t="shared" si="160"/>
        <v>1.5285925925925929E-3</v>
      </c>
      <c r="Y812" s="121"/>
    </row>
    <row r="813" spans="1:25">
      <c r="A813" s="95" t="s">
        <v>1561</v>
      </c>
      <c r="B813" s="95" t="s">
        <v>1574</v>
      </c>
      <c r="C813" s="95" t="s">
        <v>1427</v>
      </c>
      <c r="D813" s="96" t="s">
        <v>1592</v>
      </c>
      <c r="E813" s="95" t="s">
        <v>1618</v>
      </c>
      <c r="F813" s="95" t="s">
        <v>1630</v>
      </c>
      <c r="G813" s="95" t="s">
        <v>1693</v>
      </c>
      <c r="H813" s="97" t="str">
        <f>IFERROR(VLOOKUP(I813,'Raw material list'!$A$3:$C$695,3,0),"")</f>
        <v>DRS1-5269</v>
      </c>
      <c r="I813" s="97" t="s">
        <v>248</v>
      </c>
      <c r="J813" s="95" t="s">
        <v>161</v>
      </c>
      <c r="K813" s="101" t="str">
        <f>IFERROR(VLOOKUP(I813,'Raw material list'!$A$3:$E$695,5,0),"")</f>
        <v>Ml</v>
      </c>
      <c r="L813" s="95">
        <v>0.67</v>
      </c>
      <c r="M813" s="98">
        <f t="shared" si="161"/>
        <v>0.67</v>
      </c>
      <c r="N813" s="98">
        <v>100</v>
      </c>
      <c r="O813" s="95">
        <v>10</v>
      </c>
      <c r="P813" s="98">
        <f t="shared" si="165"/>
        <v>6.7000000000000004E-2</v>
      </c>
      <c r="Q813" s="99">
        <f>IFERROR(VLOOKUP(I813,'Raw material list'!$A$3:$F$695,6,0),"")</f>
        <v>0.1066666666666667</v>
      </c>
      <c r="R813" s="100">
        <f t="shared" si="157"/>
        <v>7.1466666666666692E-3</v>
      </c>
      <c r="S813" s="94">
        <f t="shared" si="158"/>
        <v>7.1466666666666694E-4</v>
      </c>
      <c r="T813" s="94">
        <f t="shared" si="159"/>
        <v>7.8613333333333365E-3</v>
      </c>
      <c r="U813" s="93">
        <f t="shared" si="162"/>
        <v>7.8613333333333365E-4</v>
      </c>
      <c r="V813" s="93">
        <f t="shared" si="163"/>
        <v>7.8613333333333362E-5</v>
      </c>
      <c r="W813" s="93">
        <f t="shared" si="164"/>
        <v>7.8613333333333362E-5</v>
      </c>
      <c r="X813" s="93">
        <f t="shared" si="160"/>
        <v>8.8046933333333355E-3</v>
      </c>
      <c r="Y813" s="121"/>
    </row>
    <row r="814" spans="1:25">
      <c r="A814" s="95" t="s">
        <v>1561</v>
      </c>
      <c r="B814" s="95" t="s">
        <v>1574</v>
      </c>
      <c r="C814" s="95" t="s">
        <v>1427</v>
      </c>
      <c r="D814" s="96" t="s">
        <v>1592</v>
      </c>
      <c r="E814" s="95" t="s">
        <v>1618</v>
      </c>
      <c r="F814" s="95" t="s">
        <v>1630</v>
      </c>
      <c r="G814" s="95" t="s">
        <v>1693</v>
      </c>
      <c r="H814" s="97" t="str">
        <f>IFERROR(VLOOKUP(I814,'Raw material list'!$A$3:$C$695,3,0),"")</f>
        <v>DRY2-1858</v>
      </c>
      <c r="I814" s="97" t="s">
        <v>42</v>
      </c>
      <c r="J814" s="95" t="s">
        <v>161</v>
      </c>
      <c r="K814" s="101" t="str">
        <f>IFERROR(VLOOKUP(I814,'Raw material list'!$A$3:$E$695,5,0),"")</f>
        <v>Ml</v>
      </c>
      <c r="L814" s="95">
        <v>3.38</v>
      </c>
      <c r="M814" s="98">
        <f t="shared" si="161"/>
        <v>3.38</v>
      </c>
      <c r="N814" s="98">
        <v>100</v>
      </c>
      <c r="O814" s="95">
        <v>10</v>
      </c>
      <c r="P814" s="98">
        <f t="shared" si="165"/>
        <v>0.33799999999999997</v>
      </c>
      <c r="Q814" s="99">
        <f>IFERROR(VLOOKUP(I814,'Raw material list'!$A$3:$F$695,6,0),"")</f>
        <v>9.8800000000000016E-3</v>
      </c>
      <c r="R814" s="100">
        <f t="shared" si="157"/>
        <v>3.3394400000000004E-3</v>
      </c>
      <c r="S814" s="94">
        <f t="shared" si="158"/>
        <v>3.3394400000000008E-4</v>
      </c>
      <c r="T814" s="94">
        <f t="shared" si="159"/>
        <v>3.6733840000000005E-3</v>
      </c>
      <c r="U814" s="93">
        <f t="shared" si="162"/>
        <v>3.6733840000000007E-4</v>
      </c>
      <c r="V814" s="93">
        <f t="shared" si="163"/>
        <v>3.6733840000000007E-5</v>
      </c>
      <c r="W814" s="93">
        <f t="shared" si="164"/>
        <v>3.6733840000000007E-5</v>
      </c>
      <c r="X814" s="93">
        <f t="shared" si="160"/>
        <v>4.1141900799999999E-3</v>
      </c>
      <c r="Y814" s="121"/>
    </row>
    <row r="815" spans="1:25">
      <c r="A815" s="95" t="s">
        <v>1561</v>
      </c>
      <c r="B815" s="95" t="s">
        <v>1574</v>
      </c>
      <c r="C815" s="95" t="s">
        <v>1427</v>
      </c>
      <c r="D815" s="96" t="s">
        <v>1592</v>
      </c>
      <c r="E815" s="95" t="s">
        <v>1618</v>
      </c>
      <c r="F815" s="95" t="s">
        <v>1630</v>
      </c>
      <c r="G815" s="95" t="s">
        <v>1693</v>
      </c>
      <c r="H815" s="97" t="str">
        <f>IFERROR(VLOOKUP(I815,'Raw material list'!$A$3:$C$695,3,0),"")</f>
        <v>PRD3-3878</v>
      </c>
      <c r="I815" s="97" t="s">
        <v>945</v>
      </c>
      <c r="J815" s="95" t="s">
        <v>111</v>
      </c>
      <c r="K815" s="101" t="str">
        <f>IFERROR(VLOOKUP(I815,'Raw material list'!$A$3:$E$695,5,0),"")</f>
        <v xml:space="preserve">Gram </v>
      </c>
      <c r="L815" s="95">
        <v>0.54</v>
      </c>
      <c r="M815" s="98">
        <f t="shared" si="161"/>
        <v>0.54</v>
      </c>
      <c r="N815" s="98">
        <v>100</v>
      </c>
      <c r="O815" s="95">
        <v>10</v>
      </c>
      <c r="P815" s="98">
        <f t="shared" si="165"/>
        <v>5.4000000000000006E-2</v>
      </c>
      <c r="Q815" s="99">
        <f>IFERROR(VLOOKUP(I815,'Raw material list'!$A$3:$F$695,6,0),"")</f>
        <v>0.03</v>
      </c>
      <c r="R815" s="100">
        <f t="shared" si="157"/>
        <v>1.6200000000000001E-3</v>
      </c>
      <c r="S815" s="94">
        <f t="shared" si="158"/>
        <v>1.6200000000000003E-4</v>
      </c>
      <c r="T815" s="94">
        <f t="shared" si="159"/>
        <v>1.7820000000000002E-3</v>
      </c>
      <c r="U815" s="93">
        <f t="shared" si="162"/>
        <v>1.7820000000000002E-4</v>
      </c>
      <c r="V815" s="93">
        <f t="shared" si="163"/>
        <v>1.7820000000000002E-5</v>
      </c>
      <c r="W815" s="93">
        <f t="shared" si="164"/>
        <v>1.7820000000000002E-5</v>
      </c>
      <c r="X815" s="93">
        <f t="shared" si="160"/>
        <v>1.99584E-3</v>
      </c>
      <c r="Y815" s="121"/>
    </row>
    <row r="816" spans="1:25">
      <c r="A816" s="95" t="s">
        <v>1562</v>
      </c>
      <c r="B816" s="95" t="s">
        <v>1574</v>
      </c>
      <c r="C816" s="95" t="s">
        <v>1427</v>
      </c>
      <c r="D816" s="96" t="s">
        <v>1594</v>
      </c>
      <c r="E816" s="95" t="s">
        <v>1618</v>
      </c>
      <c r="F816" s="95" t="s">
        <v>1630</v>
      </c>
      <c r="G816" s="95"/>
      <c r="H816" s="97" t="str">
        <f>IFERROR(VLOOKUP(I816,'Raw material list'!$A$3:$C$695,3,0),"")</f>
        <v>PRD1-196</v>
      </c>
      <c r="I816" s="97" t="s">
        <v>994</v>
      </c>
      <c r="J816" s="95" t="s">
        <v>111</v>
      </c>
      <c r="K816" s="101" t="str">
        <f>IFERROR(VLOOKUP(I816,'Raw material list'!$A$3:$E$695,5,0),"")</f>
        <v xml:space="preserve">Gram </v>
      </c>
      <c r="L816" s="95">
        <v>220</v>
      </c>
      <c r="M816" s="98">
        <f t="shared" si="161"/>
        <v>260.56060007895775</v>
      </c>
      <c r="N816" s="98">
        <v>84.433333333333337</v>
      </c>
      <c r="O816" s="95">
        <v>10</v>
      </c>
      <c r="P816" s="98">
        <f t="shared" si="165"/>
        <v>22</v>
      </c>
      <c r="Q816" s="99">
        <f>IFERROR(VLOOKUP(I816,'Raw material list'!$A$3:$F$695,6,0),"")</f>
        <v>4.1469194312796203E-3</v>
      </c>
      <c r="R816" s="100">
        <f t="shared" si="157"/>
        <v>9.1232227488151643E-2</v>
      </c>
      <c r="S816" s="94">
        <f t="shared" si="158"/>
        <v>9.1232227488151647E-3</v>
      </c>
      <c r="T816" s="94">
        <f t="shared" si="159"/>
        <v>0.10035545023696681</v>
      </c>
      <c r="U816" s="93">
        <f t="shared" si="162"/>
        <v>1.0035545023696682E-2</v>
      </c>
      <c r="V816" s="93">
        <f t="shared" si="163"/>
        <v>1.003554502369668E-3</v>
      </c>
      <c r="W816" s="93">
        <f t="shared" si="164"/>
        <v>1.003554502369668E-3</v>
      </c>
      <c r="X816" s="93">
        <f t="shared" si="160"/>
        <v>0.11239810426540281</v>
      </c>
      <c r="Y816" s="121"/>
    </row>
    <row r="817" spans="1:25">
      <c r="A817" s="95" t="s">
        <v>1562</v>
      </c>
      <c r="B817" s="95" t="s">
        <v>1574</v>
      </c>
      <c r="C817" s="95" t="s">
        <v>1427</v>
      </c>
      <c r="D817" s="96" t="s">
        <v>1594</v>
      </c>
      <c r="E817" s="95" t="s">
        <v>1618</v>
      </c>
      <c r="F817" s="95" t="s">
        <v>1630</v>
      </c>
      <c r="G817" s="95"/>
      <c r="H817" s="97" t="str">
        <f>IFERROR(VLOOKUP(I817,'Raw material list'!$A$3:$C$695,3,0),"")</f>
        <v>PRD1-1447</v>
      </c>
      <c r="I817" s="97" t="s">
        <v>1412</v>
      </c>
      <c r="J817" s="95" t="s">
        <v>111</v>
      </c>
      <c r="K817" s="101" t="str">
        <f>IFERROR(VLOOKUP(I817,'Raw material list'!$A$3:$E$695,5,0),"")</f>
        <v xml:space="preserve">Gram </v>
      </c>
      <c r="L817" s="95">
        <v>230</v>
      </c>
      <c r="M817" s="98">
        <f t="shared" si="161"/>
        <v>310.81081081081078</v>
      </c>
      <c r="N817" s="98">
        <v>74</v>
      </c>
      <c r="O817" s="95">
        <v>10</v>
      </c>
      <c r="P817" s="98">
        <f t="shared" si="165"/>
        <v>23</v>
      </c>
      <c r="Q817" s="99">
        <f>IFERROR(VLOOKUP(I817,'Raw material list'!$A$3:$F$695,6,0),"")</f>
        <v>1.2999999999999999E-2</v>
      </c>
      <c r="R817" s="100">
        <f t="shared" si="157"/>
        <v>0.29899999999999999</v>
      </c>
      <c r="S817" s="94">
        <f t="shared" si="158"/>
        <v>2.9899999999999999E-2</v>
      </c>
      <c r="T817" s="94">
        <f t="shared" si="159"/>
        <v>0.32889999999999997</v>
      </c>
      <c r="U817" s="93">
        <f t="shared" si="162"/>
        <v>3.2889999999999996E-2</v>
      </c>
      <c r="V817" s="93">
        <f t="shared" si="163"/>
        <v>3.2889999999999998E-3</v>
      </c>
      <c r="W817" s="93">
        <f t="shared" si="164"/>
        <v>3.2889999999999998E-3</v>
      </c>
      <c r="X817" s="93">
        <f t="shared" si="160"/>
        <v>0.36836799999999992</v>
      </c>
      <c r="Y817" s="121"/>
    </row>
    <row r="818" spans="1:25">
      <c r="A818" s="95" t="s">
        <v>1562</v>
      </c>
      <c r="B818" s="95" t="s">
        <v>1574</v>
      </c>
      <c r="C818" s="95" t="s">
        <v>1427</v>
      </c>
      <c r="D818" s="96" t="s">
        <v>1594</v>
      </c>
      <c r="E818" s="95" t="s">
        <v>1618</v>
      </c>
      <c r="F818" s="95" t="s">
        <v>1630</v>
      </c>
      <c r="G818" s="95"/>
      <c r="H818" s="97" t="str">
        <f>IFERROR(VLOOKUP(I818,'Raw material list'!$A$3:$C$695,3,0),"")</f>
        <v>PRD1-572</v>
      </c>
      <c r="I818" s="97" t="s">
        <v>20</v>
      </c>
      <c r="J818" s="95" t="s">
        <v>111</v>
      </c>
      <c r="K818" s="101" t="str">
        <f>IFERROR(VLOOKUP(I818,'Raw material list'!$A$3:$E$695,5,0),"")</f>
        <v xml:space="preserve">Gram </v>
      </c>
      <c r="L818" s="95">
        <v>100</v>
      </c>
      <c r="M818" s="98">
        <f t="shared" si="161"/>
        <v>113.33585190782016</v>
      </c>
      <c r="N818" s="98">
        <v>88.233333333333348</v>
      </c>
      <c r="O818" s="95">
        <v>10</v>
      </c>
      <c r="P818" s="98">
        <f t="shared" si="165"/>
        <v>10</v>
      </c>
      <c r="Q818" s="99">
        <f>IFERROR(VLOOKUP(I818,'Raw material list'!$A$3:$F$695,6,0),"")</f>
        <v>4.5351473922902504E-3</v>
      </c>
      <c r="R818" s="100">
        <f t="shared" si="157"/>
        <v>4.5351473922902508E-2</v>
      </c>
      <c r="S818" s="94">
        <f t="shared" si="158"/>
        <v>4.5351473922902513E-3</v>
      </c>
      <c r="T818" s="94">
        <f t="shared" si="159"/>
        <v>4.988662131519276E-2</v>
      </c>
      <c r="U818" s="93">
        <f t="shared" si="162"/>
        <v>4.988662131519276E-3</v>
      </c>
      <c r="V818" s="93">
        <f t="shared" si="163"/>
        <v>4.9886621315192758E-4</v>
      </c>
      <c r="W818" s="93">
        <f t="shared" si="164"/>
        <v>4.9886621315192758E-4</v>
      </c>
      <c r="X818" s="93">
        <f t="shared" si="160"/>
        <v>5.5873015873015894E-2</v>
      </c>
      <c r="Y818" s="121"/>
    </row>
    <row r="819" spans="1:25">
      <c r="A819" s="95" t="s">
        <v>1562</v>
      </c>
      <c r="B819" s="95" t="s">
        <v>1574</v>
      </c>
      <c r="C819" s="95" t="s">
        <v>1427</v>
      </c>
      <c r="D819" s="96" t="s">
        <v>1594</v>
      </c>
      <c r="E819" s="95" t="s">
        <v>1618</v>
      </c>
      <c r="F819" s="95" t="s">
        <v>1630</v>
      </c>
      <c r="G819" s="95"/>
      <c r="H819" s="97" t="str">
        <f>IFERROR(VLOOKUP(I819,'Raw material list'!$A$3:$C$695,3,0),"")</f>
        <v>PRD1-709</v>
      </c>
      <c r="I819" s="97" t="s">
        <v>975</v>
      </c>
      <c r="J819" s="95" t="s">
        <v>111</v>
      </c>
      <c r="K819" s="101" t="str">
        <f>IFERROR(VLOOKUP(I819,'Raw material list'!$A$3:$E$695,5,0),"")</f>
        <v xml:space="preserve">Gram </v>
      </c>
      <c r="L819" s="95">
        <v>160</v>
      </c>
      <c r="M819" s="98">
        <f t="shared" si="161"/>
        <v>191.23505976095615</v>
      </c>
      <c r="N819" s="98">
        <v>83.666666666666671</v>
      </c>
      <c r="O819" s="95">
        <v>10</v>
      </c>
      <c r="P819" s="98">
        <f t="shared" si="165"/>
        <v>16</v>
      </c>
      <c r="Q819" s="99">
        <f>IFERROR(VLOOKUP(I819,'Raw material list'!$A$3:$F$695,6,0),"")</f>
        <v>4.7789725209080054E-3</v>
      </c>
      <c r="R819" s="100">
        <f t="shared" si="157"/>
        <v>7.6463560334528086E-2</v>
      </c>
      <c r="S819" s="94">
        <f t="shared" si="158"/>
        <v>7.6463560334528091E-3</v>
      </c>
      <c r="T819" s="94">
        <f t="shared" si="159"/>
        <v>8.4109916367980889E-2</v>
      </c>
      <c r="U819" s="93">
        <f t="shared" si="162"/>
        <v>8.4109916367980896E-3</v>
      </c>
      <c r="V819" s="93">
        <f t="shared" si="163"/>
        <v>8.4109916367980896E-4</v>
      </c>
      <c r="W819" s="93">
        <f t="shared" si="164"/>
        <v>8.4109916367980896E-4</v>
      </c>
      <c r="X819" s="93">
        <f t="shared" si="160"/>
        <v>9.4203106332138589E-2</v>
      </c>
      <c r="Y819" s="121"/>
    </row>
    <row r="820" spans="1:25">
      <c r="A820" s="95" t="s">
        <v>1562</v>
      </c>
      <c r="B820" s="95" t="s">
        <v>1574</v>
      </c>
      <c r="C820" s="95" t="s">
        <v>1427</v>
      </c>
      <c r="D820" s="96" t="s">
        <v>1594</v>
      </c>
      <c r="E820" s="95" t="s">
        <v>1618</v>
      </c>
      <c r="F820" s="95" t="s">
        <v>1630</v>
      </c>
      <c r="G820" s="95"/>
      <c r="H820" s="97" t="str">
        <f>IFERROR(VLOOKUP(I820,'Raw material list'!$A$3:$C$695,3,0),"")</f>
        <v>PRD1-403</v>
      </c>
      <c r="I820" s="97" t="s">
        <v>1039</v>
      </c>
      <c r="J820" s="95" t="s">
        <v>111</v>
      </c>
      <c r="K820" s="101" t="str">
        <f>IFERROR(VLOOKUP(I820,'Raw material list'!$A$3:$E$695,5,0),"")</f>
        <v xml:space="preserve">Gram </v>
      </c>
      <c r="L820" s="95">
        <v>100</v>
      </c>
      <c r="M820" s="98">
        <f t="shared" si="161"/>
        <v>149.55134596211369</v>
      </c>
      <c r="N820" s="98">
        <v>66.86666666666666</v>
      </c>
      <c r="O820" s="95">
        <v>10</v>
      </c>
      <c r="P820" s="98">
        <f t="shared" si="165"/>
        <v>10</v>
      </c>
      <c r="Q820" s="99">
        <f>IFERROR(VLOOKUP(I820,'Raw material list'!$A$3:$F$695,6,0),"")</f>
        <v>1.9431988041853511E-2</v>
      </c>
      <c r="R820" s="100">
        <f t="shared" si="157"/>
        <v>0.1943198804185351</v>
      </c>
      <c r="S820" s="94">
        <f t="shared" si="158"/>
        <v>1.9431988041853511E-2</v>
      </c>
      <c r="T820" s="94">
        <f t="shared" si="159"/>
        <v>0.2137518684603886</v>
      </c>
      <c r="U820" s="93">
        <f t="shared" si="162"/>
        <v>2.1375186846038861E-2</v>
      </c>
      <c r="V820" s="93">
        <f t="shared" si="163"/>
        <v>2.1375186846038859E-3</v>
      </c>
      <c r="W820" s="93">
        <f t="shared" si="164"/>
        <v>2.1375186846038859E-3</v>
      </c>
      <c r="X820" s="93">
        <f t="shared" si="160"/>
        <v>0.23940209267563523</v>
      </c>
      <c r="Y820" s="121"/>
    </row>
    <row r="821" spans="1:25">
      <c r="A821" s="95" t="s">
        <v>1562</v>
      </c>
      <c r="B821" s="95" t="s">
        <v>1574</v>
      </c>
      <c r="C821" s="95" t="s">
        <v>1427</v>
      </c>
      <c r="D821" s="96" t="s">
        <v>1594</v>
      </c>
      <c r="E821" s="95" t="s">
        <v>1618</v>
      </c>
      <c r="F821" s="95" t="s">
        <v>1630</v>
      </c>
      <c r="G821" s="95" t="s">
        <v>1442</v>
      </c>
      <c r="H821" s="97" t="str">
        <f>IFERROR(VLOOKUP(I821,'Raw material list'!$A$3:$C$695,3,0),"")</f>
        <v>DRS3-1615</v>
      </c>
      <c r="I821" s="97" t="s">
        <v>24</v>
      </c>
      <c r="J821" s="95" t="s">
        <v>161</v>
      </c>
      <c r="K821" s="101" t="str">
        <f>IFERROR(VLOOKUP(I821,'Raw material list'!$A$3:$E$695,5,0),"")</f>
        <v>Ml</v>
      </c>
      <c r="L821" s="95">
        <v>22.72</v>
      </c>
      <c r="M821" s="98">
        <f t="shared" si="161"/>
        <v>22.72</v>
      </c>
      <c r="N821" s="98">
        <v>100</v>
      </c>
      <c r="O821" s="95">
        <v>10</v>
      </c>
      <c r="P821" s="98">
        <f t="shared" si="165"/>
        <v>2.2719999999999998</v>
      </c>
      <c r="Q821" s="99">
        <f>IFERROR(VLOOKUP(I821,'Raw material list'!$A$3:$F$695,6,0),"")</f>
        <v>1.2E-2</v>
      </c>
      <c r="R821" s="100">
        <f t="shared" si="157"/>
        <v>2.7263999999999997E-2</v>
      </c>
      <c r="S821" s="94">
        <f t="shared" si="158"/>
        <v>2.7263999999999999E-3</v>
      </c>
      <c r="T821" s="94">
        <f t="shared" si="159"/>
        <v>2.9990399999999997E-2</v>
      </c>
      <c r="U821" s="93">
        <f t="shared" si="162"/>
        <v>2.9990399999999997E-3</v>
      </c>
      <c r="V821" s="93">
        <f t="shared" si="163"/>
        <v>2.9990399999999998E-4</v>
      </c>
      <c r="W821" s="93">
        <f t="shared" si="164"/>
        <v>2.9990399999999998E-4</v>
      </c>
      <c r="X821" s="93">
        <f t="shared" si="160"/>
        <v>3.3589247999999988E-2</v>
      </c>
      <c r="Y821" s="121"/>
    </row>
    <row r="822" spans="1:25">
      <c r="A822" s="95" t="s">
        <v>1562</v>
      </c>
      <c r="B822" s="95" t="s">
        <v>1574</v>
      </c>
      <c r="C822" s="95" t="s">
        <v>1427</v>
      </c>
      <c r="D822" s="96" t="s">
        <v>1594</v>
      </c>
      <c r="E822" s="95" t="s">
        <v>1618</v>
      </c>
      <c r="F822" s="95" t="s">
        <v>1630</v>
      </c>
      <c r="G822" s="95" t="s">
        <v>1442</v>
      </c>
      <c r="H822" s="97" t="str">
        <f>IFERROR(VLOOKUP(I822,'Raw material list'!$A$3:$C$695,3,0),"")</f>
        <v>DRS1-95</v>
      </c>
      <c r="I822" s="97" t="s">
        <v>57</v>
      </c>
      <c r="J822" s="95" t="s">
        <v>161</v>
      </c>
      <c r="K822" s="101" t="str">
        <f>IFERROR(VLOOKUP(I822,'Raw material list'!$A$3:$E$695,5,0),"")</f>
        <v>Ml</v>
      </c>
      <c r="L822" s="95">
        <v>22.72</v>
      </c>
      <c r="M822" s="98">
        <f t="shared" si="161"/>
        <v>22.72</v>
      </c>
      <c r="N822" s="98">
        <v>100</v>
      </c>
      <c r="O822" s="95">
        <v>10</v>
      </c>
      <c r="P822" s="98">
        <f t="shared" si="165"/>
        <v>2.2719999999999998</v>
      </c>
      <c r="Q822" s="99">
        <f>IFERROR(VLOOKUP(I822,'Raw material list'!$A$3:$F$695,6,0),"")</f>
        <v>2.8340000000000001E-2</v>
      </c>
      <c r="R822" s="100">
        <f t="shared" si="157"/>
        <v>6.4388479999999998E-2</v>
      </c>
      <c r="S822" s="94">
        <f t="shared" si="158"/>
        <v>6.4388480000000005E-3</v>
      </c>
      <c r="T822" s="94">
        <f t="shared" si="159"/>
        <v>7.0827327999999995E-2</v>
      </c>
      <c r="U822" s="93">
        <f t="shared" si="162"/>
        <v>7.0827327999999998E-3</v>
      </c>
      <c r="V822" s="93">
        <f t="shared" si="163"/>
        <v>7.0827328000000001E-4</v>
      </c>
      <c r="W822" s="93">
        <f t="shared" si="164"/>
        <v>7.0827328000000001E-4</v>
      </c>
      <c r="X822" s="93">
        <f t="shared" si="160"/>
        <v>7.9326607360000009E-2</v>
      </c>
      <c r="Y822" s="121"/>
    </row>
    <row r="823" spans="1:25">
      <c r="A823" s="95" t="s">
        <v>1562</v>
      </c>
      <c r="B823" s="95" t="s">
        <v>1574</v>
      </c>
      <c r="C823" s="95" t="s">
        <v>1427</v>
      </c>
      <c r="D823" s="96" t="s">
        <v>1594</v>
      </c>
      <c r="E823" s="95" t="s">
        <v>1618</v>
      </c>
      <c r="F823" s="95" t="s">
        <v>1630</v>
      </c>
      <c r="G823" s="95" t="s">
        <v>1442</v>
      </c>
      <c r="H823" s="97" t="str">
        <f>IFERROR(VLOOKUP(I823,'Raw material list'!$A$3:$C$695,3,0),"")</f>
        <v>DRS1-1780</v>
      </c>
      <c r="I823" s="97" t="s">
        <v>235</v>
      </c>
      <c r="J823" s="95" t="s">
        <v>111</v>
      </c>
      <c r="K823" s="101" t="str">
        <f>IFERROR(VLOOKUP(I823,'Raw material list'!$A$3:$E$695,5,0),"")</f>
        <v xml:space="preserve">Gram </v>
      </c>
      <c r="L823" s="95">
        <v>9.09</v>
      </c>
      <c r="M823" s="98">
        <f t="shared" si="161"/>
        <v>9.09</v>
      </c>
      <c r="N823" s="98">
        <v>100</v>
      </c>
      <c r="O823" s="95">
        <v>10</v>
      </c>
      <c r="P823" s="98">
        <f t="shared" si="165"/>
        <v>0.90900000000000003</v>
      </c>
      <c r="Q823" s="99">
        <f>IFERROR(VLOOKUP(I823,'Raw material list'!$A$3:$F$695,6,0),"")</f>
        <v>0.04</v>
      </c>
      <c r="R823" s="100">
        <f t="shared" si="157"/>
        <v>3.6360000000000003E-2</v>
      </c>
      <c r="S823" s="94">
        <f t="shared" si="158"/>
        <v>3.6360000000000003E-3</v>
      </c>
      <c r="T823" s="94">
        <f t="shared" si="159"/>
        <v>3.9996000000000004E-2</v>
      </c>
      <c r="U823" s="93">
        <f t="shared" si="162"/>
        <v>3.9996000000000007E-3</v>
      </c>
      <c r="V823" s="93">
        <f t="shared" si="163"/>
        <v>3.9996000000000004E-4</v>
      </c>
      <c r="W823" s="93">
        <f t="shared" si="164"/>
        <v>3.9996000000000004E-4</v>
      </c>
      <c r="X823" s="93">
        <f t="shared" si="160"/>
        <v>4.4795519999999998E-2</v>
      </c>
      <c r="Y823" s="121"/>
    </row>
    <row r="824" spans="1:25">
      <c r="A824" s="95" t="s">
        <v>1562</v>
      </c>
      <c r="B824" s="95" t="s">
        <v>1574</v>
      </c>
      <c r="C824" s="95" t="s">
        <v>1427</v>
      </c>
      <c r="D824" s="96" t="s">
        <v>1594</v>
      </c>
      <c r="E824" s="95" t="s">
        <v>1618</v>
      </c>
      <c r="F824" s="95" t="s">
        <v>1630</v>
      </c>
      <c r="G824" s="95" t="s">
        <v>1442</v>
      </c>
      <c r="H824" s="97" t="str">
        <f>IFERROR(VLOOKUP(I824,'Raw material list'!$A$3:$C$695,3,0),"")</f>
        <v>DRS1-1549</v>
      </c>
      <c r="I824" s="97" t="s">
        <v>252</v>
      </c>
      <c r="J824" s="95" t="s">
        <v>111</v>
      </c>
      <c r="K824" s="101" t="str">
        <f>IFERROR(VLOOKUP(I824,'Raw material list'!$A$3:$E$695,5,0),"")</f>
        <v xml:space="preserve">Gram </v>
      </c>
      <c r="L824" s="95">
        <v>2.27</v>
      </c>
      <c r="M824" s="98">
        <f t="shared" si="161"/>
        <v>2.27</v>
      </c>
      <c r="N824" s="98">
        <v>100</v>
      </c>
      <c r="O824" s="95">
        <v>10</v>
      </c>
      <c r="P824" s="98">
        <f t="shared" si="165"/>
        <v>0.22700000000000001</v>
      </c>
      <c r="Q824" s="99">
        <f>IFERROR(VLOOKUP(I824,'Raw material list'!$A$3:$F$695,6,0),"")</f>
        <v>9.58E-3</v>
      </c>
      <c r="R824" s="100">
        <f t="shared" si="157"/>
        <v>2.1746600000000001E-3</v>
      </c>
      <c r="S824" s="94">
        <f t="shared" si="158"/>
        <v>2.1746600000000004E-4</v>
      </c>
      <c r="T824" s="94">
        <f t="shared" si="159"/>
        <v>2.3921260000000001E-3</v>
      </c>
      <c r="U824" s="93">
        <f t="shared" si="162"/>
        <v>2.3921260000000003E-4</v>
      </c>
      <c r="V824" s="93">
        <f t="shared" si="163"/>
        <v>2.3921260000000001E-5</v>
      </c>
      <c r="W824" s="93">
        <f t="shared" si="164"/>
        <v>2.3921260000000001E-5</v>
      </c>
      <c r="X824" s="93">
        <f t="shared" si="160"/>
        <v>2.6791811200000001E-3</v>
      </c>
      <c r="Y824" s="121"/>
    </row>
    <row r="825" spans="1:25">
      <c r="A825" s="95" t="s">
        <v>1562</v>
      </c>
      <c r="B825" s="95" t="s">
        <v>1574</v>
      </c>
      <c r="C825" s="95" t="s">
        <v>1427</v>
      </c>
      <c r="D825" s="96" t="s">
        <v>1594</v>
      </c>
      <c r="E825" s="95" t="s">
        <v>1618</v>
      </c>
      <c r="F825" s="95" t="s">
        <v>1630</v>
      </c>
      <c r="G825" s="95" t="s">
        <v>1442</v>
      </c>
      <c r="H825" s="97" t="str">
        <f>IFERROR(VLOOKUP(I825,'Raw material list'!$A$3:$C$695,3,0),"")</f>
        <v>PRD1-209</v>
      </c>
      <c r="I825" s="97" t="s">
        <v>26</v>
      </c>
      <c r="J825" s="95" t="s">
        <v>111</v>
      </c>
      <c r="K825" s="101" t="str">
        <f>IFERROR(VLOOKUP(I825,'Raw material list'!$A$3:$E$695,5,0),"")</f>
        <v xml:space="preserve">Gram </v>
      </c>
      <c r="L825" s="95">
        <v>0.45</v>
      </c>
      <c r="M825" s="98">
        <f t="shared" si="161"/>
        <v>1.1842105263157896</v>
      </c>
      <c r="N825" s="98">
        <v>38</v>
      </c>
      <c r="O825" s="95">
        <v>10</v>
      </c>
      <c r="P825" s="98">
        <f t="shared" si="165"/>
        <v>4.4999999999999998E-2</v>
      </c>
      <c r="Q825" s="99">
        <f>IFERROR(VLOOKUP(I825,'Raw material list'!$A$3:$F$695,6,0),"")</f>
        <v>1.0088272383354351E-2</v>
      </c>
      <c r="R825" s="100">
        <f t="shared" ref="R825:R838" si="166">IFERROR(Q825*P825,0)</f>
        <v>4.5397225725094578E-4</v>
      </c>
      <c r="S825" s="94">
        <f t="shared" si="158"/>
        <v>4.539722572509458E-5</v>
      </c>
      <c r="T825" s="94">
        <f t="shared" si="159"/>
        <v>4.993694829760404E-4</v>
      </c>
      <c r="U825" s="93">
        <f t="shared" si="162"/>
        <v>4.9936948297604041E-5</v>
      </c>
      <c r="V825" s="93">
        <f t="shared" si="163"/>
        <v>4.9936948297604043E-6</v>
      </c>
      <c r="W825" s="93">
        <f t="shared" si="164"/>
        <v>4.9936948297604043E-6</v>
      </c>
      <c r="X825" s="93">
        <f t="shared" si="160"/>
        <v>5.5929382093316518E-4</v>
      </c>
      <c r="Y825" s="121"/>
    </row>
    <row r="826" spans="1:25">
      <c r="A826" s="95" t="s">
        <v>1562</v>
      </c>
      <c r="B826" s="95" t="s">
        <v>1574</v>
      </c>
      <c r="C826" s="95" t="s">
        <v>1427</v>
      </c>
      <c r="D826" s="96" t="s">
        <v>1594</v>
      </c>
      <c r="E826" s="95" t="s">
        <v>1618</v>
      </c>
      <c r="F826" s="95" t="s">
        <v>1630</v>
      </c>
      <c r="G826" s="95" t="s">
        <v>1442</v>
      </c>
      <c r="H826" s="97" t="str">
        <f>IFERROR(VLOOKUP(I826,'Raw material list'!$A$3:$C$695,3,0),"")</f>
        <v>DRS1-3880</v>
      </c>
      <c r="I826" s="97" t="s">
        <v>1398</v>
      </c>
      <c r="J826" s="95" t="s">
        <v>111</v>
      </c>
      <c r="K826" s="101" t="str">
        <f>IFERROR(VLOOKUP(I826,'Raw material list'!$A$3:$E$695,5,0),"")</f>
        <v xml:space="preserve">Gram </v>
      </c>
      <c r="L826" s="95">
        <v>0.45</v>
      </c>
      <c r="M826" s="98">
        <f t="shared" si="161"/>
        <v>0.45000000000000007</v>
      </c>
      <c r="N826" s="98">
        <v>100</v>
      </c>
      <c r="O826" s="95">
        <v>10</v>
      </c>
      <c r="P826" s="98">
        <f t="shared" si="165"/>
        <v>4.4999999999999998E-2</v>
      </c>
      <c r="Q826" s="99">
        <f>IFERROR(VLOOKUP(I826,'Raw material list'!$A$3:$F$695,6,0),"")</f>
        <v>5.0000000000000001E-4</v>
      </c>
      <c r="R826" s="100">
        <f t="shared" si="166"/>
        <v>2.2499999999999998E-5</v>
      </c>
      <c r="S826" s="94">
        <f t="shared" si="158"/>
        <v>2.2500000000000001E-6</v>
      </c>
      <c r="T826" s="94">
        <f t="shared" si="159"/>
        <v>2.4749999999999999E-5</v>
      </c>
      <c r="U826" s="93">
        <f t="shared" si="162"/>
        <v>2.475E-6</v>
      </c>
      <c r="V826" s="93">
        <f t="shared" si="163"/>
        <v>2.4750000000000001E-7</v>
      </c>
      <c r="W826" s="93">
        <f t="shared" si="164"/>
        <v>2.4750000000000001E-7</v>
      </c>
      <c r="X826" s="93">
        <f t="shared" si="160"/>
        <v>2.7719999999999999E-5</v>
      </c>
      <c r="Y826" s="121"/>
    </row>
    <row r="827" spans="1:25">
      <c r="A827" s="95" t="s">
        <v>1562</v>
      </c>
      <c r="B827" s="95" t="s">
        <v>1574</v>
      </c>
      <c r="C827" s="95" t="s">
        <v>1427</v>
      </c>
      <c r="D827" s="96" t="s">
        <v>1594</v>
      </c>
      <c r="E827" s="95" t="s">
        <v>1618</v>
      </c>
      <c r="F827" s="95" t="s">
        <v>1630</v>
      </c>
      <c r="G827" s="95" t="s">
        <v>1442</v>
      </c>
      <c r="H827" s="97" t="str">
        <f>IFERROR(VLOOKUP(I827,'Raw material list'!$A$3:$C$695,3,0),"")</f>
        <v>DRS6-537</v>
      </c>
      <c r="I827" s="97" t="s">
        <v>25</v>
      </c>
      <c r="J827" s="95" t="s">
        <v>111</v>
      </c>
      <c r="K827" s="101" t="str">
        <f>IFERROR(VLOOKUP(I827,'Raw material list'!$A$3:$E$695,5,0),"")</f>
        <v xml:space="preserve">Gram </v>
      </c>
      <c r="L827" s="95">
        <v>0.45</v>
      </c>
      <c r="M827" s="98">
        <f t="shared" si="161"/>
        <v>0.45000000000000007</v>
      </c>
      <c r="N827" s="98">
        <v>100</v>
      </c>
      <c r="O827" s="95">
        <v>10</v>
      </c>
      <c r="P827" s="98">
        <f t="shared" si="165"/>
        <v>4.4999999999999998E-2</v>
      </c>
      <c r="Q827" s="99">
        <f>IFERROR(VLOOKUP(I827,'Raw material list'!$A$3:$F$695,6,0),"")</f>
        <v>3.5000000000000003E-2</v>
      </c>
      <c r="R827" s="100">
        <f t="shared" si="166"/>
        <v>1.575E-3</v>
      </c>
      <c r="S827" s="94">
        <f t="shared" si="158"/>
        <v>1.5750000000000001E-4</v>
      </c>
      <c r="T827" s="94">
        <f t="shared" si="159"/>
        <v>1.7325000000000001E-3</v>
      </c>
      <c r="U827" s="93">
        <f t="shared" si="162"/>
        <v>1.7325000000000001E-4</v>
      </c>
      <c r="V827" s="93">
        <f t="shared" si="163"/>
        <v>1.7325000000000001E-5</v>
      </c>
      <c r="W827" s="93">
        <f t="shared" si="164"/>
        <v>1.7325000000000001E-5</v>
      </c>
      <c r="X827" s="93">
        <f t="shared" si="160"/>
        <v>1.9404000000000001E-3</v>
      </c>
      <c r="Y827" s="121"/>
    </row>
    <row r="828" spans="1:25">
      <c r="A828" s="95" t="s">
        <v>1563</v>
      </c>
      <c r="B828" s="95" t="s">
        <v>1574</v>
      </c>
      <c r="C828" s="95" t="s">
        <v>1427</v>
      </c>
      <c r="D828" s="96" t="s">
        <v>1595</v>
      </c>
      <c r="E828" s="95" t="s">
        <v>1618</v>
      </c>
      <c r="F828" s="95" t="s">
        <v>1630</v>
      </c>
      <c r="G828" s="95"/>
      <c r="H828" s="97" t="str">
        <f>IFERROR(VLOOKUP(I828,'Raw material list'!$A$3:$C$695,3,0),"")</f>
        <v>PRD1-196</v>
      </c>
      <c r="I828" s="97" t="s">
        <v>994</v>
      </c>
      <c r="J828" s="95" t="s">
        <v>111</v>
      </c>
      <c r="K828" s="101" t="str">
        <f>IFERROR(VLOOKUP(I828,'Raw material list'!$A$3:$E$695,5,0),"")</f>
        <v xml:space="preserve">Gram </v>
      </c>
      <c r="L828" s="95">
        <v>220</v>
      </c>
      <c r="M828" s="98">
        <f t="shared" si="161"/>
        <v>260.56060007895775</v>
      </c>
      <c r="N828" s="98">
        <v>84.433333333333337</v>
      </c>
      <c r="O828" s="95">
        <v>10</v>
      </c>
      <c r="P828" s="98">
        <f t="shared" si="165"/>
        <v>22</v>
      </c>
      <c r="Q828" s="99">
        <f>IFERROR(VLOOKUP(I828,'Raw material list'!$A$3:$F$695,6,0),"")</f>
        <v>4.1469194312796203E-3</v>
      </c>
      <c r="R828" s="100">
        <f t="shared" si="166"/>
        <v>9.1232227488151643E-2</v>
      </c>
      <c r="S828" s="94">
        <f t="shared" si="158"/>
        <v>9.1232227488151647E-3</v>
      </c>
      <c r="T828" s="94">
        <f t="shared" si="159"/>
        <v>0.10035545023696681</v>
      </c>
      <c r="U828" s="93">
        <f t="shared" si="162"/>
        <v>1.0035545023696682E-2</v>
      </c>
      <c r="V828" s="93">
        <f t="shared" si="163"/>
        <v>1.003554502369668E-3</v>
      </c>
      <c r="W828" s="93">
        <f t="shared" si="164"/>
        <v>1.003554502369668E-3</v>
      </c>
      <c r="X828" s="93">
        <f t="shared" si="160"/>
        <v>0.11239810426540281</v>
      </c>
      <c r="Y828" s="121"/>
    </row>
    <row r="829" spans="1:25">
      <c r="A829" s="95" t="s">
        <v>1563</v>
      </c>
      <c r="B829" s="95" t="s">
        <v>1574</v>
      </c>
      <c r="C829" s="95" t="s">
        <v>1427</v>
      </c>
      <c r="D829" s="96" t="s">
        <v>1595</v>
      </c>
      <c r="E829" s="95" t="s">
        <v>1618</v>
      </c>
      <c r="F829" s="95" t="s">
        <v>1630</v>
      </c>
      <c r="G829" s="95"/>
      <c r="H829" s="97" t="str">
        <f>IFERROR(VLOOKUP(I829,'Raw material list'!$A$3:$C$695,3,0),"")</f>
        <v>PRD1-1447</v>
      </c>
      <c r="I829" s="97" t="s">
        <v>1412</v>
      </c>
      <c r="J829" s="95" t="s">
        <v>111</v>
      </c>
      <c r="K829" s="101" t="str">
        <f>IFERROR(VLOOKUP(I829,'Raw material list'!$A$3:$E$695,5,0),"")</f>
        <v xml:space="preserve">Gram </v>
      </c>
      <c r="L829" s="95">
        <v>230</v>
      </c>
      <c r="M829" s="98">
        <f t="shared" si="161"/>
        <v>310.81081081081078</v>
      </c>
      <c r="N829" s="98">
        <v>74</v>
      </c>
      <c r="O829" s="95">
        <v>10</v>
      </c>
      <c r="P829" s="98">
        <f t="shared" si="165"/>
        <v>23</v>
      </c>
      <c r="Q829" s="99">
        <f>IFERROR(VLOOKUP(I829,'Raw material list'!$A$3:$F$695,6,0),"")</f>
        <v>1.2999999999999999E-2</v>
      </c>
      <c r="R829" s="100">
        <f t="shared" si="166"/>
        <v>0.29899999999999999</v>
      </c>
      <c r="S829" s="94">
        <f t="shared" ref="S829:S838" si="167">R829*10%</f>
        <v>2.9899999999999999E-2</v>
      </c>
      <c r="T829" s="94">
        <f t="shared" ref="T829:T838" si="168">R829+S829</f>
        <v>0.32889999999999997</v>
      </c>
      <c r="U829" s="93">
        <f t="shared" si="162"/>
        <v>3.2889999999999996E-2</v>
      </c>
      <c r="V829" s="93">
        <f t="shared" si="163"/>
        <v>3.2889999999999998E-3</v>
      </c>
      <c r="W829" s="93">
        <f t="shared" si="164"/>
        <v>3.2889999999999998E-3</v>
      </c>
      <c r="X829" s="93">
        <f t="shared" si="160"/>
        <v>0.36836799999999992</v>
      </c>
      <c r="Y829" s="121"/>
    </row>
    <row r="830" spans="1:25">
      <c r="A830" s="95" t="s">
        <v>1563</v>
      </c>
      <c r="B830" s="95" t="s">
        <v>1574</v>
      </c>
      <c r="C830" s="95" t="s">
        <v>1427</v>
      </c>
      <c r="D830" s="96" t="s">
        <v>1595</v>
      </c>
      <c r="E830" s="95" t="s">
        <v>1618</v>
      </c>
      <c r="F830" s="95" t="s">
        <v>1630</v>
      </c>
      <c r="G830" s="95"/>
      <c r="H830" s="97" t="str">
        <f>IFERROR(VLOOKUP(I830,'Raw material list'!$A$3:$C$695,3,0),"")</f>
        <v>PRD1-572</v>
      </c>
      <c r="I830" s="97" t="s">
        <v>20</v>
      </c>
      <c r="J830" s="95" t="s">
        <v>111</v>
      </c>
      <c r="K830" s="101" t="str">
        <f>IFERROR(VLOOKUP(I830,'Raw material list'!$A$3:$E$695,5,0),"")</f>
        <v xml:space="preserve">Gram </v>
      </c>
      <c r="L830" s="95">
        <v>100</v>
      </c>
      <c r="M830" s="98">
        <f t="shared" si="161"/>
        <v>113.33585190782016</v>
      </c>
      <c r="N830" s="98">
        <v>88.233333333333348</v>
      </c>
      <c r="O830" s="95">
        <v>10</v>
      </c>
      <c r="P830" s="98">
        <f t="shared" si="165"/>
        <v>10</v>
      </c>
      <c r="Q830" s="99">
        <f>IFERROR(VLOOKUP(I830,'Raw material list'!$A$3:$F$695,6,0),"")</f>
        <v>4.5351473922902504E-3</v>
      </c>
      <c r="R830" s="100">
        <f t="shared" si="166"/>
        <v>4.5351473922902508E-2</v>
      </c>
      <c r="S830" s="94">
        <f t="shared" si="167"/>
        <v>4.5351473922902513E-3</v>
      </c>
      <c r="T830" s="94">
        <f t="shared" si="168"/>
        <v>4.988662131519276E-2</v>
      </c>
      <c r="U830" s="93">
        <f t="shared" si="162"/>
        <v>4.988662131519276E-3</v>
      </c>
      <c r="V830" s="93">
        <f t="shared" si="163"/>
        <v>4.9886621315192758E-4</v>
      </c>
      <c r="W830" s="93">
        <f t="shared" si="164"/>
        <v>4.9886621315192758E-4</v>
      </c>
      <c r="X830" s="93">
        <f t="shared" ref="X830:X838" si="169">T830+U830+V830+W830</f>
        <v>5.5873015873015894E-2</v>
      </c>
      <c r="Y830" s="121"/>
    </row>
    <row r="831" spans="1:25">
      <c r="A831" s="95" t="s">
        <v>1563</v>
      </c>
      <c r="B831" s="95" t="s">
        <v>1574</v>
      </c>
      <c r="C831" s="95" t="s">
        <v>1427</v>
      </c>
      <c r="D831" s="96" t="s">
        <v>1595</v>
      </c>
      <c r="E831" s="95" t="s">
        <v>1618</v>
      </c>
      <c r="F831" s="95" t="s">
        <v>1630</v>
      </c>
      <c r="G831" s="95"/>
      <c r="H831" s="97" t="str">
        <f>IFERROR(VLOOKUP(I831,'Raw material list'!$A$3:$C$695,3,0),"")</f>
        <v>DRS4-5111</v>
      </c>
      <c r="I831" s="97" t="s">
        <v>461</v>
      </c>
      <c r="J831" s="95" t="s">
        <v>111</v>
      </c>
      <c r="K831" s="101" t="str">
        <f>IFERROR(VLOOKUP(I831,'Raw material list'!$A$3:$E$695,5,0),"")</f>
        <v xml:space="preserve">Gram </v>
      </c>
      <c r="L831" s="95">
        <v>150</v>
      </c>
      <c r="M831" s="98">
        <f t="shared" si="161"/>
        <v>150</v>
      </c>
      <c r="N831" s="98">
        <v>100</v>
      </c>
      <c r="O831" s="95">
        <v>10</v>
      </c>
      <c r="P831" s="98">
        <f t="shared" si="165"/>
        <v>15</v>
      </c>
      <c r="Q831" s="99">
        <f>IFERROR(VLOOKUP(I831,'Raw material list'!$A$3:$F$695,6,0),"")</f>
        <v>8.3333333333333332E-3</v>
      </c>
      <c r="R831" s="100">
        <f t="shared" si="166"/>
        <v>0.125</v>
      </c>
      <c r="S831" s="94">
        <f t="shared" si="167"/>
        <v>1.2500000000000001E-2</v>
      </c>
      <c r="T831" s="94">
        <f t="shared" si="168"/>
        <v>0.13750000000000001</v>
      </c>
      <c r="U831" s="93">
        <f t="shared" si="162"/>
        <v>1.3750000000000002E-2</v>
      </c>
      <c r="V831" s="93">
        <f t="shared" si="163"/>
        <v>1.3750000000000001E-3</v>
      </c>
      <c r="W831" s="93">
        <f t="shared" si="164"/>
        <v>1.3750000000000001E-3</v>
      </c>
      <c r="X831" s="93">
        <f t="shared" si="169"/>
        <v>0.154</v>
      </c>
      <c r="Y831" s="121"/>
    </row>
    <row r="832" spans="1:25">
      <c r="A832" s="95" t="s">
        <v>1563</v>
      </c>
      <c r="B832" s="95" t="s">
        <v>1574</v>
      </c>
      <c r="C832" s="95" t="s">
        <v>1427</v>
      </c>
      <c r="D832" s="96" t="s">
        <v>1595</v>
      </c>
      <c r="E832" s="95" t="s">
        <v>1618</v>
      </c>
      <c r="F832" s="95" t="s">
        <v>1630</v>
      </c>
      <c r="G832" s="95" t="s">
        <v>1442</v>
      </c>
      <c r="H832" s="97" t="str">
        <f>IFERROR(VLOOKUP(I832,'Raw material list'!$A$3:$C$695,3,0),"")</f>
        <v>DRS3-1615</v>
      </c>
      <c r="I832" s="97" t="s">
        <v>24</v>
      </c>
      <c r="J832" s="95" t="s">
        <v>161</v>
      </c>
      <c r="K832" s="101" t="str">
        <f>IFERROR(VLOOKUP(I832,'Raw material list'!$A$3:$E$695,5,0),"")</f>
        <v>Ml</v>
      </c>
      <c r="L832" s="95">
        <v>18.63</v>
      </c>
      <c r="M832" s="98">
        <f t="shared" si="161"/>
        <v>18.63</v>
      </c>
      <c r="N832" s="98">
        <v>100</v>
      </c>
      <c r="O832" s="95">
        <v>10</v>
      </c>
      <c r="P832" s="98">
        <f t="shared" si="165"/>
        <v>1.863</v>
      </c>
      <c r="Q832" s="99">
        <f>IFERROR(VLOOKUP(I832,'Raw material list'!$A$3:$F$695,6,0),"")</f>
        <v>1.2E-2</v>
      </c>
      <c r="R832" s="100">
        <f t="shared" si="166"/>
        <v>2.2356000000000001E-2</v>
      </c>
      <c r="S832" s="94">
        <f t="shared" si="167"/>
        <v>2.2356000000000003E-3</v>
      </c>
      <c r="T832" s="94">
        <f t="shared" si="168"/>
        <v>2.4591600000000002E-2</v>
      </c>
      <c r="U832" s="93">
        <f t="shared" si="162"/>
        <v>2.4591600000000002E-3</v>
      </c>
      <c r="V832" s="93">
        <f t="shared" si="163"/>
        <v>2.4591599999999999E-4</v>
      </c>
      <c r="W832" s="93">
        <f t="shared" si="164"/>
        <v>2.4591599999999999E-4</v>
      </c>
      <c r="X832" s="93">
        <f t="shared" si="169"/>
        <v>2.7542591999999998E-2</v>
      </c>
      <c r="Y832" s="121"/>
    </row>
    <row r="833" spans="1:25">
      <c r="A833" s="95" t="s">
        <v>1563</v>
      </c>
      <c r="B833" s="95" t="s">
        <v>1574</v>
      </c>
      <c r="C833" s="95" t="s">
        <v>1427</v>
      </c>
      <c r="D833" s="96" t="s">
        <v>1595</v>
      </c>
      <c r="E833" s="95" t="s">
        <v>1618</v>
      </c>
      <c r="F833" s="95" t="s">
        <v>1630</v>
      </c>
      <c r="G833" s="95" t="s">
        <v>1442</v>
      </c>
      <c r="H833" s="97" t="str">
        <f>IFERROR(VLOOKUP(I833,'Raw material list'!$A$3:$C$695,3,0),"")</f>
        <v>DRS1-1551</v>
      </c>
      <c r="I833" s="97" t="s">
        <v>54</v>
      </c>
      <c r="J833" s="95" t="s">
        <v>161</v>
      </c>
      <c r="K833" s="101" t="str">
        <f>IFERROR(VLOOKUP(I833,'Raw material list'!$A$3:$E$695,5,0),"")</f>
        <v>Ml</v>
      </c>
      <c r="L833" s="95">
        <v>18.63</v>
      </c>
      <c r="M833" s="98">
        <f t="shared" si="161"/>
        <v>18.63</v>
      </c>
      <c r="N833" s="98">
        <v>100</v>
      </c>
      <c r="O833" s="95">
        <v>10</v>
      </c>
      <c r="P833" s="98">
        <f t="shared" si="165"/>
        <v>1.863</v>
      </c>
      <c r="Q833" s="99">
        <f>IFERROR(VLOOKUP(I833,'Raw material list'!$A$3:$F$695,6,0),"")</f>
        <v>1.714285714285714E-2</v>
      </c>
      <c r="R833" s="100">
        <f t="shared" si="166"/>
        <v>3.1937142857142851E-2</v>
      </c>
      <c r="S833" s="94">
        <f t="shared" si="167"/>
        <v>3.1937142857142854E-3</v>
      </c>
      <c r="T833" s="94">
        <f t="shared" si="168"/>
        <v>3.5130857142857137E-2</v>
      </c>
      <c r="U833" s="93">
        <f t="shared" si="162"/>
        <v>3.5130857142857139E-3</v>
      </c>
      <c r="V833" s="93">
        <f t="shared" si="163"/>
        <v>3.5130857142857139E-4</v>
      </c>
      <c r="W833" s="93">
        <f t="shared" si="164"/>
        <v>3.5130857142857139E-4</v>
      </c>
      <c r="X833" s="93">
        <f t="shared" si="169"/>
        <v>3.9346559999999996E-2</v>
      </c>
      <c r="Y833" s="121"/>
    </row>
    <row r="834" spans="1:25">
      <c r="A834" s="95" t="s">
        <v>1563</v>
      </c>
      <c r="B834" s="95" t="s">
        <v>1574</v>
      </c>
      <c r="C834" s="95" t="s">
        <v>1427</v>
      </c>
      <c r="D834" s="96" t="s">
        <v>1595</v>
      </c>
      <c r="E834" s="95" t="s">
        <v>1618</v>
      </c>
      <c r="F834" s="95" t="s">
        <v>1630</v>
      </c>
      <c r="G834" s="95" t="s">
        <v>1442</v>
      </c>
      <c r="H834" s="97" t="str">
        <f>IFERROR(VLOOKUP(I834,'Raw material list'!$A$3:$C$695,3,0),"")</f>
        <v>DRS1-5269</v>
      </c>
      <c r="I834" s="97" t="s">
        <v>248</v>
      </c>
      <c r="J834" s="95" t="s">
        <v>161</v>
      </c>
      <c r="K834" s="101" t="str">
        <f>IFERROR(VLOOKUP(I834,'Raw material list'!$A$3:$E$695,5,0),"")</f>
        <v>Ml</v>
      </c>
      <c r="L834" s="95">
        <v>18.63</v>
      </c>
      <c r="M834" s="98">
        <f t="shared" si="161"/>
        <v>18.63</v>
      </c>
      <c r="N834" s="98">
        <v>100</v>
      </c>
      <c r="O834" s="95">
        <v>10</v>
      </c>
      <c r="P834" s="98">
        <f t="shared" si="165"/>
        <v>1.863</v>
      </c>
      <c r="Q834" s="99">
        <f>IFERROR(VLOOKUP(I834,'Raw material list'!$A$3:$F$695,6,0),"")</f>
        <v>0.1066666666666667</v>
      </c>
      <c r="R834" s="100">
        <f t="shared" si="166"/>
        <v>0.19872000000000006</v>
      </c>
      <c r="S834" s="94">
        <f t="shared" si="167"/>
        <v>1.9872000000000008E-2</v>
      </c>
      <c r="T834" s="94">
        <f t="shared" si="168"/>
        <v>0.21859200000000006</v>
      </c>
      <c r="U834" s="93">
        <f t="shared" si="162"/>
        <v>2.1859200000000009E-2</v>
      </c>
      <c r="V834" s="93">
        <f t="shared" si="163"/>
        <v>2.1859200000000005E-3</v>
      </c>
      <c r="W834" s="93">
        <f t="shared" si="164"/>
        <v>2.1859200000000005E-3</v>
      </c>
      <c r="X834" s="93">
        <f t="shared" si="169"/>
        <v>0.2448230400000001</v>
      </c>
      <c r="Y834" s="121"/>
    </row>
    <row r="835" spans="1:25">
      <c r="A835" s="95" t="s">
        <v>1563</v>
      </c>
      <c r="B835" s="95" t="s">
        <v>1574</v>
      </c>
      <c r="C835" s="95" t="s">
        <v>1427</v>
      </c>
      <c r="D835" s="96" t="s">
        <v>1595</v>
      </c>
      <c r="E835" s="95" t="s">
        <v>1618</v>
      </c>
      <c r="F835" s="95" t="s">
        <v>1630</v>
      </c>
      <c r="G835" s="95" t="s">
        <v>1442</v>
      </c>
      <c r="H835" s="97" t="str">
        <f>IFERROR(VLOOKUP(I835,'Raw material list'!$A$3:$C$695,3,0),"")</f>
        <v>DRS1-1549</v>
      </c>
      <c r="I835" s="97" t="s">
        <v>252</v>
      </c>
      <c r="J835" s="95" t="s">
        <v>111</v>
      </c>
      <c r="K835" s="101" t="str">
        <f>IFERROR(VLOOKUP(I835,'Raw material list'!$A$3:$E$695,5,0),"")</f>
        <v xml:space="preserve">Gram </v>
      </c>
      <c r="L835" s="95">
        <v>1.86</v>
      </c>
      <c r="M835" s="98">
        <f t="shared" si="161"/>
        <v>1.86</v>
      </c>
      <c r="N835" s="98">
        <v>100</v>
      </c>
      <c r="O835" s="95">
        <v>10</v>
      </c>
      <c r="P835" s="98">
        <f t="shared" si="165"/>
        <v>0.186</v>
      </c>
      <c r="Q835" s="99">
        <f>IFERROR(VLOOKUP(I835,'Raw material list'!$A$3:$F$695,6,0),"")</f>
        <v>9.58E-3</v>
      </c>
      <c r="R835" s="100">
        <f t="shared" si="166"/>
        <v>1.78188E-3</v>
      </c>
      <c r="S835" s="94">
        <f t="shared" si="167"/>
        <v>1.7818800000000002E-4</v>
      </c>
      <c r="T835" s="94">
        <f t="shared" si="168"/>
        <v>1.9600680000000001E-3</v>
      </c>
      <c r="U835" s="93">
        <f t="shared" si="162"/>
        <v>1.9600680000000004E-4</v>
      </c>
      <c r="V835" s="93">
        <f t="shared" si="163"/>
        <v>1.9600680000000002E-5</v>
      </c>
      <c r="W835" s="93">
        <f t="shared" si="164"/>
        <v>1.9600680000000002E-5</v>
      </c>
      <c r="X835" s="93">
        <f t="shared" si="169"/>
        <v>2.1952761600000006E-3</v>
      </c>
      <c r="Y835" s="121"/>
    </row>
    <row r="836" spans="1:25">
      <c r="A836" s="95" t="s">
        <v>1563</v>
      </c>
      <c r="B836" s="95" t="s">
        <v>1574</v>
      </c>
      <c r="C836" s="95" t="s">
        <v>1427</v>
      </c>
      <c r="D836" s="96" t="s">
        <v>1595</v>
      </c>
      <c r="E836" s="95" t="s">
        <v>1618</v>
      </c>
      <c r="F836" s="95" t="s">
        <v>1630</v>
      </c>
      <c r="G836" s="95" t="s">
        <v>1442</v>
      </c>
      <c r="H836" s="97" t="str">
        <f>IFERROR(VLOOKUP(I836,'Raw material list'!$A$3:$C$695,3,0),"")</f>
        <v>PRD1-209</v>
      </c>
      <c r="I836" s="97" t="s">
        <v>26</v>
      </c>
      <c r="J836" s="95" t="s">
        <v>111</v>
      </c>
      <c r="K836" s="101" t="str">
        <f>IFERROR(VLOOKUP(I836,'Raw material list'!$A$3:$E$695,5,0),"")</f>
        <v xml:space="preserve">Gram </v>
      </c>
      <c r="L836" s="95">
        <v>1.86</v>
      </c>
      <c r="M836" s="98">
        <f t="shared" si="161"/>
        <v>4.8947368421052637</v>
      </c>
      <c r="N836" s="98">
        <v>38</v>
      </c>
      <c r="O836" s="95">
        <v>10</v>
      </c>
      <c r="P836" s="98">
        <f t="shared" si="165"/>
        <v>0.186</v>
      </c>
      <c r="Q836" s="99">
        <f>IFERROR(VLOOKUP(I836,'Raw material list'!$A$3:$F$695,6,0),"")</f>
        <v>1.0088272383354351E-2</v>
      </c>
      <c r="R836" s="100">
        <f t="shared" si="166"/>
        <v>1.8764186633039091E-3</v>
      </c>
      <c r="S836" s="94">
        <f t="shared" si="167"/>
        <v>1.8764186633039092E-4</v>
      </c>
      <c r="T836" s="94">
        <f t="shared" si="168"/>
        <v>2.0640605296342999E-3</v>
      </c>
      <c r="U836" s="93">
        <f t="shared" si="162"/>
        <v>2.0640605296342999E-4</v>
      </c>
      <c r="V836" s="93">
        <f t="shared" si="163"/>
        <v>2.0640605296342998E-5</v>
      </c>
      <c r="W836" s="93">
        <f t="shared" si="164"/>
        <v>2.0640605296342998E-5</v>
      </c>
      <c r="X836" s="93">
        <f t="shared" si="169"/>
        <v>2.3117477931904164E-3</v>
      </c>
      <c r="Y836" s="121"/>
    </row>
    <row r="837" spans="1:25">
      <c r="A837" s="95" t="s">
        <v>1563</v>
      </c>
      <c r="B837" s="95" t="s">
        <v>1574</v>
      </c>
      <c r="C837" s="95" t="s">
        <v>1427</v>
      </c>
      <c r="D837" s="96" t="s">
        <v>1595</v>
      </c>
      <c r="E837" s="95" t="s">
        <v>1618</v>
      </c>
      <c r="F837" s="95" t="s">
        <v>1630</v>
      </c>
      <c r="G837" s="95" t="s">
        <v>1442</v>
      </c>
      <c r="H837" s="97" t="str">
        <f>IFERROR(VLOOKUP(I837,'Raw material list'!$A$3:$C$695,3,0),"")</f>
        <v>DRS1-3880</v>
      </c>
      <c r="I837" s="97" t="s">
        <v>1398</v>
      </c>
      <c r="J837" s="95" t="s">
        <v>111</v>
      </c>
      <c r="K837" s="101" t="str">
        <f>IFERROR(VLOOKUP(I837,'Raw material list'!$A$3:$E$695,5,0),"")</f>
        <v xml:space="preserve">Gram </v>
      </c>
      <c r="L837" s="95">
        <v>0.18</v>
      </c>
      <c r="M837" s="98">
        <f t="shared" si="161"/>
        <v>0.18</v>
      </c>
      <c r="N837" s="98">
        <v>100</v>
      </c>
      <c r="O837" s="95">
        <v>10</v>
      </c>
      <c r="P837" s="98">
        <f t="shared" si="165"/>
        <v>1.7999999999999999E-2</v>
      </c>
      <c r="Q837" s="99">
        <f>IFERROR(VLOOKUP(I837,'Raw material list'!$A$3:$F$695,6,0),"")</f>
        <v>5.0000000000000001E-4</v>
      </c>
      <c r="R837" s="100">
        <f t="shared" si="166"/>
        <v>9.0000000000000002E-6</v>
      </c>
      <c r="S837" s="94">
        <f t="shared" si="167"/>
        <v>9.0000000000000007E-7</v>
      </c>
      <c r="T837" s="94">
        <f t="shared" si="168"/>
        <v>9.9000000000000001E-6</v>
      </c>
      <c r="U837" s="93">
        <f t="shared" si="162"/>
        <v>9.9000000000000005E-7</v>
      </c>
      <c r="V837" s="93">
        <f t="shared" si="163"/>
        <v>9.9E-8</v>
      </c>
      <c r="W837" s="93">
        <f t="shared" si="164"/>
        <v>9.9E-8</v>
      </c>
      <c r="X837" s="93">
        <f t="shared" si="169"/>
        <v>1.1088000000000001E-5</v>
      </c>
      <c r="Y837" s="121"/>
    </row>
    <row r="838" spans="1:25">
      <c r="A838" s="95" t="s">
        <v>1563</v>
      </c>
      <c r="B838" s="95" t="s">
        <v>1574</v>
      </c>
      <c r="C838" s="95" t="s">
        <v>1427</v>
      </c>
      <c r="D838" s="96" t="s">
        <v>1595</v>
      </c>
      <c r="E838" s="95" t="s">
        <v>1618</v>
      </c>
      <c r="F838" s="95" t="s">
        <v>1630</v>
      </c>
      <c r="G838" s="95" t="s">
        <v>1442</v>
      </c>
      <c r="H838" s="97" t="str">
        <f>IFERROR(VLOOKUP(I838,'Raw material list'!$A$3:$C$695,3,0),"")</f>
        <v>DRS6-537</v>
      </c>
      <c r="I838" s="97" t="s">
        <v>25</v>
      </c>
      <c r="J838" s="95" t="s">
        <v>111</v>
      </c>
      <c r="K838" s="101" t="str">
        <f>IFERROR(VLOOKUP(I838,'Raw material list'!$A$3:$E$695,5,0),"")</f>
        <v xml:space="preserve">Gram </v>
      </c>
      <c r="L838" s="95">
        <v>0.18</v>
      </c>
      <c r="M838" s="98">
        <f t="shared" ref="M838" si="170">L838/N838*100</f>
        <v>0.18</v>
      </c>
      <c r="N838" s="98">
        <v>100</v>
      </c>
      <c r="O838" s="95">
        <v>10</v>
      </c>
      <c r="P838" s="98">
        <f t="shared" si="165"/>
        <v>1.7999999999999999E-2</v>
      </c>
      <c r="Q838" s="99">
        <f>IFERROR(VLOOKUP(I838,'Raw material list'!$A$3:$F$695,6,0),"")</f>
        <v>3.5000000000000003E-2</v>
      </c>
      <c r="R838" s="100">
        <f t="shared" si="166"/>
        <v>6.3000000000000003E-4</v>
      </c>
      <c r="S838" s="94">
        <f t="shared" si="167"/>
        <v>6.3E-5</v>
      </c>
      <c r="T838" s="94">
        <f t="shared" si="168"/>
        <v>6.9300000000000004E-4</v>
      </c>
      <c r="U838" s="93">
        <f t="shared" ref="U838" si="171">T838*10%</f>
        <v>6.9300000000000004E-5</v>
      </c>
      <c r="V838" s="93">
        <f t="shared" ref="V838" si="172">T838*1%</f>
        <v>6.9300000000000006E-6</v>
      </c>
      <c r="W838" s="93">
        <f t="shared" ref="W838" si="173">T838*1%</f>
        <v>6.9300000000000006E-6</v>
      </c>
      <c r="X838" s="93">
        <f t="shared" si="169"/>
        <v>7.7616000000000013E-4</v>
      </c>
      <c r="Y838" s="121"/>
    </row>
    <row r="839" spans="1:25" s="102" customFormat="1">
      <c r="L839" s="103">
        <f>SUBTOTAL(109,L5:L838)</f>
        <v>113073.60000000003</v>
      </c>
      <c r="M839" s="103"/>
      <c r="N839" s="103"/>
      <c r="R839" s="102">
        <f t="shared" ref="R839:X839" si="174">SUBTOTAL(109,R5:R838)</f>
        <v>237.98461537260962</v>
      </c>
      <c r="S839" s="102">
        <f t="shared" si="174"/>
        <v>23.79846153726092</v>
      </c>
      <c r="T839" s="102">
        <f t="shared" si="174"/>
        <v>261.78307690987026</v>
      </c>
      <c r="U839" s="102">
        <f t="shared" si="174"/>
        <v>26.17830769098709</v>
      </c>
      <c r="V839" s="102">
        <f t="shared" si="174"/>
        <v>2.6178307690987048</v>
      </c>
      <c r="W839" s="102">
        <f t="shared" si="174"/>
        <v>2.6178307690987048</v>
      </c>
      <c r="X839" s="102">
        <f t="shared" si="174"/>
        <v>293.03028261905496</v>
      </c>
    </row>
  </sheetData>
  <autoFilter ref="A4:Y838" xr:uid="{00000000-0001-0000-0100-000000000000}"/>
  <pageMargins left="0.75" right="0.75" top="1" bottom="1" header="0.5" footer="0.5"/>
  <pageSetup fitToHeight="0" orientation="landscape" r:id="rId1"/>
  <ignoredErrors>
    <ignoredError sqref="T5 T6:T83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65"/>
  <sheetViews>
    <sheetView showGridLines="0" workbookViewId="0">
      <selection activeCell="D704" sqref="D704"/>
    </sheetView>
  </sheetViews>
  <sheetFormatPr defaultColWidth="8.83984375" defaultRowHeight="14.4"/>
  <cols>
    <col min="1" max="1" width="42.68359375" style="38" customWidth="1"/>
    <col min="2" max="2" width="9.26171875" style="38" bestFit="1" customWidth="1"/>
    <col min="3" max="3" width="13.26171875" style="61" customWidth="1"/>
    <col min="4" max="4" width="42.68359375" style="38" customWidth="1"/>
    <col min="5" max="5" width="12.15625" style="38" customWidth="1"/>
    <col min="6" max="6" width="12.15625" style="62" customWidth="1"/>
    <col min="7" max="7" width="16" style="38" bestFit="1" customWidth="1"/>
    <col min="8" max="8" width="17.41796875" style="38" bestFit="1" customWidth="1"/>
    <col min="9" max="9" width="8.83984375" style="38" customWidth="1"/>
    <col min="10" max="16384" width="8.83984375" style="38"/>
  </cols>
  <sheetData>
    <row r="1" spans="1:8" ht="96" customHeight="1" thickBot="1">
      <c r="A1" s="37"/>
      <c r="B1" s="37"/>
      <c r="C1" s="130" t="s">
        <v>91</v>
      </c>
      <c r="D1" s="131"/>
      <c r="E1" s="131"/>
      <c r="F1" s="131"/>
      <c r="G1" s="131"/>
      <c r="H1" s="132"/>
    </row>
    <row r="2" spans="1:8" ht="15" customHeight="1" thickBot="1">
      <c r="A2" s="39" t="s">
        <v>92</v>
      </c>
      <c r="B2" s="40"/>
      <c r="C2" s="40" t="s">
        <v>93</v>
      </c>
      <c r="D2" s="40" t="s">
        <v>94</v>
      </c>
      <c r="E2" s="40" t="s">
        <v>95</v>
      </c>
      <c r="F2" s="41" t="s">
        <v>96</v>
      </c>
      <c r="G2" s="40" t="s">
        <v>97</v>
      </c>
      <c r="H2" s="42" t="s">
        <v>98</v>
      </c>
    </row>
    <row r="3" spans="1:8" ht="16.5" hidden="1" customHeight="1">
      <c r="A3" s="43" t="s">
        <v>99</v>
      </c>
      <c r="B3" s="44"/>
      <c r="C3" s="44" t="s">
        <v>100</v>
      </c>
      <c r="D3" s="44" t="s">
        <v>99</v>
      </c>
      <c r="E3" s="44" t="s">
        <v>14</v>
      </c>
      <c r="F3" s="45">
        <v>0.95</v>
      </c>
      <c r="G3" s="44" t="s">
        <v>101</v>
      </c>
      <c r="H3" s="46" t="s">
        <v>102</v>
      </c>
    </row>
    <row r="4" spans="1:8" ht="16.5" hidden="1" customHeight="1">
      <c r="A4" s="47" t="s">
        <v>103</v>
      </c>
      <c r="B4" s="48"/>
      <c r="C4" s="48" t="s">
        <v>104</v>
      </c>
      <c r="D4" s="48" t="s">
        <v>103</v>
      </c>
      <c r="E4" s="48" t="s">
        <v>14</v>
      </c>
      <c r="F4" s="49">
        <v>0.16666666666666671</v>
      </c>
      <c r="G4" s="48" t="s">
        <v>101</v>
      </c>
      <c r="H4" s="50" t="s">
        <v>102</v>
      </c>
    </row>
    <row r="5" spans="1:8" ht="16.5" hidden="1" customHeight="1">
      <c r="A5" s="47" t="s">
        <v>105</v>
      </c>
      <c r="B5" s="48"/>
      <c r="C5" s="48" t="s">
        <v>106</v>
      </c>
      <c r="D5" s="48" t="s">
        <v>105</v>
      </c>
      <c r="E5" s="48" t="s">
        <v>14</v>
      </c>
      <c r="F5" s="49">
        <v>0.14285714285714279</v>
      </c>
      <c r="G5" s="48" t="s">
        <v>101</v>
      </c>
      <c r="H5" s="50" t="s">
        <v>102</v>
      </c>
    </row>
    <row r="6" spans="1:8" ht="16.5" hidden="1" customHeight="1">
      <c r="A6" s="47" t="s">
        <v>107</v>
      </c>
      <c r="B6" s="48"/>
      <c r="C6" s="48" t="s">
        <v>108</v>
      </c>
      <c r="D6" s="48" t="s">
        <v>107</v>
      </c>
      <c r="E6" s="48" t="s">
        <v>14</v>
      </c>
      <c r="F6" s="49">
        <v>1</v>
      </c>
      <c r="G6" s="48" t="s">
        <v>101</v>
      </c>
      <c r="H6" s="50" t="s">
        <v>102</v>
      </c>
    </row>
    <row r="7" spans="1:8" ht="16.5" hidden="1" customHeight="1">
      <c r="A7" s="47" t="s">
        <v>109</v>
      </c>
      <c r="B7" s="48"/>
      <c r="C7" s="48" t="s">
        <v>110</v>
      </c>
      <c r="D7" s="48" t="s">
        <v>109</v>
      </c>
      <c r="E7" s="48" t="s">
        <v>111</v>
      </c>
      <c r="F7" s="49">
        <v>2.1999999999999999E-2</v>
      </c>
      <c r="G7" s="48" t="s">
        <v>101</v>
      </c>
      <c r="H7" s="50" t="s">
        <v>102</v>
      </c>
    </row>
    <row r="8" spans="1:8" ht="16.5" hidden="1" customHeight="1">
      <c r="A8" s="47" t="s">
        <v>112</v>
      </c>
      <c r="B8" s="48"/>
      <c r="C8" s="48" t="s">
        <v>113</v>
      </c>
      <c r="D8" s="48" t="s">
        <v>112</v>
      </c>
      <c r="E8" s="48" t="s">
        <v>14</v>
      </c>
      <c r="F8" s="49">
        <v>1</v>
      </c>
      <c r="G8" s="48" t="s">
        <v>101</v>
      </c>
      <c r="H8" s="50" t="s">
        <v>102</v>
      </c>
    </row>
    <row r="9" spans="1:8" ht="16.5" hidden="1" customHeight="1">
      <c r="A9" s="47" t="s">
        <v>114</v>
      </c>
      <c r="B9" s="48"/>
      <c r="C9" s="48" t="s">
        <v>115</v>
      </c>
      <c r="D9" s="48" t="s">
        <v>114</v>
      </c>
      <c r="E9" s="48" t="s">
        <v>14</v>
      </c>
      <c r="F9" s="49">
        <v>0.55833333333333335</v>
      </c>
      <c r="G9" s="48" t="s">
        <v>101</v>
      </c>
      <c r="H9" s="50" t="s">
        <v>102</v>
      </c>
    </row>
    <row r="10" spans="1:8" ht="16.5" hidden="1" customHeight="1">
      <c r="A10" s="47" t="s">
        <v>1417</v>
      </c>
      <c r="B10" s="48"/>
      <c r="C10" s="48" t="s">
        <v>1418</v>
      </c>
      <c r="D10" s="48" t="s">
        <v>1419</v>
      </c>
      <c r="E10" s="48" t="s">
        <v>111</v>
      </c>
      <c r="F10" s="49">
        <v>1.0500000000000001E-2</v>
      </c>
      <c r="G10" s="48" t="s">
        <v>156</v>
      </c>
      <c r="H10" s="50"/>
    </row>
    <row r="11" spans="1:8" ht="16.5" hidden="1" customHeight="1">
      <c r="A11" s="47" t="s">
        <v>116</v>
      </c>
      <c r="B11" s="48"/>
      <c r="C11" s="48" t="s">
        <v>117</v>
      </c>
      <c r="D11" s="48" t="s">
        <v>116</v>
      </c>
      <c r="E11" s="48" t="s">
        <v>14</v>
      </c>
      <c r="F11" s="49">
        <v>0.12</v>
      </c>
      <c r="G11" s="48" t="s">
        <v>101</v>
      </c>
      <c r="H11" s="50" t="s">
        <v>102</v>
      </c>
    </row>
    <row r="12" spans="1:8" ht="16.5" hidden="1" customHeight="1">
      <c r="A12" s="47" t="s">
        <v>118</v>
      </c>
      <c r="B12" s="48"/>
      <c r="C12" s="48" t="s">
        <v>119</v>
      </c>
      <c r="D12" s="48" t="s">
        <v>118</v>
      </c>
      <c r="E12" s="48" t="s">
        <v>120</v>
      </c>
      <c r="F12" s="49">
        <v>0.22222222222222221</v>
      </c>
      <c r="G12" s="48" t="s">
        <v>101</v>
      </c>
      <c r="H12" s="50" t="s">
        <v>102</v>
      </c>
    </row>
    <row r="13" spans="1:8" ht="16.5" hidden="1" customHeight="1">
      <c r="A13" s="47" t="s">
        <v>121</v>
      </c>
      <c r="B13" s="48"/>
      <c r="C13" s="48" t="s">
        <v>122</v>
      </c>
      <c r="D13" s="48" t="s">
        <v>121</v>
      </c>
      <c r="E13" s="48" t="s">
        <v>120</v>
      </c>
      <c r="F13" s="49">
        <v>0.16666666666666671</v>
      </c>
      <c r="G13" s="48" t="s">
        <v>101</v>
      </c>
      <c r="H13" s="50" t="s">
        <v>102</v>
      </c>
    </row>
    <row r="14" spans="1:8" ht="16.5" hidden="1" customHeight="1">
      <c r="A14" s="47" t="s">
        <v>123</v>
      </c>
      <c r="B14" s="48"/>
      <c r="C14" s="48" t="s">
        <v>124</v>
      </c>
      <c r="D14" s="48" t="s">
        <v>123</v>
      </c>
      <c r="E14" s="48" t="s">
        <v>14</v>
      </c>
      <c r="F14" s="49">
        <v>4.78</v>
      </c>
      <c r="G14" s="48" t="s">
        <v>101</v>
      </c>
      <c r="H14" s="50" t="s">
        <v>102</v>
      </c>
    </row>
    <row r="15" spans="1:8" ht="16.5" hidden="1" customHeight="1">
      <c r="A15" s="47" t="s">
        <v>1524</v>
      </c>
      <c r="B15" s="48"/>
      <c r="C15" s="48" t="s">
        <v>1570</v>
      </c>
      <c r="D15" s="47" t="s">
        <v>1524</v>
      </c>
      <c r="E15" s="48" t="s">
        <v>30</v>
      </c>
      <c r="F15" s="49">
        <v>2.9000000000000001E-2</v>
      </c>
      <c r="G15" s="48"/>
      <c r="H15" s="50"/>
    </row>
    <row r="16" spans="1:8" ht="16.5" hidden="1" customHeight="1">
      <c r="A16" s="47" t="s">
        <v>125</v>
      </c>
      <c r="B16" s="48"/>
      <c r="C16" s="48" t="s">
        <v>126</v>
      </c>
      <c r="D16" s="48" t="s">
        <v>125</v>
      </c>
      <c r="E16" s="48" t="s">
        <v>111</v>
      </c>
      <c r="F16" s="49">
        <v>1.366E-2</v>
      </c>
      <c r="G16" s="48" t="s">
        <v>127</v>
      </c>
      <c r="H16" s="50" t="s">
        <v>102</v>
      </c>
    </row>
    <row r="17" spans="1:8" ht="16.5" hidden="1" customHeight="1">
      <c r="A17" s="47" t="s">
        <v>128</v>
      </c>
      <c r="B17" s="48"/>
      <c r="C17" s="48" t="s">
        <v>129</v>
      </c>
      <c r="D17" s="48" t="s">
        <v>128</v>
      </c>
      <c r="E17" s="48" t="s">
        <v>14</v>
      </c>
      <c r="F17" s="49">
        <v>0.44444444444444442</v>
      </c>
      <c r="G17" s="48" t="s">
        <v>101</v>
      </c>
      <c r="H17" s="50" t="s">
        <v>102</v>
      </c>
    </row>
    <row r="18" spans="1:8" ht="16.5" hidden="1" customHeight="1">
      <c r="A18" s="47" t="s">
        <v>1523</v>
      </c>
      <c r="B18" s="48"/>
      <c r="C18" s="48" t="s">
        <v>1571</v>
      </c>
      <c r="D18" s="47" t="s">
        <v>1523</v>
      </c>
      <c r="E18" s="48" t="s">
        <v>111</v>
      </c>
      <c r="F18" s="49">
        <v>2.0799999999999999E-2</v>
      </c>
      <c r="G18" s="48"/>
      <c r="H18" s="50"/>
    </row>
    <row r="19" spans="1:8" ht="16.5" hidden="1" customHeight="1">
      <c r="A19" s="47" t="s">
        <v>1522</v>
      </c>
      <c r="B19" s="48"/>
      <c r="C19" s="48" t="s">
        <v>1572</v>
      </c>
      <c r="D19" s="47" t="s">
        <v>1522</v>
      </c>
      <c r="E19" s="48" t="s">
        <v>111</v>
      </c>
      <c r="F19" s="49">
        <v>2.0799999999999999E-2</v>
      </c>
      <c r="G19" s="48"/>
      <c r="H19" s="50"/>
    </row>
    <row r="20" spans="1:8" ht="16.5" hidden="1" customHeight="1">
      <c r="A20" s="47" t="s">
        <v>130</v>
      </c>
      <c r="B20" s="48"/>
      <c r="C20" s="48" t="s">
        <v>131</v>
      </c>
      <c r="D20" s="48" t="s">
        <v>130</v>
      </c>
      <c r="E20" s="48" t="s">
        <v>111</v>
      </c>
      <c r="F20" s="49">
        <v>1.2999999999999999E-2</v>
      </c>
      <c r="G20" s="48" t="s">
        <v>101</v>
      </c>
      <c r="H20" s="50" t="s">
        <v>102</v>
      </c>
    </row>
    <row r="21" spans="1:8" ht="16.5" hidden="1" customHeight="1">
      <c r="A21" s="47" t="s">
        <v>132</v>
      </c>
      <c r="B21" s="48"/>
      <c r="C21" s="48" t="s">
        <v>133</v>
      </c>
      <c r="D21" s="48" t="s">
        <v>132</v>
      </c>
      <c r="E21" s="48" t="s">
        <v>14</v>
      </c>
      <c r="F21" s="49">
        <v>0.84126984126984128</v>
      </c>
      <c r="G21" s="48" t="s">
        <v>101</v>
      </c>
      <c r="H21" s="50" t="s">
        <v>102</v>
      </c>
    </row>
    <row r="22" spans="1:8" ht="16.5" hidden="1" customHeight="1">
      <c r="A22" s="47" t="s">
        <v>134</v>
      </c>
      <c r="B22" s="48"/>
      <c r="C22" s="48" t="s">
        <v>135</v>
      </c>
      <c r="D22" s="48" t="s">
        <v>134</v>
      </c>
      <c r="E22" s="48" t="s">
        <v>14</v>
      </c>
      <c r="F22" s="49">
        <v>0.625</v>
      </c>
      <c r="G22" s="48" t="s">
        <v>127</v>
      </c>
      <c r="H22" s="50" t="s">
        <v>102</v>
      </c>
    </row>
    <row r="23" spans="1:8" ht="16.5" hidden="1" customHeight="1">
      <c r="A23" s="47" t="s">
        <v>136</v>
      </c>
      <c r="B23" s="48"/>
      <c r="C23" s="48" t="s">
        <v>137</v>
      </c>
      <c r="D23" s="48" t="s">
        <v>136</v>
      </c>
      <c r="E23" s="48" t="s">
        <v>14</v>
      </c>
      <c r="F23" s="49">
        <v>0.83333333333333337</v>
      </c>
      <c r="G23" s="48" t="s">
        <v>127</v>
      </c>
      <c r="H23" s="50" t="s">
        <v>102</v>
      </c>
    </row>
    <row r="24" spans="1:8" ht="16.5" hidden="1" customHeight="1">
      <c r="A24" s="47" t="s">
        <v>138</v>
      </c>
      <c r="B24" s="48"/>
      <c r="C24" s="48" t="s">
        <v>139</v>
      </c>
      <c r="D24" s="48" t="s">
        <v>138</v>
      </c>
      <c r="E24" s="48" t="s">
        <v>111</v>
      </c>
      <c r="F24" s="51">
        <v>6.6666666666666671E-3</v>
      </c>
      <c r="G24" s="48" t="s">
        <v>127</v>
      </c>
      <c r="H24" s="50" t="s">
        <v>102</v>
      </c>
    </row>
    <row r="25" spans="1:8" ht="16.5" hidden="1" customHeight="1">
      <c r="A25" s="47" t="s">
        <v>140</v>
      </c>
      <c r="B25" s="48"/>
      <c r="C25" s="48" t="s">
        <v>141</v>
      </c>
      <c r="D25" s="48" t="s">
        <v>140</v>
      </c>
      <c r="E25" s="48" t="s">
        <v>111</v>
      </c>
      <c r="F25" s="49">
        <v>0.01</v>
      </c>
      <c r="G25" s="48" t="s">
        <v>127</v>
      </c>
      <c r="H25" s="50" t="s">
        <v>102</v>
      </c>
    </row>
    <row r="26" spans="1:8" ht="16.5" hidden="1" customHeight="1">
      <c r="A26" s="47" t="s">
        <v>142</v>
      </c>
      <c r="B26" s="48"/>
      <c r="C26" s="48" t="s">
        <v>143</v>
      </c>
      <c r="D26" s="48" t="s">
        <v>142</v>
      </c>
      <c r="E26" s="48" t="s">
        <v>14</v>
      </c>
      <c r="F26" s="49">
        <v>0.96666666666666656</v>
      </c>
      <c r="G26" s="52" t="s">
        <v>127</v>
      </c>
      <c r="H26" s="53" t="s">
        <v>102</v>
      </c>
    </row>
    <row r="27" spans="1:8" ht="16.5" hidden="1" customHeight="1">
      <c r="A27" s="47" t="s">
        <v>144</v>
      </c>
      <c r="B27" s="48"/>
      <c r="C27" s="48" t="s">
        <v>145</v>
      </c>
      <c r="D27" s="48" t="s">
        <v>144</v>
      </c>
      <c r="E27" s="48" t="s">
        <v>14</v>
      </c>
      <c r="F27" s="49">
        <v>0.96</v>
      </c>
      <c r="G27" s="52" t="s">
        <v>127</v>
      </c>
      <c r="H27" s="53" t="s">
        <v>102</v>
      </c>
    </row>
    <row r="28" spans="1:8" ht="16.5" hidden="1" customHeight="1">
      <c r="A28" s="47" t="s">
        <v>146</v>
      </c>
      <c r="B28" s="48"/>
      <c r="C28" s="48" t="s">
        <v>147</v>
      </c>
      <c r="D28" s="48" t="s">
        <v>146</v>
      </c>
      <c r="E28" s="48" t="s">
        <v>14</v>
      </c>
      <c r="F28" s="49">
        <v>3</v>
      </c>
      <c r="G28" s="52" t="s">
        <v>127</v>
      </c>
      <c r="H28" s="53" t="s">
        <v>102</v>
      </c>
    </row>
    <row r="29" spans="1:8" ht="16.5" hidden="1" customHeight="1">
      <c r="A29" s="47" t="s">
        <v>148</v>
      </c>
      <c r="B29" s="48"/>
      <c r="C29" s="48" t="s">
        <v>149</v>
      </c>
      <c r="D29" s="48" t="s">
        <v>148</v>
      </c>
      <c r="E29" s="48" t="s">
        <v>111</v>
      </c>
      <c r="F29" s="49">
        <v>1.413E-2</v>
      </c>
      <c r="G29" s="52" t="s">
        <v>127</v>
      </c>
      <c r="H29" s="53" t="s">
        <v>102</v>
      </c>
    </row>
    <row r="30" spans="1:8" ht="16.5" hidden="1" customHeight="1">
      <c r="A30" s="47" t="s">
        <v>150</v>
      </c>
      <c r="B30" s="48"/>
      <c r="C30" s="48" t="s">
        <v>151</v>
      </c>
      <c r="D30" s="48" t="s">
        <v>150</v>
      </c>
      <c r="E30" s="48" t="s">
        <v>111</v>
      </c>
      <c r="F30" s="49">
        <v>2.5499999999999998E-2</v>
      </c>
      <c r="G30" s="52" t="s">
        <v>127</v>
      </c>
      <c r="H30" s="53" t="s">
        <v>102</v>
      </c>
    </row>
    <row r="31" spans="1:8" ht="16.5" hidden="1" customHeight="1">
      <c r="A31" s="47" t="s">
        <v>152</v>
      </c>
      <c r="B31" s="48"/>
      <c r="C31" s="48" t="s">
        <v>153</v>
      </c>
      <c r="D31" s="48" t="s">
        <v>152</v>
      </c>
      <c r="E31" s="48" t="s">
        <v>111</v>
      </c>
      <c r="F31" s="49">
        <v>1.9175000000000001E-2</v>
      </c>
      <c r="G31" s="52" t="s">
        <v>127</v>
      </c>
      <c r="H31" s="53" t="s">
        <v>102</v>
      </c>
    </row>
    <row r="32" spans="1:8" ht="16.5" hidden="1" customHeight="1">
      <c r="A32" s="47" t="s">
        <v>154</v>
      </c>
      <c r="B32" s="48"/>
      <c r="C32" s="48" t="s">
        <v>155</v>
      </c>
      <c r="D32" s="48" t="s">
        <v>154</v>
      </c>
      <c r="E32" s="48" t="s">
        <v>14</v>
      </c>
      <c r="F32" s="49">
        <v>0.38</v>
      </c>
      <c r="G32" s="52" t="s">
        <v>156</v>
      </c>
      <c r="H32" s="53" t="s">
        <v>157</v>
      </c>
    </row>
    <row r="33" spans="1:8" ht="16.5" hidden="1" customHeight="1">
      <c r="A33" s="47" t="s">
        <v>1490</v>
      </c>
      <c r="B33" s="48"/>
      <c r="C33" s="48" t="s">
        <v>1569</v>
      </c>
      <c r="D33" s="47" t="s">
        <v>1490</v>
      </c>
      <c r="E33" s="48" t="s">
        <v>111</v>
      </c>
      <c r="F33" s="49">
        <v>0.15</v>
      </c>
      <c r="G33" s="52"/>
      <c r="H33" s="53"/>
    </row>
    <row r="34" spans="1:8" ht="16.5" hidden="1" customHeight="1">
      <c r="A34" s="47" t="s">
        <v>1565</v>
      </c>
      <c r="B34" s="48"/>
      <c r="C34" s="48" t="s">
        <v>1566</v>
      </c>
      <c r="D34" s="48" t="s">
        <v>1565</v>
      </c>
      <c r="E34" s="48" t="s">
        <v>111</v>
      </c>
      <c r="F34" s="49">
        <v>1.4E-2</v>
      </c>
      <c r="G34" s="52" t="s">
        <v>156</v>
      </c>
      <c r="H34" s="53" t="s">
        <v>667</v>
      </c>
    </row>
    <row r="35" spans="1:8" ht="16.5" hidden="1" customHeight="1">
      <c r="A35" s="47" t="s">
        <v>1425</v>
      </c>
      <c r="B35" s="48"/>
      <c r="C35" s="48" t="s">
        <v>1567</v>
      </c>
      <c r="D35" s="47" t="s">
        <v>1425</v>
      </c>
      <c r="E35" s="48" t="s">
        <v>111</v>
      </c>
      <c r="F35" s="49">
        <v>1.2800000000000001E-2</v>
      </c>
      <c r="G35" s="52"/>
      <c r="H35" s="53"/>
    </row>
    <row r="36" spans="1:8" ht="16.5" hidden="1" customHeight="1">
      <c r="A36" s="47" t="s">
        <v>158</v>
      </c>
      <c r="B36" s="48"/>
      <c r="C36" s="48" t="s">
        <v>159</v>
      </c>
      <c r="D36" s="48" t="s">
        <v>158</v>
      </c>
      <c r="E36" s="48" t="s">
        <v>111</v>
      </c>
      <c r="F36" s="49">
        <v>1.9823788546255511E-2</v>
      </c>
      <c r="G36" s="52" t="s">
        <v>156</v>
      </c>
      <c r="H36" s="53" t="s">
        <v>157</v>
      </c>
    </row>
    <row r="37" spans="1:8" ht="16.5" hidden="1" customHeight="1">
      <c r="A37" s="47" t="s">
        <v>53</v>
      </c>
      <c r="B37" s="48"/>
      <c r="C37" s="48" t="s">
        <v>160</v>
      </c>
      <c r="D37" s="48" t="s">
        <v>53</v>
      </c>
      <c r="E37" s="48" t="s">
        <v>161</v>
      </c>
      <c r="F37" s="49">
        <v>5.8139534883720929E-3</v>
      </c>
      <c r="G37" s="52" t="s">
        <v>156</v>
      </c>
      <c r="H37" s="53" t="s">
        <v>157</v>
      </c>
    </row>
    <row r="38" spans="1:8" ht="16.5" hidden="1" customHeight="1">
      <c r="A38" s="47" t="s">
        <v>15</v>
      </c>
      <c r="B38" s="48"/>
      <c r="C38" s="48" t="s">
        <v>162</v>
      </c>
      <c r="D38" s="48" t="s">
        <v>15</v>
      </c>
      <c r="E38" s="48" t="s">
        <v>111</v>
      </c>
      <c r="F38" s="49">
        <v>4.4441666666666657E-2</v>
      </c>
      <c r="G38" s="52" t="s">
        <v>156</v>
      </c>
      <c r="H38" s="53" t="s">
        <v>157</v>
      </c>
    </row>
    <row r="39" spans="1:8" ht="16.5" hidden="1" customHeight="1">
      <c r="A39" s="47" t="s">
        <v>163</v>
      </c>
      <c r="B39" s="48"/>
      <c r="C39" s="48" t="s">
        <v>164</v>
      </c>
      <c r="D39" s="48" t="s">
        <v>163</v>
      </c>
      <c r="E39" s="48" t="s">
        <v>111</v>
      </c>
      <c r="F39" s="49">
        <v>9.4666666666666666E-3</v>
      </c>
      <c r="G39" s="52" t="s">
        <v>156</v>
      </c>
      <c r="H39" s="53" t="s">
        <v>157</v>
      </c>
    </row>
    <row r="40" spans="1:8" ht="16.5" hidden="1" customHeight="1">
      <c r="A40" s="47" t="s">
        <v>165</v>
      </c>
      <c r="B40" s="48"/>
      <c r="C40" s="48" t="s">
        <v>166</v>
      </c>
      <c r="D40" s="48" t="s">
        <v>165</v>
      </c>
      <c r="E40" s="48" t="s">
        <v>111</v>
      </c>
      <c r="F40" s="49">
        <v>2.67632241813602E-2</v>
      </c>
      <c r="G40" s="52" t="s">
        <v>156</v>
      </c>
      <c r="H40" s="53" t="s">
        <v>157</v>
      </c>
    </row>
    <row r="41" spans="1:8" ht="16.5" hidden="1" customHeight="1">
      <c r="A41" s="47" t="s">
        <v>167</v>
      </c>
      <c r="B41" s="48"/>
      <c r="C41" s="48" t="s">
        <v>168</v>
      </c>
      <c r="D41" s="48" t="s">
        <v>167</v>
      </c>
      <c r="E41" s="48" t="s">
        <v>111</v>
      </c>
      <c r="F41" s="49">
        <v>2.403846153846154E-2</v>
      </c>
      <c r="G41" s="52" t="s">
        <v>156</v>
      </c>
      <c r="H41" s="53" t="s">
        <v>157</v>
      </c>
    </row>
    <row r="42" spans="1:8" ht="16.5" hidden="1" customHeight="1">
      <c r="A42" s="47" t="s">
        <v>169</v>
      </c>
      <c r="B42" s="48"/>
      <c r="C42" s="48" t="s">
        <v>170</v>
      </c>
      <c r="D42" s="48" t="s">
        <v>169</v>
      </c>
      <c r="E42" s="48" t="s">
        <v>111</v>
      </c>
      <c r="F42" s="49">
        <v>4.5600000000000002E-2</v>
      </c>
      <c r="G42" s="52" t="s">
        <v>156</v>
      </c>
      <c r="H42" s="53" t="s">
        <v>157</v>
      </c>
    </row>
    <row r="43" spans="1:8" ht="16.5" hidden="1" customHeight="1">
      <c r="A43" s="47" t="s">
        <v>171</v>
      </c>
      <c r="B43" s="48"/>
      <c r="C43" s="48" t="s">
        <v>172</v>
      </c>
      <c r="D43" s="48" t="s">
        <v>171</v>
      </c>
      <c r="E43" s="48" t="s">
        <v>111</v>
      </c>
      <c r="F43" s="49">
        <v>6.4000000000000003E-3</v>
      </c>
      <c r="G43" s="52" t="s">
        <v>156</v>
      </c>
      <c r="H43" s="53" t="s">
        <v>157</v>
      </c>
    </row>
    <row r="44" spans="1:8" ht="16.5" hidden="1" customHeight="1">
      <c r="A44" s="47" t="s">
        <v>173</v>
      </c>
      <c r="B44" s="48"/>
      <c r="C44" s="48" t="s">
        <v>174</v>
      </c>
      <c r="D44" s="48" t="s">
        <v>173</v>
      </c>
      <c r="E44" s="48" t="s">
        <v>111</v>
      </c>
      <c r="F44" s="49">
        <v>1.3899999999999999E-2</v>
      </c>
      <c r="G44" s="52" t="s">
        <v>156</v>
      </c>
      <c r="H44" s="53" t="s">
        <v>157</v>
      </c>
    </row>
    <row r="45" spans="1:8" ht="16.5" hidden="1" customHeight="1">
      <c r="A45" s="47" t="s">
        <v>175</v>
      </c>
      <c r="B45" s="48"/>
      <c r="C45" s="48" t="s">
        <v>176</v>
      </c>
      <c r="D45" s="48" t="s">
        <v>175</v>
      </c>
      <c r="E45" s="48" t="s">
        <v>111</v>
      </c>
      <c r="F45" s="49">
        <v>8.6E-3</v>
      </c>
      <c r="G45" s="52" t="s">
        <v>156</v>
      </c>
      <c r="H45" s="53" t="s">
        <v>157</v>
      </c>
    </row>
    <row r="46" spans="1:8" ht="16.5" hidden="1" customHeight="1">
      <c r="A46" s="47" t="s">
        <v>45</v>
      </c>
      <c r="B46" s="48"/>
      <c r="C46" s="48" t="s">
        <v>177</v>
      </c>
      <c r="D46" s="48" t="s">
        <v>45</v>
      </c>
      <c r="E46" s="48" t="s">
        <v>111</v>
      </c>
      <c r="F46" s="49">
        <v>6.0000000000000001E-3</v>
      </c>
      <c r="G46" s="52" t="s">
        <v>156</v>
      </c>
      <c r="H46" s="53" t="s">
        <v>157</v>
      </c>
    </row>
    <row r="47" spans="1:8" ht="16.5" hidden="1" customHeight="1">
      <c r="A47" s="47" t="s">
        <v>178</v>
      </c>
      <c r="B47" s="48"/>
      <c r="C47" s="48" t="s">
        <v>179</v>
      </c>
      <c r="D47" s="48" t="s">
        <v>178</v>
      </c>
      <c r="E47" s="48" t="s">
        <v>111</v>
      </c>
      <c r="F47" s="49">
        <v>2.062972292191436E-2</v>
      </c>
      <c r="G47" s="52" t="s">
        <v>156</v>
      </c>
      <c r="H47" s="53" t="s">
        <v>157</v>
      </c>
    </row>
    <row r="48" spans="1:8" ht="16.5" hidden="1" customHeight="1">
      <c r="A48" s="47" t="s">
        <v>180</v>
      </c>
      <c r="B48" s="48"/>
      <c r="C48" s="48" t="s">
        <v>181</v>
      </c>
      <c r="D48" s="48" t="s">
        <v>180</v>
      </c>
      <c r="E48" s="48" t="s">
        <v>111</v>
      </c>
      <c r="F48" s="49">
        <v>8.8999999999999999E-3</v>
      </c>
      <c r="G48" s="52" t="s">
        <v>156</v>
      </c>
      <c r="H48" s="53" t="s">
        <v>157</v>
      </c>
    </row>
    <row r="49" spans="1:8" ht="16.5" hidden="1" customHeight="1">
      <c r="A49" s="47" t="s">
        <v>182</v>
      </c>
      <c r="B49" s="48"/>
      <c r="C49" s="48" t="s">
        <v>183</v>
      </c>
      <c r="D49" s="48" t="s">
        <v>182</v>
      </c>
      <c r="E49" s="48" t="s">
        <v>111</v>
      </c>
      <c r="F49" s="49">
        <v>5.0643750000000001E-2</v>
      </c>
      <c r="G49" s="52" t="s">
        <v>156</v>
      </c>
      <c r="H49" s="53" t="s">
        <v>157</v>
      </c>
    </row>
    <row r="50" spans="1:8" ht="16.5" hidden="1" customHeight="1">
      <c r="A50" s="47" t="s">
        <v>184</v>
      </c>
      <c r="B50" s="48"/>
      <c r="C50" s="48" t="s">
        <v>185</v>
      </c>
      <c r="D50" s="48" t="s">
        <v>184</v>
      </c>
      <c r="E50" s="48" t="s">
        <v>111</v>
      </c>
      <c r="F50" s="49">
        <v>1.3125E-2</v>
      </c>
      <c r="G50" s="52" t="s">
        <v>156</v>
      </c>
      <c r="H50" s="53" t="s">
        <v>157</v>
      </c>
    </row>
    <row r="51" spans="1:8" ht="16.5" hidden="1" customHeight="1">
      <c r="A51" s="47" t="s">
        <v>186</v>
      </c>
      <c r="B51" s="48"/>
      <c r="C51" s="48" t="s">
        <v>187</v>
      </c>
      <c r="D51" s="48" t="s">
        <v>186</v>
      </c>
      <c r="E51" s="48" t="s">
        <v>111</v>
      </c>
      <c r="F51" s="49">
        <v>7.1999999999999998E-3</v>
      </c>
      <c r="G51" s="52" t="s">
        <v>156</v>
      </c>
      <c r="H51" s="53" t="s">
        <v>157</v>
      </c>
    </row>
    <row r="52" spans="1:8" ht="16.5" hidden="1" customHeight="1">
      <c r="A52" s="47" t="s">
        <v>188</v>
      </c>
      <c r="B52" s="48"/>
      <c r="C52" s="48" t="s">
        <v>189</v>
      </c>
      <c r="D52" s="48" t="s">
        <v>188</v>
      </c>
      <c r="E52" s="48" t="s">
        <v>111</v>
      </c>
      <c r="F52" s="49">
        <v>1.4999999999999999E-2</v>
      </c>
      <c r="G52" s="52" t="s">
        <v>156</v>
      </c>
      <c r="H52" s="53" t="s">
        <v>157</v>
      </c>
    </row>
    <row r="53" spans="1:8" ht="16.5" hidden="1" customHeight="1">
      <c r="A53" s="47" t="s">
        <v>190</v>
      </c>
      <c r="B53" s="48"/>
      <c r="C53" s="48" t="s">
        <v>191</v>
      </c>
      <c r="D53" s="48" t="s">
        <v>190</v>
      </c>
      <c r="E53" s="48" t="s">
        <v>111</v>
      </c>
      <c r="F53" s="49">
        <v>1.2919999999999999E-2</v>
      </c>
      <c r="G53" s="52" t="s">
        <v>156</v>
      </c>
      <c r="H53" s="53" t="s">
        <v>157</v>
      </c>
    </row>
    <row r="54" spans="1:8" ht="16.5" hidden="1" customHeight="1">
      <c r="A54" s="47" t="s">
        <v>192</v>
      </c>
      <c r="B54" s="48"/>
      <c r="C54" s="48" t="s">
        <v>193</v>
      </c>
      <c r="D54" s="48" t="s">
        <v>192</v>
      </c>
      <c r="E54" s="48" t="s">
        <v>111</v>
      </c>
      <c r="F54" s="49">
        <v>1.29E-2</v>
      </c>
      <c r="G54" s="52" t="s">
        <v>156</v>
      </c>
      <c r="H54" s="53" t="s">
        <v>157</v>
      </c>
    </row>
    <row r="55" spans="1:8" ht="16.5" hidden="1" customHeight="1">
      <c r="A55" s="47" t="s">
        <v>194</v>
      </c>
      <c r="B55" s="48"/>
      <c r="C55" s="48" t="s">
        <v>195</v>
      </c>
      <c r="D55" s="48" t="s">
        <v>194</v>
      </c>
      <c r="E55" s="48" t="s">
        <v>111</v>
      </c>
      <c r="F55" s="49">
        <v>1.29E-2</v>
      </c>
      <c r="G55" s="52" t="s">
        <v>156</v>
      </c>
      <c r="H55" s="53" t="s">
        <v>157</v>
      </c>
    </row>
    <row r="56" spans="1:8" ht="16.5" hidden="1" customHeight="1">
      <c r="A56" s="47" t="s">
        <v>196</v>
      </c>
      <c r="B56" s="48"/>
      <c r="C56" s="48" t="s">
        <v>197</v>
      </c>
      <c r="D56" s="47" t="s">
        <v>196</v>
      </c>
      <c r="E56" s="48" t="s">
        <v>111</v>
      </c>
      <c r="F56" s="49">
        <v>1.4500000000000001E-2</v>
      </c>
      <c r="G56" s="52" t="s">
        <v>156</v>
      </c>
      <c r="H56" s="53" t="s">
        <v>157</v>
      </c>
    </row>
    <row r="57" spans="1:8" ht="16.5" hidden="1" customHeight="1">
      <c r="A57" s="47" t="s">
        <v>198</v>
      </c>
      <c r="B57" s="48"/>
      <c r="C57" s="48" t="s">
        <v>199</v>
      </c>
      <c r="D57" s="48" t="s">
        <v>198</v>
      </c>
      <c r="E57" s="48" t="s">
        <v>111</v>
      </c>
      <c r="F57" s="49">
        <v>5.8823529411764714E-3</v>
      </c>
      <c r="G57" s="52" t="s">
        <v>156</v>
      </c>
      <c r="H57" s="53" t="s">
        <v>157</v>
      </c>
    </row>
    <row r="58" spans="1:8" ht="16.5" hidden="1" customHeight="1">
      <c r="A58" s="47" t="s">
        <v>200</v>
      </c>
      <c r="B58" s="48"/>
      <c r="C58" s="48" t="s">
        <v>201</v>
      </c>
      <c r="D58" s="48" t="s">
        <v>200</v>
      </c>
      <c r="E58" s="48" t="s">
        <v>111</v>
      </c>
      <c r="F58" s="49">
        <v>0.01</v>
      </c>
      <c r="G58" s="52" t="s">
        <v>156</v>
      </c>
      <c r="H58" s="53" t="s">
        <v>157</v>
      </c>
    </row>
    <row r="59" spans="1:8" ht="16.5" hidden="1" customHeight="1">
      <c r="A59" s="47" t="s">
        <v>202</v>
      </c>
      <c r="B59" s="48"/>
      <c r="C59" s="48" t="s">
        <v>203</v>
      </c>
      <c r="D59" s="48" t="s">
        <v>202</v>
      </c>
      <c r="E59" s="48" t="s">
        <v>161</v>
      </c>
      <c r="F59" s="49">
        <v>6.7999999999999996E-3</v>
      </c>
      <c r="G59" s="52" t="s">
        <v>156</v>
      </c>
      <c r="H59" s="53" t="s">
        <v>157</v>
      </c>
    </row>
    <row r="60" spans="1:8" ht="16.5" hidden="1" customHeight="1">
      <c r="A60" s="47" t="s">
        <v>204</v>
      </c>
      <c r="B60" s="48"/>
      <c r="C60" s="48" t="s">
        <v>205</v>
      </c>
      <c r="D60" s="48" t="s">
        <v>204</v>
      </c>
      <c r="E60" s="48" t="s">
        <v>111</v>
      </c>
      <c r="F60" s="49">
        <v>1.2776666666666671E-2</v>
      </c>
      <c r="G60" s="52" t="s">
        <v>156</v>
      </c>
      <c r="H60" s="53" t="s">
        <v>157</v>
      </c>
    </row>
    <row r="61" spans="1:8" ht="16.5" hidden="1" customHeight="1">
      <c r="A61" s="47" t="s">
        <v>31</v>
      </c>
      <c r="B61" s="48"/>
      <c r="C61" s="48" t="s">
        <v>206</v>
      </c>
      <c r="D61" s="48" t="s">
        <v>31</v>
      </c>
      <c r="E61" s="48" t="s">
        <v>111</v>
      </c>
      <c r="F61" s="49">
        <v>5.185185185185185E-3</v>
      </c>
      <c r="G61" s="52" t="s">
        <v>156</v>
      </c>
      <c r="H61" s="53" t="s">
        <v>157</v>
      </c>
    </row>
    <row r="62" spans="1:8" ht="16.5" hidden="1" customHeight="1">
      <c r="A62" s="47" t="s">
        <v>1576</v>
      </c>
      <c r="B62" s="48"/>
      <c r="C62" s="48" t="s">
        <v>1603</v>
      </c>
      <c r="D62" s="48" t="s">
        <v>1576</v>
      </c>
      <c r="E62" s="48" t="s">
        <v>14</v>
      </c>
      <c r="F62" s="49">
        <v>0.01</v>
      </c>
      <c r="G62" s="52" t="s">
        <v>101</v>
      </c>
      <c r="H62" s="53"/>
    </row>
    <row r="63" spans="1:8" ht="16.5" hidden="1" customHeight="1">
      <c r="A63" s="47" t="s">
        <v>1604</v>
      </c>
      <c r="B63" s="48"/>
      <c r="C63" s="48" t="s">
        <v>1605</v>
      </c>
      <c r="D63" s="48" t="s">
        <v>1604</v>
      </c>
      <c r="E63" s="48" t="s">
        <v>111</v>
      </c>
      <c r="F63" s="49">
        <v>4.3E-3</v>
      </c>
      <c r="G63" s="52" t="s">
        <v>156</v>
      </c>
      <c r="H63" s="53" t="s">
        <v>157</v>
      </c>
    </row>
    <row r="64" spans="1:8" ht="16.5" hidden="1" customHeight="1">
      <c r="A64" s="47" t="s">
        <v>1578</v>
      </c>
      <c r="B64" s="48"/>
      <c r="C64" s="48" t="s">
        <v>1606</v>
      </c>
      <c r="D64" s="48" t="s">
        <v>1607</v>
      </c>
      <c r="E64" s="48" t="s">
        <v>111</v>
      </c>
      <c r="F64" s="49">
        <v>1.4999999999999999E-2</v>
      </c>
      <c r="G64" s="52"/>
      <c r="H64" s="53"/>
    </row>
    <row r="65" spans="1:8" ht="16.5" hidden="1" customHeight="1">
      <c r="A65" s="47" t="s">
        <v>207</v>
      </c>
      <c r="B65" s="48"/>
      <c r="C65" s="48" t="s">
        <v>208</v>
      </c>
      <c r="D65" s="48" t="s">
        <v>207</v>
      </c>
      <c r="E65" s="48" t="s">
        <v>111</v>
      </c>
      <c r="F65" s="49">
        <v>5.8823529411764714E-3</v>
      </c>
      <c r="G65" s="52" t="s">
        <v>156</v>
      </c>
      <c r="H65" s="53" t="s">
        <v>157</v>
      </c>
    </row>
    <row r="66" spans="1:8" ht="16.5" hidden="1" customHeight="1">
      <c r="A66" s="47" t="s">
        <v>209</v>
      </c>
      <c r="B66" s="48"/>
      <c r="C66" s="48" t="s">
        <v>210</v>
      </c>
      <c r="D66" s="48" t="s">
        <v>209</v>
      </c>
      <c r="E66" s="48" t="s">
        <v>111</v>
      </c>
      <c r="F66" s="49">
        <v>6.7999999999999996E-3</v>
      </c>
      <c r="G66" s="52" t="s">
        <v>156</v>
      </c>
      <c r="H66" s="53" t="s">
        <v>157</v>
      </c>
    </row>
    <row r="67" spans="1:8" ht="16.5" hidden="1" customHeight="1">
      <c r="A67" s="47" t="s">
        <v>211</v>
      </c>
      <c r="B67" s="48"/>
      <c r="C67" s="48" t="s">
        <v>212</v>
      </c>
      <c r="D67" s="48" t="s">
        <v>211</v>
      </c>
      <c r="E67" s="48" t="s">
        <v>111</v>
      </c>
      <c r="F67" s="49">
        <v>2.0400000000000001E-2</v>
      </c>
      <c r="G67" s="52" t="s">
        <v>156</v>
      </c>
      <c r="H67" s="53" t="s">
        <v>157</v>
      </c>
    </row>
    <row r="68" spans="1:8" ht="16.5" hidden="1" customHeight="1">
      <c r="A68" s="47" t="s">
        <v>36</v>
      </c>
      <c r="B68" s="48"/>
      <c r="C68" s="48" t="s">
        <v>213</v>
      </c>
      <c r="D68" s="48" t="s">
        <v>36</v>
      </c>
      <c r="E68" s="48" t="s">
        <v>111</v>
      </c>
      <c r="F68" s="49">
        <v>2.8475E-2</v>
      </c>
      <c r="G68" s="52" t="s">
        <v>156</v>
      </c>
      <c r="H68" s="53" t="s">
        <v>157</v>
      </c>
    </row>
    <row r="69" spans="1:8" ht="16.5" hidden="1" customHeight="1">
      <c r="A69" s="54" t="s">
        <v>214</v>
      </c>
      <c r="B69" s="48"/>
      <c r="C69" s="48" t="s">
        <v>215</v>
      </c>
      <c r="D69" s="55" t="s">
        <v>214</v>
      </c>
      <c r="E69" s="48" t="s">
        <v>111</v>
      </c>
      <c r="F69" s="49">
        <v>1.29E-2</v>
      </c>
      <c r="G69" s="52" t="s">
        <v>156</v>
      </c>
      <c r="H69" s="53" t="s">
        <v>157</v>
      </c>
    </row>
    <row r="70" spans="1:8" ht="16.5" hidden="1" customHeight="1">
      <c r="A70" s="54" t="s">
        <v>216</v>
      </c>
      <c r="B70" s="48"/>
      <c r="C70" s="48" t="s">
        <v>217</v>
      </c>
      <c r="D70" s="55" t="s">
        <v>216</v>
      </c>
      <c r="E70" s="48" t="s">
        <v>14</v>
      </c>
      <c r="F70" s="49">
        <v>0.35</v>
      </c>
      <c r="G70" s="52" t="s">
        <v>156</v>
      </c>
      <c r="H70" s="53" t="s">
        <v>157</v>
      </c>
    </row>
    <row r="71" spans="1:8" ht="16.5" hidden="1" customHeight="1">
      <c r="A71" s="54" t="s">
        <v>218</v>
      </c>
      <c r="B71" s="48"/>
      <c r="C71" s="48" t="s">
        <v>219</v>
      </c>
      <c r="D71" s="55" t="s">
        <v>218</v>
      </c>
      <c r="E71" s="48" t="s">
        <v>161</v>
      </c>
      <c r="F71" s="49">
        <v>1.9709090909090909E-2</v>
      </c>
      <c r="G71" s="52" t="s">
        <v>156</v>
      </c>
      <c r="H71" s="53" t="s">
        <v>157</v>
      </c>
    </row>
    <row r="72" spans="1:8" ht="16.5" hidden="1" customHeight="1">
      <c r="A72" s="54" t="s">
        <v>63</v>
      </c>
      <c r="B72" s="48"/>
      <c r="C72" s="48" t="s">
        <v>220</v>
      </c>
      <c r="D72" s="55" t="s">
        <v>63</v>
      </c>
      <c r="E72" s="48" t="s">
        <v>111</v>
      </c>
      <c r="F72" s="49">
        <v>2.0799999999999999E-2</v>
      </c>
      <c r="G72" s="52" t="s">
        <v>156</v>
      </c>
      <c r="H72" s="53" t="s">
        <v>157</v>
      </c>
    </row>
    <row r="73" spans="1:8" ht="16.5" hidden="1" customHeight="1">
      <c r="A73" s="54" t="s">
        <v>221</v>
      </c>
      <c r="B73" s="48"/>
      <c r="C73" s="48" t="s">
        <v>222</v>
      </c>
      <c r="D73" s="55" t="s">
        <v>221</v>
      </c>
      <c r="E73" s="48" t="s">
        <v>111</v>
      </c>
      <c r="F73" s="49">
        <v>1.266666666666667E-2</v>
      </c>
      <c r="G73" s="52" t="s">
        <v>156</v>
      </c>
      <c r="H73" s="53" t="s">
        <v>157</v>
      </c>
    </row>
    <row r="74" spans="1:8" ht="16.5" hidden="1" customHeight="1">
      <c r="A74" s="54" t="s">
        <v>223</v>
      </c>
      <c r="B74" s="48"/>
      <c r="C74" s="48" t="s">
        <v>224</v>
      </c>
      <c r="D74" s="55" t="s">
        <v>223</v>
      </c>
      <c r="E74" s="48" t="s">
        <v>111</v>
      </c>
      <c r="F74" s="49">
        <v>4.2000000000000003E-2</v>
      </c>
      <c r="G74" s="52" t="s">
        <v>156</v>
      </c>
      <c r="H74" s="53" t="s">
        <v>157</v>
      </c>
    </row>
    <row r="75" spans="1:8" ht="16.5" hidden="1" customHeight="1">
      <c r="A75" s="54" t="s">
        <v>225</v>
      </c>
      <c r="B75" s="48"/>
      <c r="C75" s="48" t="s">
        <v>226</v>
      </c>
      <c r="D75" s="55" t="s">
        <v>225</v>
      </c>
      <c r="E75" s="48" t="s">
        <v>111</v>
      </c>
      <c r="F75" s="49">
        <v>3.7699999999999997E-2</v>
      </c>
      <c r="G75" s="52" t="s">
        <v>156</v>
      </c>
      <c r="H75" s="53" t="s">
        <v>157</v>
      </c>
    </row>
    <row r="76" spans="1:8" ht="16.5" hidden="1" customHeight="1">
      <c r="A76" s="54" t="s">
        <v>227</v>
      </c>
      <c r="B76" s="48"/>
      <c r="C76" s="48" t="s">
        <v>228</v>
      </c>
      <c r="D76" s="55" t="s">
        <v>227</v>
      </c>
      <c r="E76" s="48" t="s">
        <v>111</v>
      </c>
      <c r="F76" s="49">
        <v>2.3900000000000001E-2</v>
      </c>
      <c r="G76" s="52" t="s">
        <v>156</v>
      </c>
      <c r="H76" s="53" t="s">
        <v>157</v>
      </c>
    </row>
    <row r="77" spans="1:8" ht="16.5" hidden="1" customHeight="1">
      <c r="A77" s="54" t="s">
        <v>229</v>
      </c>
      <c r="B77" s="48"/>
      <c r="C77" s="48" t="s">
        <v>230</v>
      </c>
      <c r="D77" s="55" t="s">
        <v>229</v>
      </c>
      <c r="E77" s="48" t="s">
        <v>111</v>
      </c>
      <c r="F77" s="49">
        <v>7.4999999999999997E-2</v>
      </c>
      <c r="G77" s="52" t="s">
        <v>156</v>
      </c>
      <c r="H77" s="53" t="s">
        <v>157</v>
      </c>
    </row>
    <row r="78" spans="1:8" ht="16.5" hidden="1" customHeight="1">
      <c r="A78" s="54" t="s">
        <v>231</v>
      </c>
      <c r="B78" s="48"/>
      <c r="C78" s="48" t="s">
        <v>232</v>
      </c>
      <c r="D78" s="55" t="s">
        <v>231</v>
      </c>
      <c r="E78" s="48" t="s">
        <v>111</v>
      </c>
      <c r="F78" s="49">
        <v>8.4000000000000005E-2</v>
      </c>
      <c r="G78" s="52" t="s">
        <v>156</v>
      </c>
      <c r="H78" s="53" t="s">
        <v>157</v>
      </c>
    </row>
    <row r="79" spans="1:8" ht="16.5" hidden="1" customHeight="1">
      <c r="A79" s="54" t="s">
        <v>233</v>
      </c>
      <c r="B79" s="48"/>
      <c r="C79" s="48" t="s">
        <v>234</v>
      </c>
      <c r="D79" s="55" t="s">
        <v>233</v>
      </c>
      <c r="E79" s="48" t="s">
        <v>111</v>
      </c>
      <c r="F79" s="49">
        <v>9.4000000000000004E-3</v>
      </c>
      <c r="G79" s="52" t="s">
        <v>156</v>
      </c>
      <c r="H79" s="53" t="s">
        <v>157</v>
      </c>
    </row>
    <row r="80" spans="1:8" ht="16.5" hidden="1" customHeight="1">
      <c r="A80" s="54" t="s">
        <v>235</v>
      </c>
      <c r="B80" s="48"/>
      <c r="C80" s="48" t="s">
        <v>236</v>
      </c>
      <c r="D80" s="55" t="s">
        <v>235</v>
      </c>
      <c r="E80" s="48" t="s">
        <v>111</v>
      </c>
      <c r="F80" s="49">
        <v>0.04</v>
      </c>
      <c r="G80" s="52" t="s">
        <v>156</v>
      </c>
      <c r="H80" s="53" t="s">
        <v>157</v>
      </c>
    </row>
    <row r="81" spans="1:8" ht="16.5" hidden="1" customHeight="1">
      <c r="A81" s="54" t="s">
        <v>237</v>
      </c>
      <c r="B81" s="48"/>
      <c r="C81" s="48" t="s">
        <v>238</v>
      </c>
      <c r="D81" s="55" t="s">
        <v>237</v>
      </c>
      <c r="E81" s="48" t="s">
        <v>111</v>
      </c>
      <c r="F81" s="49">
        <v>0.52</v>
      </c>
      <c r="G81" s="52" t="s">
        <v>156</v>
      </c>
      <c r="H81" s="53" t="s">
        <v>157</v>
      </c>
    </row>
    <row r="82" spans="1:8" ht="16.5" hidden="1" customHeight="1">
      <c r="A82" s="54" t="s">
        <v>239</v>
      </c>
      <c r="B82" s="48"/>
      <c r="C82" s="48" t="s">
        <v>240</v>
      </c>
      <c r="D82" s="55" t="s">
        <v>239</v>
      </c>
      <c r="E82" s="48" t="s">
        <v>111</v>
      </c>
      <c r="F82" s="49">
        <v>0.32500000000000001</v>
      </c>
      <c r="G82" s="52" t="s">
        <v>156</v>
      </c>
      <c r="H82" s="53" t="s">
        <v>157</v>
      </c>
    </row>
    <row r="83" spans="1:8" ht="16.5" hidden="1" customHeight="1">
      <c r="A83" s="54" t="s">
        <v>241</v>
      </c>
      <c r="B83" s="48"/>
      <c r="C83" s="48" t="s">
        <v>242</v>
      </c>
      <c r="D83" s="55" t="s">
        <v>241</v>
      </c>
      <c r="E83" s="48" t="s">
        <v>111</v>
      </c>
      <c r="F83" s="49">
        <v>0.38</v>
      </c>
      <c r="G83" s="52" t="s">
        <v>156</v>
      </c>
      <c r="H83" s="53" t="s">
        <v>157</v>
      </c>
    </row>
    <row r="84" spans="1:8" ht="16.5" hidden="1" customHeight="1">
      <c r="A84" s="54" t="s">
        <v>243</v>
      </c>
      <c r="B84" s="48"/>
      <c r="C84" s="48" t="s">
        <v>244</v>
      </c>
      <c r="D84" s="54" t="s">
        <v>243</v>
      </c>
      <c r="E84" s="48" t="s">
        <v>111</v>
      </c>
      <c r="F84" s="49">
        <v>1.78E-2</v>
      </c>
      <c r="G84" s="52" t="s">
        <v>156</v>
      </c>
      <c r="H84" s="53" t="s">
        <v>157</v>
      </c>
    </row>
    <row r="85" spans="1:8" ht="16.5" hidden="1" customHeight="1">
      <c r="A85" s="54" t="s">
        <v>245</v>
      </c>
      <c r="B85" s="48"/>
      <c r="C85" s="48" t="s">
        <v>246</v>
      </c>
      <c r="D85" s="55" t="s">
        <v>245</v>
      </c>
      <c r="E85" s="48" t="s">
        <v>111</v>
      </c>
      <c r="F85" s="49">
        <v>2.3800000000000002E-2</v>
      </c>
      <c r="G85" s="52" t="s">
        <v>156</v>
      </c>
      <c r="H85" s="53" t="s">
        <v>157</v>
      </c>
    </row>
    <row r="86" spans="1:8" ht="16.5" hidden="1" customHeight="1">
      <c r="A86" s="54" t="s">
        <v>32</v>
      </c>
      <c r="B86" s="48"/>
      <c r="C86" s="48" t="s">
        <v>247</v>
      </c>
      <c r="D86" s="55" t="s">
        <v>32</v>
      </c>
      <c r="E86" s="48" t="s">
        <v>111</v>
      </c>
      <c r="F86" s="49">
        <v>0.89708333333333334</v>
      </c>
      <c r="G86" s="52" t="s">
        <v>156</v>
      </c>
      <c r="H86" s="53" t="s">
        <v>157</v>
      </c>
    </row>
    <row r="87" spans="1:8" ht="16.5" hidden="1" customHeight="1">
      <c r="A87" s="54" t="s">
        <v>248</v>
      </c>
      <c r="B87" s="48"/>
      <c r="C87" s="48" t="s">
        <v>249</v>
      </c>
      <c r="D87" s="55" t="s">
        <v>248</v>
      </c>
      <c r="E87" s="48" t="s">
        <v>161</v>
      </c>
      <c r="F87" s="49">
        <v>0.1066666666666667</v>
      </c>
      <c r="G87" s="52" t="s">
        <v>156</v>
      </c>
      <c r="H87" s="53" t="s">
        <v>157</v>
      </c>
    </row>
    <row r="88" spans="1:8" ht="16.5" hidden="1" customHeight="1">
      <c r="A88" s="54" t="s">
        <v>250</v>
      </c>
      <c r="B88" s="48"/>
      <c r="C88" s="48" t="s">
        <v>251</v>
      </c>
      <c r="D88" s="55" t="s">
        <v>250</v>
      </c>
      <c r="E88" s="48" t="s">
        <v>111</v>
      </c>
      <c r="F88" s="49">
        <v>9.5649999999999999E-2</v>
      </c>
      <c r="G88" s="52" t="s">
        <v>156</v>
      </c>
      <c r="H88" s="53" t="s">
        <v>157</v>
      </c>
    </row>
    <row r="89" spans="1:8" ht="16.5" hidden="1" customHeight="1">
      <c r="A89" s="54" t="s">
        <v>252</v>
      </c>
      <c r="B89" s="48"/>
      <c r="C89" s="48" t="s">
        <v>253</v>
      </c>
      <c r="D89" s="55" t="s">
        <v>252</v>
      </c>
      <c r="E89" s="48" t="s">
        <v>111</v>
      </c>
      <c r="F89" s="82">
        <v>9.58E-3</v>
      </c>
      <c r="G89" s="52" t="s">
        <v>156</v>
      </c>
      <c r="H89" s="53" t="s">
        <v>157</v>
      </c>
    </row>
    <row r="90" spans="1:8" ht="16.5" hidden="1" customHeight="1">
      <c r="A90" s="54" t="s">
        <v>254</v>
      </c>
      <c r="B90" s="48"/>
      <c r="C90" s="48" t="s">
        <v>255</v>
      </c>
      <c r="D90" s="55" t="s">
        <v>254</v>
      </c>
      <c r="E90" s="48" t="s">
        <v>111</v>
      </c>
      <c r="F90" s="49">
        <v>3.7297979797979802E-2</v>
      </c>
      <c r="G90" s="52" t="s">
        <v>156</v>
      </c>
      <c r="H90" s="53" t="s">
        <v>157</v>
      </c>
    </row>
    <row r="91" spans="1:8" ht="16.5" hidden="1" customHeight="1">
      <c r="A91" s="54" t="s">
        <v>256</v>
      </c>
      <c r="B91" s="48"/>
      <c r="C91" s="48" t="s">
        <v>257</v>
      </c>
      <c r="D91" s="55" t="s">
        <v>256</v>
      </c>
      <c r="E91" s="48" t="s">
        <v>111</v>
      </c>
      <c r="F91" s="49">
        <v>1.1577777777777781E-2</v>
      </c>
      <c r="G91" s="52" t="s">
        <v>156</v>
      </c>
      <c r="H91" s="53" t="s">
        <v>157</v>
      </c>
    </row>
    <row r="92" spans="1:8" ht="16.5" hidden="1" customHeight="1">
      <c r="A92" s="54" t="s">
        <v>258</v>
      </c>
      <c r="B92" s="48"/>
      <c r="C92" s="48" t="s">
        <v>259</v>
      </c>
      <c r="D92" s="55" t="s">
        <v>258</v>
      </c>
      <c r="E92" s="48" t="s">
        <v>161</v>
      </c>
      <c r="F92" s="49">
        <v>1.9746121297602261E-2</v>
      </c>
      <c r="G92" s="52" t="s">
        <v>156</v>
      </c>
      <c r="H92" s="53" t="s">
        <v>157</v>
      </c>
    </row>
    <row r="93" spans="1:8" ht="16.5" hidden="1" customHeight="1">
      <c r="A93" s="54" t="s">
        <v>260</v>
      </c>
      <c r="B93" s="48"/>
      <c r="C93" s="48" t="s">
        <v>261</v>
      </c>
      <c r="D93" s="55" t="s">
        <v>260</v>
      </c>
      <c r="E93" s="48" t="s">
        <v>111</v>
      </c>
      <c r="F93" s="49">
        <v>1.125E-2</v>
      </c>
      <c r="G93" s="52" t="s">
        <v>156</v>
      </c>
      <c r="H93" s="53" t="s">
        <v>157</v>
      </c>
    </row>
    <row r="94" spans="1:8" ht="16.5" hidden="1" customHeight="1">
      <c r="A94" s="54" t="s">
        <v>262</v>
      </c>
      <c r="B94" s="48"/>
      <c r="C94" s="48" t="s">
        <v>263</v>
      </c>
      <c r="D94" s="55" t="s">
        <v>262</v>
      </c>
      <c r="E94" s="48" t="s">
        <v>111</v>
      </c>
      <c r="F94" s="49">
        <v>6.8750000000000006E-2</v>
      </c>
      <c r="G94" s="52" t="s">
        <v>156</v>
      </c>
      <c r="H94" s="53" t="s">
        <v>157</v>
      </c>
    </row>
    <row r="95" spans="1:8" ht="16.5" hidden="1" customHeight="1">
      <c r="A95" s="54" t="s">
        <v>264</v>
      </c>
      <c r="B95" s="48"/>
      <c r="C95" s="48" t="s">
        <v>265</v>
      </c>
      <c r="D95" s="55" t="s">
        <v>264</v>
      </c>
      <c r="E95" s="48" t="s">
        <v>111</v>
      </c>
      <c r="F95" s="49">
        <v>7.6491803278688521E-3</v>
      </c>
      <c r="G95" s="52" t="s">
        <v>156</v>
      </c>
      <c r="H95" s="53" t="s">
        <v>157</v>
      </c>
    </row>
    <row r="96" spans="1:8" ht="16.5" hidden="1" customHeight="1">
      <c r="A96" s="54" t="s">
        <v>266</v>
      </c>
      <c r="B96" s="48"/>
      <c r="C96" s="48" t="s">
        <v>267</v>
      </c>
      <c r="D96" s="55" t="s">
        <v>266</v>
      </c>
      <c r="E96" s="48" t="s">
        <v>111</v>
      </c>
      <c r="F96" s="49">
        <v>2.8000000000000001E-2</v>
      </c>
      <c r="G96" s="52" t="s">
        <v>156</v>
      </c>
      <c r="H96" s="53" t="s">
        <v>157</v>
      </c>
    </row>
    <row r="97" spans="1:8" ht="16.5" hidden="1" customHeight="1">
      <c r="A97" s="54" t="s">
        <v>268</v>
      </c>
      <c r="B97" s="48"/>
      <c r="C97" s="48" t="s">
        <v>269</v>
      </c>
      <c r="D97" s="55" t="s">
        <v>268</v>
      </c>
      <c r="E97" s="48" t="s">
        <v>111</v>
      </c>
      <c r="F97" s="49">
        <v>5.7674418604651161E-2</v>
      </c>
      <c r="G97" s="52" t="s">
        <v>156</v>
      </c>
      <c r="H97" s="53" t="s">
        <v>157</v>
      </c>
    </row>
    <row r="98" spans="1:8" ht="16.5" hidden="1" customHeight="1">
      <c r="A98" s="54" t="s">
        <v>270</v>
      </c>
      <c r="B98" s="48"/>
      <c r="C98" s="48" t="s">
        <v>271</v>
      </c>
      <c r="D98" s="55" t="s">
        <v>270</v>
      </c>
      <c r="E98" s="48" t="s">
        <v>111</v>
      </c>
      <c r="F98" s="49">
        <v>9.1931216931216923E-3</v>
      </c>
      <c r="G98" s="52" t="s">
        <v>156</v>
      </c>
      <c r="H98" s="53" t="s">
        <v>157</v>
      </c>
    </row>
    <row r="99" spans="1:8" ht="16.5" customHeight="1">
      <c r="A99" s="54" t="s">
        <v>1398</v>
      </c>
      <c r="B99" s="48"/>
      <c r="C99" s="48" t="s">
        <v>1399</v>
      </c>
      <c r="D99" s="55" t="s">
        <v>1398</v>
      </c>
      <c r="E99" s="48" t="s">
        <v>111</v>
      </c>
      <c r="F99" s="49">
        <v>5.0000000000000001E-4</v>
      </c>
      <c r="G99" s="52" t="s">
        <v>156</v>
      </c>
      <c r="H99" s="53" t="s">
        <v>157</v>
      </c>
    </row>
    <row r="100" spans="1:8" ht="16.5" customHeight="1">
      <c r="A100" s="54" t="s">
        <v>272</v>
      </c>
      <c r="B100" s="48"/>
      <c r="C100" s="48" t="s">
        <v>273</v>
      </c>
      <c r="D100" s="55" t="s">
        <v>272</v>
      </c>
      <c r="E100" s="48" t="s">
        <v>111</v>
      </c>
      <c r="F100" s="49">
        <v>3.5000000000000003E-2</v>
      </c>
      <c r="G100" s="52" t="s">
        <v>156</v>
      </c>
      <c r="H100" s="53" t="s">
        <v>157</v>
      </c>
    </row>
    <row r="101" spans="1:8" ht="16.5" hidden="1" customHeight="1">
      <c r="A101" s="54" t="s">
        <v>274</v>
      </c>
      <c r="B101" s="48"/>
      <c r="C101" s="48" t="s">
        <v>275</v>
      </c>
      <c r="D101" s="55" t="s">
        <v>274</v>
      </c>
      <c r="E101" s="48" t="s">
        <v>111</v>
      </c>
      <c r="F101" s="49">
        <v>1.29868073878628E-2</v>
      </c>
      <c r="G101" s="52" t="s">
        <v>156</v>
      </c>
      <c r="H101" s="53" t="s">
        <v>157</v>
      </c>
    </row>
    <row r="102" spans="1:8" ht="16.5" hidden="1" customHeight="1">
      <c r="A102" s="54" t="s">
        <v>56</v>
      </c>
      <c r="B102" s="48"/>
      <c r="C102" s="48" t="s">
        <v>276</v>
      </c>
      <c r="D102" s="55" t="s">
        <v>56</v>
      </c>
      <c r="E102" s="48" t="s">
        <v>111</v>
      </c>
      <c r="F102" s="49">
        <v>6.8440000000000001E-2</v>
      </c>
      <c r="G102" s="52" t="s">
        <v>156</v>
      </c>
      <c r="H102" s="53" t="s">
        <v>157</v>
      </c>
    </row>
    <row r="103" spans="1:8" ht="16.5" hidden="1" customHeight="1">
      <c r="A103" s="54" t="s">
        <v>277</v>
      </c>
      <c r="B103" s="48"/>
      <c r="C103" s="48" t="s">
        <v>278</v>
      </c>
      <c r="D103" s="55" t="s">
        <v>277</v>
      </c>
      <c r="E103" s="48" t="s">
        <v>111</v>
      </c>
      <c r="F103" s="49">
        <v>4.5333333333333337E-2</v>
      </c>
      <c r="G103" s="52" t="s">
        <v>156</v>
      </c>
      <c r="H103" s="53" t="s">
        <v>157</v>
      </c>
    </row>
    <row r="104" spans="1:8" ht="16.5" customHeight="1">
      <c r="A104" s="54" t="s">
        <v>279</v>
      </c>
      <c r="B104" s="48"/>
      <c r="C104" s="48" t="s">
        <v>280</v>
      </c>
      <c r="D104" s="55" t="s">
        <v>279</v>
      </c>
      <c r="E104" s="48" t="s">
        <v>111</v>
      </c>
      <c r="F104" s="49">
        <v>4.7489823609226586E-3</v>
      </c>
      <c r="G104" s="52" t="s">
        <v>156</v>
      </c>
      <c r="H104" s="53" t="s">
        <v>157</v>
      </c>
    </row>
    <row r="105" spans="1:8" ht="16.5" hidden="1" customHeight="1">
      <c r="A105" s="54" t="s">
        <v>281</v>
      </c>
      <c r="B105" s="48"/>
      <c r="C105" s="48" t="s">
        <v>282</v>
      </c>
      <c r="D105" s="55" t="s">
        <v>281</v>
      </c>
      <c r="E105" s="48" t="s">
        <v>111</v>
      </c>
      <c r="F105" s="49">
        <v>1.149</v>
      </c>
      <c r="G105" s="52" t="s">
        <v>156</v>
      </c>
      <c r="H105" s="53" t="s">
        <v>157</v>
      </c>
    </row>
    <row r="106" spans="1:8" ht="16.5" hidden="1" customHeight="1">
      <c r="A106" s="54" t="s">
        <v>283</v>
      </c>
      <c r="B106" s="48"/>
      <c r="C106" s="48" t="s">
        <v>284</v>
      </c>
      <c r="D106" s="55" t="s">
        <v>283</v>
      </c>
      <c r="E106" s="48" t="s">
        <v>111</v>
      </c>
      <c r="F106" s="49">
        <v>8.8105726872246701E-2</v>
      </c>
      <c r="G106" s="52" t="s">
        <v>156</v>
      </c>
      <c r="H106" s="53" t="s">
        <v>157</v>
      </c>
    </row>
    <row r="107" spans="1:8" ht="16.5" hidden="1" customHeight="1">
      <c r="A107" s="54" t="s">
        <v>285</v>
      </c>
      <c r="B107" s="48"/>
      <c r="C107" s="48" t="s">
        <v>286</v>
      </c>
      <c r="D107" s="55" t="s">
        <v>285</v>
      </c>
      <c r="E107" s="48" t="s">
        <v>111</v>
      </c>
      <c r="F107" s="49">
        <v>2.53E-2</v>
      </c>
      <c r="G107" s="52" t="s">
        <v>156</v>
      </c>
      <c r="H107" s="53" t="s">
        <v>157</v>
      </c>
    </row>
    <row r="108" spans="1:8" ht="16.5" hidden="1" customHeight="1">
      <c r="A108" s="54" t="s">
        <v>33</v>
      </c>
      <c r="B108" s="48"/>
      <c r="C108" s="48" t="s">
        <v>287</v>
      </c>
      <c r="D108" s="55" t="s">
        <v>33</v>
      </c>
      <c r="E108" s="48" t="s">
        <v>111</v>
      </c>
      <c r="F108" s="49">
        <v>3.6754545454545463E-2</v>
      </c>
      <c r="G108" s="52" t="s">
        <v>156</v>
      </c>
      <c r="H108" s="53" t="s">
        <v>157</v>
      </c>
    </row>
    <row r="109" spans="1:8" ht="16.5" hidden="1" customHeight="1">
      <c r="A109" s="54" t="s">
        <v>288</v>
      </c>
      <c r="B109" s="48"/>
      <c r="C109" s="48" t="s">
        <v>289</v>
      </c>
      <c r="D109" s="55" t="s">
        <v>288</v>
      </c>
      <c r="E109" s="48" t="s">
        <v>111</v>
      </c>
      <c r="F109" s="49">
        <v>6.6666666666666666E-2</v>
      </c>
      <c r="G109" s="52" t="s">
        <v>156</v>
      </c>
      <c r="H109" s="53" t="s">
        <v>157</v>
      </c>
    </row>
    <row r="110" spans="1:8" ht="16.5" hidden="1" customHeight="1">
      <c r="A110" s="54" t="s">
        <v>290</v>
      </c>
      <c r="B110" s="48"/>
      <c r="C110" s="48" t="s">
        <v>291</v>
      </c>
      <c r="D110" s="55" t="s">
        <v>290</v>
      </c>
      <c r="E110" s="48" t="s">
        <v>111</v>
      </c>
      <c r="F110" s="49">
        <v>1.555666666666667E-2</v>
      </c>
      <c r="G110" s="52" t="s">
        <v>292</v>
      </c>
      <c r="H110" s="53" t="s">
        <v>293</v>
      </c>
    </row>
    <row r="111" spans="1:8" ht="16.5" hidden="1" customHeight="1">
      <c r="A111" s="54" t="s">
        <v>294</v>
      </c>
      <c r="B111" s="48"/>
      <c r="C111" s="48" t="s">
        <v>295</v>
      </c>
      <c r="D111" s="55" t="s">
        <v>294</v>
      </c>
      <c r="E111" s="48" t="s">
        <v>111</v>
      </c>
      <c r="F111" s="49">
        <v>3.1E-2</v>
      </c>
      <c r="G111" s="52" t="s">
        <v>101</v>
      </c>
      <c r="H111" s="53" t="s">
        <v>296</v>
      </c>
    </row>
    <row r="112" spans="1:8" ht="16.5" hidden="1" customHeight="1">
      <c r="A112" s="54" t="s">
        <v>297</v>
      </c>
      <c r="B112" s="48"/>
      <c r="C112" s="48" t="s">
        <v>298</v>
      </c>
      <c r="D112" s="55" t="s">
        <v>297</v>
      </c>
      <c r="E112" s="48" t="s">
        <v>111</v>
      </c>
      <c r="F112" s="49">
        <v>3.7499999999999999E-2</v>
      </c>
      <c r="G112" s="52" t="s">
        <v>101</v>
      </c>
      <c r="H112" s="53" t="s">
        <v>296</v>
      </c>
    </row>
    <row r="113" spans="1:8" ht="16.5" hidden="1" customHeight="1">
      <c r="A113" s="54" t="s">
        <v>299</v>
      </c>
      <c r="B113" s="48"/>
      <c r="C113" s="48" t="s">
        <v>300</v>
      </c>
      <c r="D113" s="55" t="s">
        <v>299</v>
      </c>
      <c r="E113" s="48" t="s">
        <v>111</v>
      </c>
      <c r="F113" s="49">
        <v>2.3E-2</v>
      </c>
      <c r="G113" s="52" t="s">
        <v>101</v>
      </c>
      <c r="H113" s="53" t="s">
        <v>296</v>
      </c>
    </row>
    <row r="114" spans="1:8" ht="16.5" hidden="1" customHeight="1">
      <c r="A114" s="54" t="s">
        <v>301</v>
      </c>
      <c r="B114" s="48"/>
      <c r="C114" s="48" t="s">
        <v>302</v>
      </c>
      <c r="D114" s="55" t="s">
        <v>301</v>
      </c>
      <c r="E114" s="48" t="s">
        <v>111</v>
      </c>
      <c r="F114" s="49">
        <v>2.8009090909090911E-2</v>
      </c>
      <c r="G114" s="52" t="s">
        <v>101</v>
      </c>
      <c r="H114" s="53" t="s">
        <v>296</v>
      </c>
    </row>
    <row r="115" spans="1:8" ht="16.5" hidden="1" customHeight="1">
      <c r="A115" s="54" t="s">
        <v>303</v>
      </c>
      <c r="B115" s="48"/>
      <c r="C115" s="48" t="s">
        <v>304</v>
      </c>
      <c r="D115" s="55" t="s">
        <v>303</v>
      </c>
      <c r="E115" s="48" t="s">
        <v>111</v>
      </c>
      <c r="F115" s="49">
        <v>3.6999999999999998E-2</v>
      </c>
      <c r="G115" s="52" t="s">
        <v>101</v>
      </c>
      <c r="H115" s="53" t="s">
        <v>296</v>
      </c>
    </row>
    <row r="116" spans="1:8" ht="16.5" hidden="1" customHeight="1">
      <c r="A116" s="54" t="s">
        <v>305</v>
      </c>
      <c r="B116" s="48"/>
      <c r="C116" s="48" t="s">
        <v>306</v>
      </c>
      <c r="D116" s="55" t="s">
        <v>305</v>
      </c>
      <c r="E116" s="48" t="s">
        <v>111</v>
      </c>
      <c r="F116" s="49">
        <v>2.3E-2</v>
      </c>
      <c r="G116" s="52" t="s">
        <v>101</v>
      </c>
      <c r="H116" s="53" t="s">
        <v>296</v>
      </c>
    </row>
    <row r="117" spans="1:8" ht="16.5" hidden="1" customHeight="1">
      <c r="A117" s="54" t="s">
        <v>44</v>
      </c>
      <c r="B117" s="48"/>
      <c r="C117" s="48" t="s">
        <v>307</v>
      </c>
      <c r="D117" s="55" t="s">
        <v>44</v>
      </c>
      <c r="E117" s="48" t="s">
        <v>111</v>
      </c>
      <c r="F117" s="49">
        <v>2.5000000000000001E-2</v>
      </c>
      <c r="G117" s="52" t="s">
        <v>101</v>
      </c>
      <c r="H117" s="53" t="s">
        <v>296</v>
      </c>
    </row>
    <row r="118" spans="1:8" ht="16.5" hidden="1" customHeight="1">
      <c r="A118" s="54" t="s">
        <v>308</v>
      </c>
      <c r="B118" s="48"/>
      <c r="C118" s="48" t="s">
        <v>309</v>
      </c>
      <c r="D118" s="55" t="s">
        <v>308</v>
      </c>
      <c r="E118" s="48" t="s">
        <v>111</v>
      </c>
      <c r="F118" s="49">
        <v>6.5000000000000002E-2</v>
      </c>
      <c r="G118" s="52" t="s">
        <v>101</v>
      </c>
      <c r="H118" s="53" t="s">
        <v>296</v>
      </c>
    </row>
    <row r="119" spans="1:8" ht="16.5" hidden="1" customHeight="1">
      <c r="A119" s="54" t="s">
        <v>1558</v>
      </c>
      <c r="B119" s="48"/>
      <c r="C119" s="48" t="s">
        <v>1568</v>
      </c>
      <c r="D119" s="54" t="s">
        <v>1558</v>
      </c>
      <c r="E119" s="48" t="s">
        <v>111</v>
      </c>
      <c r="F119" s="49">
        <v>2.4500000000000001E-2</v>
      </c>
      <c r="G119" s="52"/>
      <c r="H119" s="53"/>
    </row>
    <row r="120" spans="1:8" ht="16.5" hidden="1" customHeight="1">
      <c r="A120" s="54" t="s">
        <v>65</v>
      </c>
      <c r="B120" s="48"/>
      <c r="C120" s="48" t="s">
        <v>310</v>
      </c>
      <c r="D120" s="55" t="s">
        <v>65</v>
      </c>
      <c r="E120" s="48" t="s">
        <v>111</v>
      </c>
      <c r="F120" s="49">
        <v>5.5E-2</v>
      </c>
      <c r="G120" s="52" t="s">
        <v>101</v>
      </c>
      <c r="H120" s="53" t="s">
        <v>296</v>
      </c>
    </row>
    <row r="121" spans="1:8" ht="16.5" hidden="1" customHeight="1">
      <c r="A121" s="54" t="s">
        <v>1400</v>
      </c>
      <c r="B121" s="48"/>
      <c r="C121" s="48" t="s">
        <v>1401</v>
      </c>
      <c r="D121" s="55" t="s">
        <v>1400</v>
      </c>
      <c r="E121" s="48" t="s">
        <v>111</v>
      </c>
      <c r="F121" s="49">
        <v>8.6199999999999992E-3</v>
      </c>
      <c r="G121" s="52" t="s">
        <v>101</v>
      </c>
      <c r="H121" s="53" t="s">
        <v>296</v>
      </c>
    </row>
    <row r="122" spans="1:8" ht="16.5" hidden="1" customHeight="1">
      <c r="A122" s="54" t="s">
        <v>311</v>
      </c>
      <c r="B122" s="48"/>
      <c r="C122" s="48" t="s">
        <v>312</v>
      </c>
      <c r="D122" s="55" t="s">
        <v>311</v>
      </c>
      <c r="E122" s="48" t="s">
        <v>111</v>
      </c>
      <c r="F122" s="49">
        <v>5.2999999999999999E-2</v>
      </c>
      <c r="G122" s="52" t="s">
        <v>101</v>
      </c>
      <c r="H122" s="53" t="s">
        <v>296</v>
      </c>
    </row>
    <row r="123" spans="1:8" ht="16.5" hidden="1" customHeight="1">
      <c r="A123" s="54" t="s">
        <v>313</v>
      </c>
      <c r="B123" s="48"/>
      <c r="C123" s="48" t="s">
        <v>314</v>
      </c>
      <c r="D123" s="55" t="s">
        <v>313</v>
      </c>
      <c r="E123" s="48" t="s">
        <v>14</v>
      </c>
      <c r="F123" s="49">
        <v>0.43342999999999998</v>
      </c>
      <c r="G123" s="52" t="s">
        <v>101</v>
      </c>
      <c r="H123" s="53" t="s">
        <v>296</v>
      </c>
    </row>
    <row r="124" spans="1:8" ht="16.5" hidden="1" customHeight="1">
      <c r="A124" s="54" t="s">
        <v>315</v>
      </c>
      <c r="B124" s="48"/>
      <c r="C124" s="48" t="s">
        <v>316</v>
      </c>
      <c r="D124" s="55" t="s">
        <v>315</v>
      </c>
      <c r="E124" s="48" t="s">
        <v>111</v>
      </c>
      <c r="F124" s="49">
        <v>3.9E-2</v>
      </c>
      <c r="G124" s="52" t="s">
        <v>101</v>
      </c>
      <c r="H124" s="53" t="s">
        <v>296</v>
      </c>
    </row>
    <row r="125" spans="1:8" ht="16.5" hidden="1" customHeight="1">
      <c r="A125" s="54" t="s">
        <v>317</v>
      </c>
      <c r="B125" s="48"/>
      <c r="C125" s="48" t="s">
        <v>318</v>
      </c>
      <c r="D125" s="55" t="s">
        <v>317</v>
      </c>
      <c r="E125" s="48" t="s">
        <v>111</v>
      </c>
      <c r="F125" s="49">
        <v>7.1620000000000003E-2</v>
      </c>
      <c r="G125" s="52" t="s">
        <v>101</v>
      </c>
      <c r="H125" s="53" t="s">
        <v>296</v>
      </c>
    </row>
    <row r="126" spans="1:8" ht="16.5" hidden="1" customHeight="1">
      <c r="A126" s="54" t="s">
        <v>319</v>
      </c>
      <c r="B126" s="48"/>
      <c r="C126" s="48" t="s">
        <v>320</v>
      </c>
      <c r="D126" s="55" t="s">
        <v>319</v>
      </c>
      <c r="E126" s="48" t="s">
        <v>111</v>
      </c>
      <c r="F126" s="49">
        <v>1.3599999999999999E-2</v>
      </c>
      <c r="G126" s="52" t="s">
        <v>101</v>
      </c>
      <c r="H126" s="53" t="s">
        <v>296</v>
      </c>
    </row>
    <row r="127" spans="1:8" ht="16.5" hidden="1" customHeight="1">
      <c r="A127" s="54" t="s">
        <v>321</v>
      </c>
      <c r="B127" s="48"/>
      <c r="C127" s="48" t="s">
        <v>322</v>
      </c>
      <c r="D127" s="55" t="s">
        <v>321</v>
      </c>
      <c r="E127" s="48" t="s">
        <v>14</v>
      </c>
      <c r="F127" s="49">
        <v>0.21425</v>
      </c>
      <c r="G127" s="52" t="s">
        <v>156</v>
      </c>
      <c r="H127" s="53" t="s">
        <v>323</v>
      </c>
    </row>
    <row r="128" spans="1:8" ht="16.5" hidden="1" customHeight="1">
      <c r="A128" s="54" t="s">
        <v>324</v>
      </c>
      <c r="B128" s="48"/>
      <c r="C128" s="48" t="s">
        <v>325</v>
      </c>
      <c r="D128" s="55" t="s">
        <v>324</v>
      </c>
      <c r="E128" s="48" t="s">
        <v>111</v>
      </c>
      <c r="F128" s="49">
        <v>7.7100000000000002E-2</v>
      </c>
      <c r="G128" s="52" t="s">
        <v>156</v>
      </c>
      <c r="H128" s="53" t="s">
        <v>323</v>
      </c>
    </row>
    <row r="129" spans="1:8" ht="16.5" hidden="1" customHeight="1">
      <c r="A129" s="54" t="s">
        <v>326</v>
      </c>
      <c r="B129" s="48"/>
      <c r="C129" s="48" t="s">
        <v>327</v>
      </c>
      <c r="D129" s="55" t="s">
        <v>326</v>
      </c>
      <c r="E129" s="48" t="s">
        <v>111</v>
      </c>
      <c r="F129" s="49">
        <v>0.35048000000000001</v>
      </c>
      <c r="G129" s="52" t="s">
        <v>156</v>
      </c>
      <c r="H129" s="53" t="s">
        <v>323</v>
      </c>
    </row>
    <row r="130" spans="1:8" ht="16.5" hidden="1" customHeight="1">
      <c r="A130" s="54" t="s">
        <v>328</v>
      </c>
      <c r="B130" s="48"/>
      <c r="C130" s="48" t="s">
        <v>329</v>
      </c>
      <c r="D130" s="55" t="s">
        <v>328</v>
      </c>
      <c r="E130" s="48" t="s">
        <v>111</v>
      </c>
      <c r="F130" s="49">
        <v>8.745E-2</v>
      </c>
      <c r="G130" s="52" t="s">
        <v>156</v>
      </c>
      <c r="H130" s="53" t="s">
        <v>323</v>
      </c>
    </row>
    <row r="131" spans="1:8" ht="16.5" hidden="1" customHeight="1">
      <c r="A131" s="54" t="s">
        <v>330</v>
      </c>
      <c r="B131" s="48"/>
      <c r="C131" s="48" t="s">
        <v>331</v>
      </c>
      <c r="D131" s="55" t="s">
        <v>330</v>
      </c>
      <c r="E131" s="48" t="s">
        <v>14</v>
      </c>
      <c r="F131" s="49">
        <v>1.1319999999999999</v>
      </c>
      <c r="G131" s="52" t="s">
        <v>156</v>
      </c>
      <c r="H131" s="53" t="s">
        <v>323</v>
      </c>
    </row>
    <row r="132" spans="1:8" ht="16.5" hidden="1" customHeight="1">
      <c r="A132" s="54" t="s">
        <v>332</v>
      </c>
      <c r="B132" s="48"/>
      <c r="C132" s="48" t="s">
        <v>333</v>
      </c>
      <c r="D132" s="55" t="s">
        <v>332</v>
      </c>
      <c r="E132" s="48" t="s">
        <v>14</v>
      </c>
      <c r="F132" s="49">
        <v>0.57479999999999998</v>
      </c>
      <c r="G132" s="52" t="s">
        <v>156</v>
      </c>
      <c r="H132" s="53" t="s">
        <v>323</v>
      </c>
    </row>
    <row r="133" spans="1:8" ht="16.5" hidden="1" customHeight="1">
      <c r="A133" s="54" t="s">
        <v>334</v>
      </c>
      <c r="B133" s="48"/>
      <c r="C133" s="48" t="s">
        <v>335</v>
      </c>
      <c r="D133" s="55" t="s">
        <v>334</v>
      </c>
      <c r="E133" s="48" t="s">
        <v>111</v>
      </c>
      <c r="F133" s="49">
        <v>8.4949999999999998E-2</v>
      </c>
      <c r="G133" s="52" t="s">
        <v>156</v>
      </c>
      <c r="H133" s="53" t="s">
        <v>323</v>
      </c>
    </row>
    <row r="134" spans="1:8" ht="16.5" hidden="1" customHeight="1">
      <c r="A134" s="54" t="s">
        <v>336</v>
      </c>
      <c r="B134" s="48"/>
      <c r="C134" s="48" t="s">
        <v>337</v>
      </c>
      <c r="D134" s="55" t="s">
        <v>336</v>
      </c>
      <c r="E134" s="48" t="s">
        <v>14</v>
      </c>
      <c r="F134" s="49">
        <v>3.2</v>
      </c>
      <c r="G134" s="52" t="s">
        <v>156</v>
      </c>
      <c r="H134" s="53" t="s">
        <v>323</v>
      </c>
    </row>
    <row r="135" spans="1:8" ht="16.5" hidden="1" customHeight="1">
      <c r="A135" s="54" t="s">
        <v>338</v>
      </c>
      <c r="B135" s="48"/>
      <c r="C135" s="48" t="s">
        <v>339</v>
      </c>
      <c r="D135" s="55" t="s">
        <v>338</v>
      </c>
      <c r="E135" s="48" t="s">
        <v>14</v>
      </c>
      <c r="F135" s="49">
        <v>0.34449999999999997</v>
      </c>
      <c r="G135" s="52" t="s">
        <v>156</v>
      </c>
      <c r="H135" s="53" t="s">
        <v>323</v>
      </c>
    </row>
    <row r="136" spans="1:8" ht="16.5" hidden="1" customHeight="1">
      <c r="A136" s="54" t="s">
        <v>340</v>
      </c>
      <c r="B136" s="48"/>
      <c r="C136" s="48" t="s">
        <v>341</v>
      </c>
      <c r="D136" s="55" t="s">
        <v>340</v>
      </c>
      <c r="E136" s="48" t="s">
        <v>14</v>
      </c>
      <c r="F136" s="49">
        <v>9.4399999999999998E-2</v>
      </c>
      <c r="G136" s="52" t="s">
        <v>156</v>
      </c>
      <c r="H136" s="53" t="s">
        <v>323</v>
      </c>
    </row>
    <row r="137" spans="1:8" ht="16.5" hidden="1" customHeight="1">
      <c r="A137" s="54" t="s">
        <v>342</v>
      </c>
      <c r="B137" s="48"/>
      <c r="C137" s="48" t="s">
        <v>343</v>
      </c>
      <c r="D137" s="55" t="s">
        <v>342</v>
      </c>
      <c r="E137" s="48" t="s">
        <v>14</v>
      </c>
      <c r="F137" s="49">
        <v>0.56679999999999997</v>
      </c>
      <c r="G137" s="52" t="s">
        <v>156</v>
      </c>
      <c r="H137" s="53" t="s">
        <v>323</v>
      </c>
    </row>
    <row r="138" spans="1:8" ht="16.5" hidden="1" customHeight="1">
      <c r="A138" s="54" t="s">
        <v>344</v>
      </c>
      <c r="B138" s="48"/>
      <c r="C138" s="48" t="s">
        <v>345</v>
      </c>
      <c r="D138" s="55" t="s">
        <v>344</v>
      </c>
      <c r="E138" s="48" t="s">
        <v>14</v>
      </c>
      <c r="F138" s="49">
        <v>0.56679999999999997</v>
      </c>
      <c r="G138" s="52" t="s">
        <v>156</v>
      </c>
      <c r="H138" s="53" t="s">
        <v>323</v>
      </c>
    </row>
    <row r="139" spans="1:8" ht="16.5" hidden="1" customHeight="1">
      <c r="A139" s="54" t="s">
        <v>346</v>
      </c>
      <c r="B139" s="48"/>
      <c r="C139" s="48" t="s">
        <v>347</v>
      </c>
      <c r="D139" s="55" t="s">
        <v>346</v>
      </c>
      <c r="E139" s="48" t="s">
        <v>14</v>
      </c>
      <c r="F139" s="49">
        <v>0.56679999999999997</v>
      </c>
      <c r="G139" s="52" t="s">
        <v>156</v>
      </c>
      <c r="H139" s="53" t="s">
        <v>323</v>
      </c>
    </row>
    <row r="140" spans="1:8" ht="16.5" hidden="1" customHeight="1">
      <c r="A140" s="54" t="s">
        <v>348</v>
      </c>
      <c r="B140" s="48"/>
      <c r="C140" s="48" t="s">
        <v>349</v>
      </c>
      <c r="D140" s="55" t="s">
        <v>348</v>
      </c>
      <c r="E140" s="48" t="s">
        <v>14</v>
      </c>
      <c r="F140" s="49">
        <v>0.56679999999999997</v>
      </c>
      <c r="G140" s="52" t="s">
        <v>156</v>
      </c>
      <c r="H140" s="53" t="s">
        <v>323</v>
      </c>
    </row>
    <row r="141" spans="1:8" ht="16.5" hidden="1" customHeight="1">
      <c r="A141" s="54" t="s">
        <v>350</v>
      </c>
      <c r="B141" s="48"/>
      <c r="C141" s="48" t="s">
        <v>351</v>
      </c>
      <c r="D141" s="55" t="s">
        <v>350</v>
      </c>
      <c r="E141" s="48" t="s">
        <v>111</v>
      </c>
      <c r="F141" s="49">
        <v>0.10176</v>
      </c>
      <c r="G141" s="52" t="s">
        <v>156</v>
      </c>
      <c r="H141" s="53" t="s">
        <v>323</v>
      </c>
    </row>
    <row r="142" spans="1:8" ht="16.5" hidden="1" customHeight="1">
      <c r="A142" s="54" t="s">
        <v>352</v>
      </c>
      <c r="B142" s="48"/>
      <c r="C142" s="48" t="s">
        <v>353</v>
      </c>
      <c r="D142" s="55" t="s">
        <v>352</v>
      </c>
      <c r="E142" s="48" t="s">
        <v>111</v>
      </c>
      <c r="F142" s="49">
        <v>7.5459999999999999E-2</v>
      </c>
      <c r="G142" s="52" t="s">
        <v>156</v>
      </c>
      <c r="H142" s="53" t="s">
        <v>323</v>
      </c>
    </row>
    <row r="143" spans="1:8" ht="16.5" hidden="1" customHeight="1">
      <c r="A143" s="54" t="s">
        <v>354</v>
      </c>
      <c r="B143" s="48"/>
      <c r="C143" s="48" t="s">
        <v>355</v>
      </c>
      <c r="D143" s="55" t="s">
        <v>354</v>
      </c>
      <c r="E143" s="48" t="s">
        <v>111</v>
      </c>
      <c r="F143" s="49">
        <v>6.087E-2</v>
      </c>
      <c r="G143" s="52" t="s">
        <v>156</v>
      </c>
      <c r="H143" s="53" t="s">
        <v>323</v>
      </c>
    </row>
    <row r="144" spans="1:8" ht="16.5" hidden="1" customHeight="1">
      <c r="A144" s="54" t="s">
        <v>356</v>
      </c>
      <c r="B144" s="48"/>
      <c r="C144" s="48" t="s">
        <v>357</v>
      </c>
      <c r="D144" s="55" t="s">
        <v>356</v>
      </c>
      <c r="E144" s="48" t="s">
        <v>111</v>
      </c>
      <c r="F144" s="49">
        <v>7.5459999999999999E-2</v>
      </c>
      <c r="G144" s="52" t="s">
        <v>156</v>
      </c>
      <c r="H144" s="53" t="s">
        <v>323</v>
      </c>
    </row>
    <row r="145" spans="1:11" ht="16.5" hidden="1" customHeight="1">
      <c r="A145" s="54" t="s">
        <v>358</v>
      </c>
      <c r="B145" s="48"/>
      <c r="C145" s="48" t="s">
        <v>359</v>
      </c>
      <c r="D145" s="55" t="s">
        <v>358</v>
      </c>
      <c r="E145" s="48" t="s">
        <v>111</v>
      </c>
      <c r="F145" s="49">
        <v>5.5659999999999987E-2</v>
      </c>
      <c r="G145" s="52" t="s">
        <v>156</v>
      </c>
      <c r="H145" s="53" t="s">
        <v>323</v>
      </c>
    </row>
    <row r="146" spans="1:11" ht="16.5" hidden="1" customHeight="1">
      <c r="A146" s="54" t="s">
        <v>360</v>
      </c>
      <c r="B146" s="48"/>
      <c r="C146" s="48" t="s">
        <v>361</v>
      </c>
      <c r="D146" s="55" t="s">
        <v>360</v>
      </c>
      <c r="E146" s="48" t="s">
        <v>14</v>
      </c>
      <c r="F146" s="49">
        <v>0.69599999999999995</v>
      </c>
      <c r="G146" s="52" t="s">
        <v>156</v>
      </c>
      <c r="H146" s="53" t="s">
        <v>323</v>
      </c>
      <c r="K146" s="38" t="s">
        <v>364</v>
      </c>
    </row>
    <row r="147" spans="1:11" ht="16.5" hidden="1" customHeight="1">
      <c r="A147" s="54" t="s">
        <v>362</v>
      </c>
      <c r="B147" s="48"/>
      <c r="C147" s="48" t="s">
        <v>363</v>
      </c>
      <c r="D147" s="55" t="s">
        <v>362</v>
      </c>
      <c r="E147" s="48" t="s">
        <v>111</v>
      </c>
      <c r="F147" s="49">
        <v>0.13100000000000001</v>
      </c>
      <c r="G147" s="52" t="s">
        <v>156</v>
      </c>
      <c r="H147" s="53" t="s">
        <v>323</v>
      </c>
    </row>
    <row r="148" spans="1:11" ht="16.5" hidden="1" customHeight="1">
      <c r="A148" s="54" t="s">
        <v>365</v>
      </c>
      <c r="B148" s="48"/>
      <c r="C148" s="48" t="s">
        <v>366</v>
      </c>
      <c r="D148" s="55" t="s">
        <v>365</v>
      </c>
      <c r="E148" s="48" t="s">
        <v>111</v>
      </c>
      <c r="F148" s="49">
        <v>1.1599999999999999E-2</v>
      </c>
      <c r="G148" s="52" t="s">
        <v>101</v>
      </c>
      <c r="H148" s="53" t="s">
        <v>292</v>
      </c>
    </row>
    <row r="149" spans="1:11" ht="16.5" customHeight="1">
      <c r="A149" s="54" t="s">
        <v>21</v>
      </c>
      <c r="B149" s="48"/>
      <c r="C149" s="48" t="s">
        <v>367</v>
      </c>
      <c r="D149" s="55" t="s">
        <v>21</v>
      </c>
      <c r="E149" s="48" t="s">
        <v>111</v>
      </c>
      <c r="F149" s="82">
        <v>3.7999999999999999E-2</v>
      </c>
      <c r="G149" s="52" t="s">
        <v>101</v>
      </c>
      <c r="H149" s="53" t="s">
        <v>292</v>
      </c>
    </row>
    <row r="150" spans="1:11" ht="16.5" hidden="1" customHeight="1">
      <c r="A150" s="54" t="s">
        <v>368</v>
      </c>
      <c r="B150" s="48"/>
      <c r="C150" s="48" t="s">
        <v>369</v>
      </c>
      <c r="D150" s="55" t="s">
        <v>368</v>
      </c>
      <c r="E150" s="48" t="s">
        <v>111</v>
      </c>
      <c r="F150" s="49">
        <v>1.0999999999999999E-2</v>
      </c>
      <c r="G150" s="52" t="s">
        <v>101</v>
      </c>
      <c r="H150" s="53" t="s">
        <v>292</v>
      </c>
    </row>
    <row r="151" spans="1:11" ht="16.5" hidden="1" customHeight="1">
      <c r="A151" s="54" t="s">
        <v>370</v>
      </c>
      <c r="B151" s="48"/>
      <c r="C151" s="48" t="s">
        <v>371</v>
      </c>
      <c r="D151" s="54" t="s">
        <v>370</v>
      </c>
      <c r="E151" s="48" t="s">
        <v>14</v>
      </c>
      <c r="F151" s="49">
        <v>0.44259999999999999</v>
      </c>
      <c r="G151" s="52" t="s">
        <v>101</v>
      </c>
      <c r="H151" s="53" t="s">
        <v>292</v>
      </c>
    </row>
    <row r="152" spans="1:11" ht="16.5" customHeight="1">
      <c r="A152" s="54" t="s">
        <v>372</v>
      </c>
      <c r="B152" s="48"/>
      <c r="C152" s="48" t="s">
        <v>373</v>
      </c>
      <c r="D152" s="55" t="s">
        <v>372</v>
      </c>
      <c r="E152" s="48" t="s">
        <v>14</v>
      </c>
      <c r="F152" s="49">
        <v>0.33333333333333331</v>
      </c>
      <c r="G152" s="52" t="s">
        <v>101</v>
      </c>
      <c r="H152" s="53" t="s">
        <v>292</v>
      </c>
    </row>
    <row r="153" spans="1:11" ht="16.5" hidden="1" customHeight="1">
      <c r="A153" s="54" t="s">
        <v>42</v>
      </c>
      <c r="B153" s="48"/>
      <c r="C153" s="48" t="s">
        <v>374</v>
      </c>
      <c r="D153" s="55" t="s">
        <v>42</v>
      </c>
      <c r="E153" s="48" t="s">
        <v>161</v>
      </c>
      <c r="F153" s="49">
        <v>9.8800000000000016E-3</v>
      </c>
      <c r="G153" s="52" t="s">
        <v>101</v>
      </c>
      <c r="H153" s="53" t="s">
        <v>292</v>
      </c>
    </row>
    <row r="154" spans="1:11" ht="16.5" hidden="1" customHeight="1">
      <c r="A154" s="54" t="s">
        <v>375</v>
      </c>
      <c r="B154" s="48"/>
      <c r="C154" s="48" t="s">
        <v>376</v>
      </c>
      <c r="D154" s="55" t="s">
        <v>375</v>
      </c>
      <c r="E154" s="48" t="s">
        <v>161</v>
      </c>
      <c r="F154" s="49">
        <v>2.0830000000000001E-2</v>
      </c>
      <c r="G154" s="52" t="s">
        <v>101</v>
      </c>
      <c r="H154" s="53" t="s">
        <v>292</v>
      </c>
    </row>
    <row r="155" spans="1:11" ht="16.5" hidden="1" customHeight="1">
      <c r="A155" s="54" t="s">
        <v>377</v>
      </c>
      <c r="B155" s="48"/>
      <c r="C155" s="48" t="s">
        <v>378</v>
      </c>
      <c r="D155" s="55" t="s">
        <v>377</v>
      </c>
      <c r="E155" s="48" t="s">
        <v>14</v>
      </c>
      <c r="F155" s="49">
        <v>0.83</v>
      </c>
      <c r="G155" s="52" t="s">
        <v>101</v>
      </c>
      <c r="H155" s="53" t="s">
        <v>292</v>
      </c>
    </row>
    <row r="156" spans="1:11" ht="16.5" hidden="1" customHeight="1">
      <c r="A156" s="54" t="s">
        <v>379</v>
      </c>
      <c r="B156" s="48"/>
      <c r="C156" s="48" t="s">
        <v>380</v>
      </c>
      <c r="D156" s="55" t="s">
        <v>379</v>
      </c>
      <c r="E156" s="48" t="s">
        <v>14</v>
      </c>
      <c r="F156" s="49">
        <v>0.83</v>
      </c>
      <c r="G156" s="52" t="s">
        <v>101</v>
      </c>
      <c r="H156" s="53" t="s">
        <v>292</v>
      </c>
    </row>
    <row r="157" spans="1:11" ht="16.5" hidden="1" customHeight="1">
      <c r="A157" s="54" t="s">
        <v>381</v>
      </c>
      <c r="B157" s="48"/>
      <c r="C157" s="48" t="s">
        <v>382</v>
      </c>
      <c r="D157" s="55" t="s">
        <v>381</v>
      </c>
      <c r="E157" s="48" t="s">
        <v>161</v>
      </c>
      <c r="F157" s="49">
        <v>2.1749999999999999E-2</v>
      </c>
      <c r="G157" s="52" t="s">
        <v>101</v>
      </c>
      <c r="H157" s="53" t="s">
        <v>292</v>
      </c>
    </row>
    <row r="158" spans="1:11" ht="16.5" hidden="1" customHeight="1">
      <c r="A158" s="54" t="s">
        <v>383</v>
      </c>
      <c r="B158" s="48"/>
      <c r="C158" s="48" t="s">
        <v>384</v>
      </c>
      <c r="D158" s="55" t="s">
        <v>383</v>
      </c>
      <c r="E158" s="48" t="s">
        <v>111</v>
      </c>
      <c r="F158" s="49">
        <v>1.227272727272727E-2</v>
      </c>
      <c r="G158" s="52" t="s">
        <v>101</v>
      </c>
      <c r="H158" s="53" t="s">
        <v>292</v>
      </c>
    </row>
    <row r="159" spans="1:11" ht="16.5" hidden="1" customHeight="1">
      <c r="A159" s="54" t="s">
        <v>385</v>
      </c>
      <c r="B159" s="48"/>
      <c r="C159" s="48" t="s">
        <v>386</v>
      </c>
      <c r="D159" s="55" t="s">
        <v>385</v>
      </c>
      <c r="E159" s="48" t="s">
        <v>14</v>
      </c>
      <c r="F159" s="49">
        <v>0.56000000000000005</v>
      </c>
      <c r="G159" s="52" t="s">
        <v>101</v>
      </c>
      <c r="H159" s="53" t="s">
        <v>292</v>
      </c>
    </row>
    <row r="160" spans="1:11" ht="16.5" hidden="1" customHeight="1">
      <c r="A160" s="54" t="s">
        <v>387</v>
      </c>
      <c r="B160" s="48"/>
      <c r="C160" s="48" t="s">
        <v>388</v>
      </c>
      <c r="D160" s="55" t="s">
        <v>387</v>
      </c>
      <c r="E160" s="48" t="s">
        <v>14</v>
      </c>
      <c r="F160" s="49">
        <v>19.75</v>
      </c>
      <c r="G160" s="52" t="s">
        <v>101</v>
      </c>
      <c r="H160" s="53" t="s">
        <v>292</v>
      </c>
    </row>
    <row r="161" spans="1:8" ht="16.5" hidden="1" customHeight="1">
      <c r="A161" s="54" t="s">
        <v>389</v>
      </c>
      <c r="B161" s="48"/>
      <c r="C161" s="48" t="s">
        <v>390</v>
      </c>
      <c r="D161" s="55" t="s">
        <v>389</v>
      </c>
      <c r="E161" s="48" t="s">
        <v>161</v>
      </c>
      <c r="F161" s="49">
        <v>4.2500000000000003E-3</v>
      </c>
      <c r="G161" s="52" t="s">
        <v>101</v>
      </c>
      <c r="H161" s="53" t="s">
        <v>292</v>
      </c>
    </row>
    <row r="162" spans="1:8" ht="16.5" hidden="1" customHeight="1">
      <c r="A162" s="54" t="s">
        <v>1601</v>
      </c>
      <c r="B162" s="48"/>
      <c r="C162" s="48" t="s">
        <v>1602</v>
      </c>
      <c r="D162" s="54" t="s">
        <v>1601</v>
      </c>
      <c r="E162" s="48" t="s">
        <v>161</v>
      </c>
      <c r="F162" s="49">
        <v>4.2500000000000003E-3</v>
      </c>
      <c r="G162" s="52" t="s">
        <v>101</v>
      </c>
      <c r="H162" s="53" t="s">
        <v>292</v>
      </c>
    </row>
    <row r="163" spans="1:8" ht="16.5" hidden="1" customHeight="1">
      <c r="A163" s="54" t="s">
        <v>391</v>
      </c>
      <c r="B163" s="48"/>
      <c r="C163" s="48" t="s">
        <v>392</v>
      </c>
      <c r="D163" s="55" t="s">
        <v>391</v>
      </c>
      <c r="E163" s="48" t="s">
        <v>161</v>
      </c>
      <c r="F163" s="49">
        <v>1.0966666666666669</v>
      </c>
      <c r="G163" s="52" t="s">
        <v>101</v>
      </c>
      <c r="H163" s="53" t="s">
        <v>292</v>
      </c>
    </row>
    <row r="164" spans="1:8" ht="16.5" hidden="1" customHeight="1">
      <c r="A164" s="54" t="s">
        <v>393</v>
      </c>
      <c r="B164" s="48"/>
      <c r="C164" s="48" t="s">
        <v>394</v>
      </c>
      <c r="D164" s="55" t="s">
        <v>393</v>
      </c>
      <c r="E164" s="48" t="s">
        <v>111</v>
      </c>
      <c r="F164" s="49">
        <v>4.4000000000000003E-3</v>
      </c>
      <c r="G164" s="52" t="s">
        <v>101</v>
      </c>
      <c r="H164" s="53" t="s">
        <v>292</v>
      </c>
    </row>
    <row r="165" spans="1:8" ht="16.5" hidden="1" customHeight="1">
      <c r="A165" s="54" t="s">
        <v>395</v>
      </c>
      <c r="B165" s="48"/>
      <c r="C165" s="48" t="s">
        <v>396</v>
      </c>
      <c r="D165" s="55" t="s">
        <v>395</v>
      </c>
      <c r="E165" s="48" t="s">
        <v>14</v>
      </c>
      <c r="F165" s="49">
        <v>1.65</v>
      </c>
      <c r="G165" s="52" t="s">
        <v>101</v>
      </c>
      <c r="H165" s="53" t="s">
        <v>292</v>
      </c>
    </row>
    <row r="166" spans="1:8" ht="16.5" hidden="1" customHeight="1">
      <c r="A166" s="47" t="s">
        <v>397</v>
      </c>
      <c r="B166" s="48"/>
      <c r="C166" s="48" t="s">
        <v>398</v>
      </c>
      <c r="D166" s="48" t="s">
        <v>397</v>
      </c>
      <c r="E166" s="48" t="s">
        <v>111</v>
      </c>
      <c r="F166" s="49">
        <v>6.0000000000000001E-3</v>
      </c>
      <c r="G166" s="48" t="s">
        <v>156</v>
      </c>
      <c r="H166" s="53" t="s">
        <v>399</v>
      </c>
    </row>
    <row r="167" spans="1:8" ht="16.5" hidden="1" customHeight="1">
      <c r="A167" s="47" t="s">
        <v>400</v>
      </c>
      <c r="B167" s="48"/>
      <c r="C167" s="48" t="s">
        <v>401</v>
      </c>
      <c r="D167" s="48" t="s">
        <v>400</v>
      </c>
      <c r="E167" s="48" t="s">
        <v>111</v>
      </c>
      <c r="F167" s="49">
        <v>6.0000000000000001E-3</v>
      </c>
      <c r="G167" s="48" t="s">
        <v>156</v>
      </c>
      <c r="H167" s="53" t="s">
        <v>399</v>
      </c>
    </row>
    <row r="168" spans="1:8" ht="16.5" hidden="1" customHeight="1">
      <c r="A168" s="47" t="s">
        <v>402</v>
      </c>
      <c r="B168" s="48"/>
      <c r="C168" s="48" t="s">
        <v>403</v>
      </c>
      <c r="D168" s="48" t="s">
        <v>402</v>
      </c>
      <c r="E168" s="48" t="s">
        <v>111</v>
      </c>
      <c r="F168" s="49">
        <v>6.0000000000000001E-3</v>
      </c>
      <c r="G168" s="48" t="s">
        <v>156</v>
      </c>
      <c r="H168" s="53" t="s">
        <v>399</v>
      </c>
    </row>
    <row r="169" spans="1:8" ht="16.5" hidden="1" customHeight="1">
      <c r="A169" s="47" t="s">
        <v>404</v>
      </c>
      <c r="B169" s="48"/>
      <c r="C169" s="48" t="s">
        <v>405</v>
      </c>
      <c r="D169" s="48" t="s">
        <v>404</v>
      </c>
      <c r="E169" s="48" t="s">
        <v>111</v>
      </c>
      <c r="F169" s="49">
        <v>6.0769999999999998E-2</v>
      </c>
      <c r="G169" s="48" t="s">
        <v>156</v>
      </c>
      <c r="H169" s="53" t="s">
        <v>399</v>
      </c>
    </row>
    <row r="170" spans="1:8" ht="16.5" hidden="1" customHeight="1">
      <c r="A170" s="47" t="s">
        <v>406</v>
      </c>
      <c r="B170" s="48"/>
      <c r="C170" s="48" t="s">
        <v>407</v>
      </c>
      <c r="D170" s="48" t="s">
        <v>406</v>
      </c>
      <c r="E170" s="48" t="s">
        <v>111</v>
      </c>
      <c r="F170" s="49">
        <v>1.285714285714286E-2</v>
      </c>
      <c r="G170" s="48" t="s">
        <v>156</v>
      </c>
      <c r="H170" s="53" t="s">
        <v>399</v>
      </c>
    </row>
    <row r="171" spans="1:8" ht="16.5" hidden="1" customHeight="1">
      <c r="A171" s="47" t="s">
        <v>408</v>
      </c>
      <c r="B171" s="48"/>
      <c r="C171" s="48" t="s">
        <v>409</v>
      </c>
      <c r="D171" s="48" t="s">
        <v>408</v>
      </c>
      <c r="E171" s="48" t="s">
        <v>111</v>
      </c>
      <c r="F171" s="49">
        <v>1E-3</v>
      </c>
      <c r="G171" s="48" t="s">
        <v>156</v>
      </c>
      <c r="H171" s="53" t="s">
        <v>399</v>
      </c>
    </row>
    <row r="172" spans="1:8" ht="16.5" hidden="1" customHeight="1">
      <c r="A172" s="47" t="s">
        <v>410</v>
      </c>
      <c r="B172" s="48"/>
      <c r="C172" s="48" t="s">
        <v>411</v>
      </c>
      <c r="D172" s="48" t="s">
        <v>410</v>
      </c>
      <c r="E172" s="48" t="s">
        <v>111</v>
      </c>
      <c r="F172" s="49">
        <v>1E-3</v>
      </c>
      <c r="G172" s="48" t="s">
        <v>156</v>
      </c>
      <c r="H172" s="53" t="s">
        <v>399</v>
      </c>
    </row>
    <row r="173" spans="1:8" ht="16.5" hidden="1" customHeight="1">
      <c r="A173" s="47" t="s">
        <v>412</v>
      </c>
      <c r="B173" s="48"/>
      <c r="C173" s="48" t="s">
        <v>413</v>
      </c>
      <c r="D173" s="48" t="s">
        <v>412</v>
      </c>
      <c r="E173" s="48" t="s">
        <v>111</v>
      </c>
      <c r="F173" s="49">
        <v>2.0799999999999998E-3</v>
      </c>
      <c r="G173" s="48" t="s">
        <v>156</v>
      </c>
      <c r="H173" s="53" t="s">
        <v>399</v>
      </c>
    </row>
    <row r="174" spans="1:8" ht="16.5" hidden="1" customHeight="1">
      <c r="A174" s="47" t="s">
        <v>22</v>
      </c>
      <c r="B174" s="48"/>
      <c r="C174" s="48" t="s">
        <v>414</v>
      </c>
      <c r="D174" s="48" t="s">
        <v>22</v>
      </c>
      <c r="E174" s="48" t="s">
        <v>111</v>
      </c>
      <c r="F174" s="49">
        <v>7.7777777777777773E-4</v>
      </c>
      <c r="G174" s="48" t="s">
        <v>156</v>
      </c>
      <c r="H174" s="53" t="s">
        <v>399</v>
      </c>
    </row>
    <row r="175" spans="1:8" ht="16.5" hidden="1" customHeight="1">
      <c r="A175" s="47" t="s">
        <v>415</v>
      </c>
      <c r="B175" s="48"/>
      <c r="C175" s="48" t="s">
        <v>416</v>
      </c>
      <c r="D175" s="48" t="s">
        <v>415</v>
      </c>
      <c r="E175" s="48" t="s">
        <v>111</v>
      </c>
      <c r="F175" s="49">
        <v>4.0000000000000001E-3</v>
      </c>
      <c r="G175" s="48" t="s">
        <v>156</v>
      </c>
      <c r="H175" s="53" t="s">
        <v>399</v>
      </c>
    </row>
    <row r="176" spans="1:8" ht="16.5" hidden="1" customHeight="1">
      <c r="A176" s="47" t="s">
        <v>417</v>
      </c>
      <c r="B176" s="48"/>
      <c r="C176" s="48" t="s">
        <v>418</v>
      </c>
      <c r="D176" s="48" t="s">
        <v>417</v>
      </c>
      <c r="E176" s="48" t="s">
        <v>111</v>
      </c>
      <c r="F176" s="49">
        <v>0.02</v>
      </c>
      <c r="G176" s="48" t="s">
        <v>156</v>
      </c>
      <c r="H176" s="53" t="s">
        <v>399</v>
      </c>
    </row>
    <row r="177" spans="1:8" ht="16.5" hidden="1" customHeight="1">
      <c r="A177" s="47" t="s">
        <v>23</v>
      </c>
      <c r="B177" s="48"/>
      <c r="C177" s="48" t="s">
        <v>419</v>
      </c>
      <c r="D177" s="48" t="s">
        <v>23</v>
      </c>
      <c r="E177" s="48" t="s">
        <v>111</v>
      </c>
      <c r="F177" s="49">
        <v>1.2279999999999999E-2</v>
      </c>
      <c r="G177" s="48" t="s">
        <v>156</v>
      </c>
      <c r="H177" s="53" t="s">
        <v>399</v>
      </c>
    </row>
    <row r="178" spans="1:8" ht="16.5" hidden="1" customHeight="1">
      <c r="A178" s="47" t="s">
        <v>420</v>
      </c>
      <c r="B178" s="48"/>
      <c r="C178" s="48" t="s">
        <v>421</v>
      </c>
      <c r="D178" s="48" t="s">
        <v>420</v>
      </c>
      <c r="E178" s="48" t="s">
        <v>111</v>
      </c>
      <c r="F178" s="49">
        <v>1.6E-2</v>
      </c>
      <c r="G178" s="48" t="s">
        <v>156</v>
      </c>
      <c r="H178" s="53" t="s">
        <v>399</v>
      </c>
    </row>
    <row r="179" spans="1:8" ht="16.5" hidden="1" customHeight="1">
      <c r="A179" s="47" t="s">
        <v>422</v>
      </c>
      <c r="B179" s="48"/>
      <c r="C179" s="48" t="s">
        <v>423</v>
      </c>
      <c r="D179" s="48" t="s">
        <v>422</v>
      </c>
      <c r="E179" s="48" t="s">
        <v>111</v>
      </c>
      <c r="F179" s="49">
        <v>1.9E-2</v>
      </c>
      <c r="G179" s="48" t="s">
        <v>156</v>
      </c>
      <c r="H179" s="53" t="s">
        <v>399</v>
      </c>
    </row>
    <row r="180" spans="1:8" ht="16.5" hidden="1" customHeight="1">
      <c r="A180" s="47" t="s">
        <v>424</v>
      </c>
      <c r="B180" s="48"/>
      <c r="C180" s="48" t="s">
        <v>425</v>
      </c>
      <c r="D180" s="48" t="s">
        <v>424</v>
      </c>
      <c r="E180" s="48" t="s">
        <v>161</v>
      </c>
      <c r="F180" s="49">
        <v>1.8259999999999998E-2</v>
      </c>
      <c r="G180" s="48" t="s">
        <v>426</v>
      </c>
      <c r="H180" s="53" t="s">
        <v>427</v>
      </c>
    </row>
    <row r="181" spans="1:8" ht="16.5" hidden="1" customHeight="1">
      <c r="A181" s="47" t="s">
        <v>428</v>
      </c>
      <c r="B181" s="48"/>
      <c r="C181" s="48" t="s">
        <v>429</v>
      </c>
      <c r="D181" s="48" t="s">
        <v>428</v>
      </c>
      <c r="E181" s="48" t="s">
        <v>14</v>
      </c>
      <c r="F181" s="49">
        <v>1.1100000000000001</v>
      </c>
      <c r="G181" s="48" t="s">
        <v>426</v>
      </c>
      <c r="H181" s="53" t="s">
        <v>427</v>
      </c>
    </row>
    <row r="182" spans="1:8" ht="16.5" hidden="1" customHeight="1">
      <c r="A182" s="47" t="s">
        <v>430</v>
      </c>
      <c r="B182" s="48"/>
      <c r="C182" s="48" t="s">
        <v>431</v>
      </c>
      <c r="D182" s="48" t="s">
        <v>430</v>
      </c>
      <c r="E182" s="48" t="s">
        <v>14</v>
      </c>
      <c r="F182" s="49">
        <v>0.98</v>
      </c>
      <c r="G182" s="48" t="s">
        <v>426</v>
      </c>
      <c r="H182" s="53" t="s">
        <v>427</v>
      </c>
    </row>
    <row r="183" spans="1:8" ht="16.5" hidden="1" customHeight="1">
      <c r="A183" s="47" t="s">
        <v>432</v>
      </c>
      <c r="B183" s="48"/>
      <c r="C183" s="48" t="s">
        <v>433</v>
      </c>
      <c r="D183" s="48" t="s">
        <v>432</v>
      </c>
      <c r="E183" s="48" t="s">
        <v>14</v>
      </c>
      <c r="F183" s="49">
        <v>1.24</v>
      </c>
      <c r="G183" s="48" t="s">
        <v>426</v>
      </c>
      <c r="H183" s="50" t="s">
        <v>427</v>
      </c>
    </row>
    <row r="184" spans="1:8" ht="16.5" hidden="1" customHeight="1">
      <c r="A184" s="47" t="s">
        <v>434</v>
      </c>
      <c r="B184" s="48"/>
      <c r="C184" s="48" t="s">
        <v>435</v>
      </c>
      <c r="D184" s="48" t="s">
        <v>434</v>
      </c>
      <c r="E184" s="48" t="s">
        <v>14</v>
      </c>
      <c r="F184" s="49">
        <v>0.98</v>
      </c>
      <c r="G184" s="48" t="s">
        <v>426</v>
      </c>
      <c r="H184" s="50" t="s">
        <v>427</v>
      </c>
    </row>
    <row r="185" spans="1:8" ht="16.5" hidden="1" customHeight="1">
      <c r="A185" s="47" t="s">
        <v>436</v>
      </c>
      <c r="B185" s="48"/>
      <c r="C185" s="48" t="s">
        <v>437</v>
      </c>
      <c r="D185" s="48" t="s">
        <v>436</v>
      </c>
      <c r="E185" s="48" t="s">
        <v>14</v>
      </c>
      <c r="F185" s="49">
        <v>1.31</v>
      </c>
      <c r="G185" s="48" t="s">
        <v>426</v>
      </c>
      <c r="H185" s="50" t="s">
        <v>427</v>
      </c>
    </row>
    <row r="186" spans="1:8" ht="16.5" hidden="1" customHeight="1">
      <c r="A186" s="47" t="s">
        <v>438</v>
      </c>
      <c r="B186" s="48"/>
      <c r="C186" s="48" t="s">
        <v>439</v>
      </c>
      <c r="D186" s="48" t="s">
        <v>438</v>
      </c>
      <c r="E186" s="48" t="s">
        <v>14</v>
      </c>
      <c r="F186" s="49">
        <v>0.98</v>
      </c>
      <c r="G186" s="48" t="s">
        <v>426</v>
      </c>
      <c r="H186" s="50" t="s">
        <v>427</v>
      </c>
    </row>
    <row r="187" spans="1:8" ht="16.5" hidden="1" customHeight="1">
      <c r="A187" s="47" t="s">
        <v>440</v>
      </c>
      <c r="B187" s="48"/>
      <c r="C187" s="48" t="s">
        <v>441</v>
      </c>
      <c r="D187" s="48" t="s">
        <v>440</v>
      </c>
      <c r="E187" s="48" t="s">
        <v>14</v>
      </c>
      <c r="F187" s="49">
        <v>0.98</v>
      </c>
      <c r="G187" s="48" t="s">
        <v>426</v>
      </c>
      <c r="H187" s="50" t="s">
        <v>427</v>
      </c>
    </row>
    <row r="188" spans="1:8" ht="16.5" hidden="1" customHeight="1">
      <c r="A188" s="47" t="s">
        <v>442</v>
      </c>
      <c r="B188" s="48"/>
      <c r="C188" s="48" t="s">
        <v>443</v>
      </c>
      <c r="D188" s="48" t="s">
        <v>442</v>
      </c>
      <c r="E188" s="48" t="s">
        <v>14</v>
      </c>
      <c r="F188" s="49">
        <v>1.17</v>
      </c>
      <c r="G188" s="48" t="s">
        <v>426</v>
      </c>
      <c r="H188" s="50" t="s">
        <v>427</v>
      </c>
    </row>
    <row r="189" spans="1:8" ht="16.5" hidden="1" customHeight="1">
      <c r="A189" s="47" t="s">
        <v>444</v>
      </c>
      <c r="B189" s="48"/>
      <c r="C189" s="48" t="s">
        <v>445</v>
      </c>
      <c r="D189" s="48" t="s">
        <v>444</v>
      </c>
      <c r="E189" s="48" t="s">
        <v>14</v>
      </c>
      <c r="F189" s="49">
        <v>1.1599999999999999</v>
      </c>
      <c r="G189" s="48" t="s">
        <v>426</v>
      </c>
      <c r="H189" s="50" t="s">
        <v>427</v>
      </c>
    </row>
    <row r="190" spans="1:8" ht="16.5" hidden="1" customHeight="1">
      <c r="A190" s="47" t="s">
        <v>446</v>
      </c>
      <c r="B190" s="48"/>
      <c r="C190" s="48" t="s">
        <v>447</v>
      </c>
      <c r="D190" s="48" t="s">
        <v>446</v>
      </c>
      <c r="E190" s="48" t="s">
        <v>14</v>
      </c>
      <c r="F190" s="49">
        <v>2.2400000000000002</v>
      </c>
      <c r="G190" s="48" t="s">
        <v>426</v>
      </c>
      <c r="H190" s="50" t="s">
        <v>427</v>
      </c>
    </row>
    <row r="191" spans="1:8" ht="16.5" hidden="1" customHeight="1">
      <c r="A191" s="47" t="s">
        <v>448</v>
      </c>
      <c r="B191" s="48"/>
      <c r="C191" s="48" t="s">
        <v>449</v>
      </c>
      <c r="D191" s="48" t="s">
        <v>448</v>
      </c>
      <c r="E191" s="48" t="s">
        <v>14</v>
      </c>
      <c r="F191" s="49">
        <v>1.57</v>
      </c>
      <c r="G191" s="48" t="s">
        <v>426</v>
      </c>
      <c r="H191" s="50" t="s">
        <v>427</v>
      </c>
    </row>
    <row r="192" spans="1:8" ht="16.5" hidden="1" customHeight="1">
      <c r="A192" s="47" t="s">
        <v>450</v>
      </c>
      <c r="B192" s="48"/>
      <c r="C192" s="48" t="s">
        <v>451</v>
      </c>
      <c r="D192" s="48" t="s">
        <v>450</v>
      </c>
      <c r="E192" s="48" t="s">
        <v>14</v>
      </c>
      <c r="F192" s="49">
        <v>1.79</v>
      </c>
      <c r="G192" s="48" t="s">
        <v>426</v>
      </c>
      <c r="H192" s="50" t="s">
        <v>427</v>
      </c>
    </row>
    <row r="193" spans="1:8" ht="16.5" hidden="1" customHeight="1">
      <c r="A193" s="47" t="s">
        <v>452</v>
      </c>
      <c r="B193" s="48"/>
      <c r="C193" s="48" t="s">
        <v>453</v>
      </c>
      <c r="D193" s="48" t="s">
        <v>452</v>
      </c>
      <c r="E193" s="48" t="s">
        <v>111</v>
      </c>
      <c r="F193" s="49">
        <v>6.0000000000000001E-3</v>
      </c>
      <c r="G193" s="48" t="s">
        <v>156</v>
      </c>
      <c r="H193" s="50" t="s">
        <v>454</v>
      </c>
    </row>
    <row r="194" spans="1:8" ht="16.5" hidden="1" customHeight="1">
      <c r="A194" s="47" t="s">
        <v>455</v>
      </c>
      <c r="B194" s="48"/>
      <c r="C194" s="48" t="s">
        <v>456</v>
      </c>
      <c r="D194" s="48" t="s">
        <v>455</v>
      </c>
      <c r="E194" s="48" t="s">
        <v>111</v>
      </c>
      <c r="F194" s="49">
        <v>1.2E-2</v>
      </c>
      <c r="G194" s="48" t="s">
        <v>156</v>
      </c>
      <c r="H194" s="50" t="s">
        <v>454</v>
      </c>
    </row>
    <row r="195" spans="1:8" ht="16.5" hidden="1" customHeight="1">
      <c r="A195" s="47" t="s">
        <v>457</v>
      </c>
      <c r="B195" s="48"/>
      <c r="C195" s="48" t="s">
        <v>458</v>
      </c>
      <c r="D195" s="48" t="s">
        <v>457</v>
      </c>
      <c r="E195" s="48" t="s">
        <v>111</v>
      </c>
      <c r="F195" s="49">
        <v>7.0000000000000001E-3</v>
      </c>
      <c r="G195" s="48" t="s">
        <v>156</v>
      </c>
      <c r="H195" s="50" t="s">
        <v>454</v>
      </c>
    </row>
    <row r="196" spans="1:8" ht="16.5" hidden="1" customHeight="1">
      <c r="A196" s="47" t="s">
        <v>459</v>
      </c>
      <c r="B196" s="48"/>
      <c r="C196" s="48" t="s">
        <v>460</v>
      </c>
      <c r="D196" s="48" t="s">
        <v>459</v>
      </c>
      <c r="E196" s="48" t="s">
        <v>111</v>
      </c>
      <c r="F196" s="49">
        <v>4.7999999999999996E-3</v>
      </c>
      <c r="G196" s="48" t="s">
        <v>156</v>
      </c>
      <c r="H196" s="50" t="s">
        <v>454</v>
      </c>
    </row>
    <row r="197" spans="1:8" hidden="1">
      <c r="A197" s="56" t="s">
        <v>461</v>
      </c>
      <c r="B197" s="48"/>
      <c r="C197" s="48" t="s">
        <v>462</v>
      </c>
      <c r="D197" s="57" t="s">
        <v>461</v>
      </c>
      <c r="E197" s="48" t="s">
        <v>111</v>
      </c>
      <c r="F197" s="49">
        <v>8.3333333333333332E-3</v>
      </c>
      <c r="G197" s="48" t="s">
        <v>156</v>
      </c>
      <c r="H197" s="50" t="s">
        <v>454</v>
      </c>
    </row>
    <row r="198" spans="1:8" hidden="1">
      <c r="A198" s="56" t="s">
        <v>463</v>
      </c>
      <c r="B198" s="48"/>
      <c r="C198" s="48" t="s">
        <v>464</v>
      </c>
      <c r="D198" s="57" t="s">
        <v>463</v>
      </c>
      <c r="E198" s="48" t="s">
        <v>111</v>
      </c>
      <c r="F198" s="49">
        <v>8.3333333333333332E-3</v>
      </c>
      <c r="G198" s="48" t="s">
        <v>156</v>
      </c>
      <c r="H198" s="50" t="s">
        <v>454</v>
      </c>
    </row>
    <row r="199" spans="1:8" hidden="1">
      <c r="A199" s="56" t="s">
        <v>465</v>
      </c>
      <c r="B199" s="48"/>
      <c r="C199" s="48" t="s">
        <v>466</v>
      </c>
      <c r="D199" s="57" t="s">
        <v>465</v>
      </c>
      <c r="E199" s="48" t="s">
        <v>111</v>
      </c>
      <c r="F199" s="49">
        <v>4.2666666666666669E-3</v>
      </c>
      <c r="G199" s="48" t="s">
        <v>156</v>
      </c>
      <c r="H199" s="50" t="s">
        <v>454</v>
      </c>
    </row>
    <row r="200" spans="1:8" hidden="1">
      <c r="A200" s="56" t="s">
        <v>467</v>
      </c>
      <c r="B200" s="48"/>
      <c r="C200" s="48" t="s">
        <v>468</v>
      </c>
      <c r="D200" s="57" t="s">
        <v>467</v>
      </c>
      <c r="E200" s="48" t="s">
        <v>111</v>
      </c>
      <c r="F200" s="49">
        <v>4.2999999999999997E-2</v>
      </c>
      <c r="G200" s="48" t="s">
        <v>156</v>
      </c>
      <c r="H200" s="50" t="s">
        <v>469</v>
      </c>
    </row>
    <row r="201" spans="1:8" hidden="1">
      <c r="A201" s="56" t="s">
        <v>470</v>
      </c>
      <c r="B201" s="48"/>
      <c r="C201" s="48" t="s">
        <v>471</v>
      </c>
      <c r="D201" s="57" t="s">
        <v>470</v>
      </c>
      <c r="E201" s="48" t="s">
        <v>111</v>
      </c>
      <c r="F201" s="49">
        <v>4.2999999999999997E-2</v>
      </c>
      <c r="G201" s="48" t="s">
        <v>156</v>
      </c>
      <c r="H201" s="50" t="s">
        <v>469</v>
      </c>
    </row>
    <row r="202" spans="1:8" hidden="1">
      <c r="A202" s="56" t="s">
        <v>472</v>
      </c>
      <c r="B202" s="48"/>
      <c r="C202" s="48" t="s">
        <v>473</v>
      </c>
      <c r="D202" s="57" t="s">
        <v>472</v>
      </c>
      <c r="E202" s="48" t="s">
        <v>111</v>
      </c>
      <c r="F202" s="49">
        <v>0.04</v>
      </c>
      <c r="G202" s="48" t="s">
        <v>156</v>
      </c>
      <c r="H202" s="50" t="s">
        <v>469</v>
      </c>
    </row>
    <row r="203" spans="1:8" hidden="1">
      <c r="A203" s="56" t="s">
        <v>474</v>
      </c>
      <c r="B203" s="48"/>
      <c r="C203" s="48" t="s">
        <v>475</v>
      </c>
      <c r="D203" s="57" t="s">
        <v>474</v>
      </c>
      <c r="E203" s="48" t="s">
        <v>111</v>
      </c>
      <c r="F203" s="49">
        <v>3.1220000000000001E-2</v>
      </c>
      <c r="G203" s="48" t="s">
        <v>156</v>
      </c>
      <c r="H203" s="50" t="s">
        <v>469</v>
      </c>
    </row>
    <row r="204" spans="1:8" hidden="1">
      <c r="A204" s="56" t="s">
        <v>476</v>
      </c>
      <c r="B204" s="48"/>
      <c r="C204" s="48" t="s">
        <v>477</v>
      </c>
      <c r="D204" s="57" t="s">
        <v>476</v>
      </c>
      <c r="E204" s="48" t="s">
        <v>111</v>
      </c>
      <c r="F204" s="49">
        <v>4.2000000000000003E-2</v>
      </c>
      <c r="G204" s="48" t="s">
        <v>156</v>
      </c>
      <c r="H204" s="50" t="s">
        <v>469</v>
      </c>
    </row>
    <row r="205" spans="1:8" hidden="1">
      <c r="A205" s="56" t="s">
        <v>478</v>
      </c>
      <c r="B205" s="48"/>
      <c r="C205" s="48" t="s">
        <v>479</v>
      </c>
      <c r="D205" s="57" t="s">
        <v>478</v>
      </c>
      <c r="E205" s="48" t="s">
        <v>111</v>
      </c>
      <c r="F205" s="49">
        <v>0.10924</v>
      </c>
      <c r="G205" s="48" t="s">
        <v>156</v>
      </c>
      <c r="H205" s="50" t="s">
        <v>469</v>
      </c>
    </row>
    <row r="206" spans="1:8" hidden="1">
      <c r="A206" s="56" t="s">
        <v>480</v>
      </c>
      <c r="B206" s="48"/>
      <c r="C206" s="48" t="s">
        <v>481</v>
      </c>
      <c r="D206" s="57" t="s">
        <v>480</v>
      </c>
      <c r="E206" s="48" t="s">
        <v>111</v>
      </c>
      <c r="F206" s="49">
        <v>9.5000000000000001E-2</v>
      </c>
      <c r="G206" s="48" t="s">
        <v>156</v>
      </c>
      <c r="H206" s="50" t="s">
        <v>469</v>
      </c>
    </row>
    <row r="207" spans="1:8" hidden="1">
      <c r="A207" s="56" t="s">
        <v>482</v>
      </c>
      <c r="B207" s="48"/>
      <c r="C207" s="48" t="s">
        <v>483</v>
      </c>
      <c r="D207" s="57" t="s">
        <v>482</v>
      </c>
      <c r="E207" s="48" t="s">
        <v>111</v>
      </c>
      <c r="F207" s="49">
        <v>0.17499999999999999</v>
      </c>
      <c r="G207" s="48" t="s">
        <v>156</v>
      </c>
      <c r="H207" s="50" t="s">
        <v>469</v>
      </c>
    </row>
    <row r="208" spans="1:8" hidden="1">
      <c r="A208" s="56" t="s">
        <v>484</v>
      </c>
      <c r="B208" s="48"/>
      <c r="C208" s="48" t="s">
        <v>485</v>
      </c>
      <c r="D208" s="57" t="s">
        <v>484</v>
      </c>
      <c r="E208" s="48" t="s">
        <v>111</v>
      </c>
      <c r="F208" s="49">
        <v>6.9000000000000006E-2</v>
      </c>
      <c r="G208" s="48" t="s">
        <v>156</v>
      </c>
      <c r="H208" s="50" t="s">
        <v>469</v>
      </c>
    </row>
    <row r="209" spans="1:8" hidden="1">
      <c r="A209" s="56" t="s">
        <v>486</v>
      </c>
      <c r="B209" s="48"/>
      <c r="C209" s="48" t="s">
        <v>487</v>
      </c>
      <c r="D209" s="57" t="s">
        <v>486</v>
      </c>
      <c r="E209" s="48" t="s">
        <v>111</v>
      </c>
      <c r="F209" s="49">
        <v>0.155</v>
      </c>
      <c r="G209" s="48" t="s">
        <v>156</v>
      </c>
      <c r="H209" s="50" t="s">
        <v>469</v>
      </c>
    </row>
    <row r="210" spans="1:8" hidden="1">
      <c r="A210" s="56" t="s">
        <v>488</v>
      </c>
      <c r="B210" s="48"/>
      <c r="C210" s="48" t="s">
        <v>489</v>
      </c>
      <c r="D210" s="57" t="s">
        <v>488</v>
      </c>
      <c r="E210" s="48" t="s">
        <v>111</v>
      </c>
      <c r="F210" s="49">
        <v>6.6500000000000014E-3</v>
      </c>
      <c r="G210" s="48" t="s">
        <v>156</v>
      </c>
      <c r="H210" s="50" t="s">
        <v>469</v>
      </c>
    </row>
    <row r="211" spans="1:8" hidden="1">
      <c r="A211" s="56" t="s">
        <v>490</v>
      </c>
      <c r="B211" s="48"/>
      <c r="C211" s="48" t="s">
        <v>491</v>
      </c>
      <c r="D211" s="57" t="s">
        <v>490</v>
      </c>
      <c r="E211" s="48" t="s">
        <v>111</v>
      </c>
      <c r="F211" s="49">
        <v>3.5000000000000003E-2</v>
      </c>
      <c r="G211" s="48" t="s">
        <v>156</v>
      </c>
      <c r="H211" s="50" t="s">
        <v>469</v>
      </c>
    </row>
    <row r="212" spans="1:8" hidden="1">
      <c r="A212" s="56" t="s">
        <v>39</v>
      </c>
      <c r="B212" s="48"/>
      <c r="C212" s="48" t="s">
        <v>492</v>
      </c>
      <c r="D212" s="57" t="s">
        <v>39</v>
      </c>
      <c r="E212" s="48" t="s">
        <v>161</v>
      </c>
      <c r="F212" s="49">
        <v>8.0555555555555554E-3</v>
      </c>
      <c r="G212" s="48" t="s">
        <v>156</v>
      </c>
      <c r="H212" s="50" t="s">
        <v>493</v>
      </c>
    </row>
    <row r="213" spans="1:8" hidden="1">
      <c r="A213" s="56" t="s">
        <v>24</v>
      </c>
      <c r="B213" s="48"/>
      <c r="C213" s="48" t="s">
        <v>494</v>
      </c>
      <c r="D213" s="57" t="s">
        <v>24</v>
      </c>
      <c r="E213" s="48" t="s">
        <v>161</v>
      </c>
      <c r="F213" s="49">
        <v>1.2E-2</v>
      </c>
      <c r="G213" s="48" t="s">
        <v>156</v>
      </c>
      <c r="H213" s="50" t="s">
        <v>493</v>
      </c>
    </row>
    <row r="214" spans="1:8" hidden="1">
      <c r="A214" s="56" t="s">
        <v>495</v>
      </c>
      <c r="B214" s="48"/>
      <c r="C214" s="48" t="s">
        <v>496</v>
      </c>
      <c r="D214" s="57" t="s">
        <v>495</v>
      </c>
      <c r="E214" s="48" t="s">
        <v>161</v>
      </c>
      <c r="F214" s="49">
        <v>3.6718750000000001E-2</v>
      </c>
      <c r="G214" s="48" t="s">
        <v>156</v>
      </c>
      <c r="H214" s="50" t="s">
        <v>493</v>
      </c>
    </row>
    <row r="215" spans="1:8" hidden="1">
      <c r="A215" s="56" t="s">
        <v>497</v>
      </c>
      <c r="B215" s="48"/>
      <c r="C215" s="48" t="s">
        <v>498</v>
      </c>
      <c r="D215" s="57" t="s">
        <v>497</v>
      </c>
      <c r="E215" s="48" t="s">
        <v>161</v>
      </c>
      <c r="F215" s="49">
        <v>6.8888888888888888E-3</v>
      </c>
      <c r="G215" s="48" t="s">
        <v>156</v>
      </c>
      <c r="H215" s="50" t="s">
        <v>493</v>
      </c>
    </row>
    <row r="216" spans="1:8" hidden="1">
      <c r="A216" s="56" t="s">
        <v>499</v>
      </c>
      <c r="B216" s="48"/>
      <c r="C216" s="48" t="s">
        <v>500</v>
      </c>
      <c r="D216" s="57" t="s">
        <v>499</v>
      </c>
      <c r="E216" s="48" t="s">
        <v>161</v>
      </c>
      <c r="F216" s="49">
        <v>0.17599999999999999</v>
      </c>
      <c r="G216" s="48" t="s">
        <v>156</v>
      </c>
      <c r="H216" s="50" t="s">
        <v>493</v>
      </c>
    </row>
    <row r="217" spans="1:8" hidden="1">
      <c r="A217" s="56" t="s">
        <v>9</v>
      </c>
      <c r="B217" s="48"/>
      <c r="C217" s="48" t="s">
        <v>501</v>
      </c>
      <c r="D217" s="57" t="s">
        <v>9</v>
      </c>
      <c r="E217" s="48" t="s">
        <v>161</v>
      </c>
      <c r="F217" s="49">
        <v>7.3529411764705881E-3</v>
      </c>
      <c r="G217" s="48" t="s">
        <v>156</v>
      </c>
      <c r="H217" s="50" t="s">
        <v>493</v>
      </c>
    </row>
    <row r="218" spans="1:8" hidden="1">
      <c r="A218" s="56" t="s">
        <v>502</v>
      </c>
      <c r="B218" s="48"/>
      <c r="C218" s="48" t="s">
        <v>503</v>
      </c>
      <c r="D218" s="57" t="s">
        <v>502</v>
      </c>
      <c r="E218" s="48" t="s">
        <v>111</v>
      </c>
      <c r="F218" s="49">
        <v>2.502202643171806E-2</v>
      </c>
      <c r="G218" s="48" t="s">
        <v>156</v>
      </c>
      <c r="H218" s="50" t="s">
        <v>504</v>
      </c>
    </row>
    <row r="219" spans="1:8" hidden="1">
      <c r="A219" s="56" t="s">
        <v>505</v>
      </c>
      <c r="B219" s="48"/>
      <c r="C219" s="48" t="s">
        <v>506</v>
      </c>
      <c r="D219" s="57" t="s">
        <v>505</v>
      </c>
      <c r="E219" s="48" t="s">
        <v>111</v>
      </c>
      <c r="F219" s="49">
        <v>3.5000000000000003E-2</v>
      </c>
      <c r="G219" s="48" t="s">
        <v>127</v>
      </c>
      <c r="H219" s="50" t="s">
        <v>504</v>
      </c>
    </row>
    <row r="220" spans="1:8" hidden="1">
      <c r="A220" s="56" t="s">
        <v>507</v>
      </c>
      <c r="B220" s="48"/>
      <c r="C220" s="48" t="s">
        <v>508</v>
      </c>
      <c r="D220" s="57" t="s">
        <v>507</v>
      </c>
      <c r="E220" s="48" t="s">
        <v>111</v>
      </c>
      <c r="F220" s="49">
        <v>3.4799999999999998E-2</v>
      </c>
      <c r="G220" s="48" t="s">
        <v>156</v>
      </c>
      <c r="H220" s="50" t="s">
        <v>504</v>
      </c>
    </row>
    <row r="221" spans="1:8" hidden="1">
      <c r="A221" s="56" t="s">
        <v>509</v>
      </c>
      <c r="B221" s="48"/>
      <c r="C221" s="48" t="s">
        <v>510</v>
      </c>
      <c r="D221" s="57" t="s">
        <v>509</v>
      </c>
      <c r="E221" s="48" t="s">
        <v>111</v>
      </c>
      <c r="F221" s="49">
        <v>8.0299999999999989E-3</v>
      </c>
      <c r="G221" s="48" t="s">
        <v>156</v>
      </c>
      <c r="H221" s="50" t="s">
        <v>504</v>
      </c>
    </row>
    <row r="222" spans="1:8" hidden="1">
      <c r="A222" s="56" t="s">
        <v>43</v>
      </c>
      <c r="B222" s="48"/>
      <c r="C222" s="48" t="s">
        <v>511</v>
      </c>
      <c r="D222" s="57" t="s">
        <v>43</v>
      </c>
      <c r="E222" s="48" t="s">
        <v>111</v>
      </c>
      <c r="F222" s="49">
        <v>9.2222222222222237E-3</v>
      </c>
      <c r="G222" s="48" t="s">
        <v>156</v>
      </c>
      <c r="H222" s="50" t="s">
        <v>504</v>
      </c>
    </row>
    <row r="223" spans="1:8" hidden="1">
      <c r="A223" s="56" t="s">
        <v>512</v>
      </c>
      <c r="B223" s="48"/>
      <c r="C223" s="58" t="s">
        <v>513</v>
      </c>
      <c r="D223" s="57" t="s">
        <v>512</v>
      </c>
      <c r="E223" s="48" t="s">
        <v>111</v>
      </c>
      <c r="F223" s="49">
        <v>8.911111111111111E-3</v>
      </c>
      <c r="G223" s="48" t="s">
        <v>156</v>
      </c>
      <c r="H223" s="50" t="s">
        <v>504</v>
      </c>
    </row>
    <row r="224" spans="1:8" hidden="1">
      <c r="A224" s="56" t="s">
        <v>514</v>
      </c>
      <c r="B224" s="48"/>
      <c r="C224" s="58" t="s">
        <v>515</v>
      </c>
      <c r="D224" s="57" t="s">
        <v>514</v>
      </c>
      <c r="E224" s="48" t="s">
        <v>111</v>
      </c>
      <c r="F224" s="49">
        <v>2.07E-2</v>
      </c>
      <c r="G224" s="48" t="s">
        <v>156</v>
      </c>
      <c r="H224" s="50" t="s">
        <v>504</v>
      </c>
    </row>
    <row r="225" spans="1:8" hidden="1">
      <c r="A225" s="56" t="s">
        <v>516</v>
      </c>
      <c r="B225" s="48"/>
      <c r="C225" s="48" t="s">
        <v>517</v>
      </c>
      <c r="D225" s="57" t="s">
        <v>516</v>
      </c>
      <c r="E225" s="48" t="s">
        <v>111</v>
      </c>
      <c r="F225" s="49">
        <v>9.2666666666666661E-3</v>
      </c>
      <c r="G225" s="48" t="s">
        <v>156</v>
      </c>
      <c r="H225" s="50" t="s">
        <v>504</v>
      </c>
    </row>
    <row r="226" spans="1:8" ht="13.5" hidden="1" customHeight="1">
      <c r="A226" s="47" t="s">
        <v>518</v>
      </c>
      <c r="B226" s="48"/>
      <c r="C226" s="48" t="s">
        <v>519</v>
      </c>
      <c r="D226" s="48" t="s">
        <v>518</v>
      </c>
      <c r="E226" s="48" t="s">
        <v>111</v>
      </c>
      <c r="F226" s="49">
        <v>2.666E-2</v>
      </c>
      <c r="G226" s="48" t="s">
        <v>156</v>
      </c>
      <c r="H226" s="50" t="s">
        <v>504</v>
      </c>
    </row>
    <row r="227" spans="1:8" ht="13.5" hidden="1" customHeight="1">
      <c r="A227" s="47" t="s">
        <v>520</v>
      </c>
      <c r="B227" s="48"/>
      <c r="C227" s="48" t="s">
        <v>521</v>
      </c>
      <c r="D227" s="48" t="s">
        <v>520</v>
      </c>
      <c r="E227" s="48" t="s">
        <v>111</v>
      </c>
      <c r="F227" s="49">
        <v>1.7500000000000002E-2</v>
      </c>
      <c r="G227" s="48" t="s">
        <v>156</v>
      </c>
      <c r="H227" s="50" t="s">
        <v>504</v>
      </c>
    </row>
    <row r="228" spans="1:8" ht="13.5" hidden="1" customHeight="1">
      <c r="A228" s="47" t="s">
        <v>522</v>
      </c>
      <c r="B228" s="48"/>
      <c r="C228" s="48" t="s">
        <v>523</v>
      </c>
      <c r="D228" s="48" t="s">
        <v>522</v>
      </c>
      <c r="E228" s="48" t="s">
        <v>111</v>
      </c>
      <c r="F228" s="49">
        <v>1.6E-2</v>
      </c>
      <c r="G228" s="48" t="s">
        <v>156</v>
      </c>
      <c r="H228" s="50" t="s">
        <v>504</v>
      </c>
    </row>
    <row r="229" spans="1:8" ht="13.5" hidden="1" customHeight="1">
      <c r="A229" s="47" t="s">
        <v>524</v>
      </c>
      <c r="B229" s="48"/>
      <c r="C229" s="48" t="s">
        <v>525</v>
      </c>
      <c r="D229" s="48" t="s">
        <v>524</v>
      </c>
      <c r="E229" s="48" t="s">
        <v>111</v>
      </c>
      <c r="F229" s="49">
        <v>9.2222222222222237E-3</v>
      </c>
      <c r="G229" s="48" t="s">
        <v>156</v>
      </c>
      <c r="H229" s="50" t="s">
        <v>504</v>
      </c>
    </row>
    <row r="230" spans="1:8" ht="13.5" hidden="1" customHeight="1">
      <c r="A230" s="47" t="s">
        <v>526</v>
      </c>
      <c r="B230" s="48"/>
      <c r="C230" s="48" t="s">
        <v>527</v>
      </c>
      <c r="D230" s="48" t="s">
        <v>526</v>
      </c>
      <c r="E230" s="48" t="s">
        <v>111</v>
      </c>
      <c r="F230" s="49">
        <v>8.0299999999999989E-3</v>
      </c>
      <c r="G230" s="48" t="s">
        <v>156</v>
      </c>
      <c r="H230" s="50" t="s">
        <v>504</v>
      </c>
    </row>
    <row r="231" spans="1:8" ht="13.5" hidden="1" customHeight="1">
      <c r="A231" s="47" t="s">
        <v>528</v>
      </c>
      <c r="B231" s="48"/>
      <c r="C231" s="48" t="s">
        <v>529</v>
      </c>
      <c r="D231" s="48" t="s">
        <v>528</v>
      </c>
      <c r="E231" s="48" t="s">
        <v>111</v>
      </c>
      <c r="F231" s="49">
        <v>8.911111111111111E-3</v>
      </c>
      <c r="G231" s="48" t="s">
        <v>156</v>
      </c>
      <c r="H231" s="50" t="s">
        <v>504</v>
      </c>
    </row>
    <row r="232" spans="1:8" ht="13.5" hidden="1" customHeight="1">
      <c r="A232" s="47" t="s">
        <v>530</v>
      </c>
      <c r="B232" s="48"/>
      <c r="C232" s="48" t="s">
        <v>531</v>
      </c>
      <c r="D232" s="48" t="s">
        <v>530</v>
      </c>
      <c r="E232" s="48" t="s">
        <v>111</v>
      </c>
      <c r="F232" s="49">
        <v>8.911111111111111E-3</v>
      </c>
      <c r="G232" s="48" t="s">
        <v>156</v>
      </c>
      <c r="H232" s="50" t="s">
        <v>504</v>
      </c>
    </row>
    <row r="233" spans="1:8" ht="13.5" hidden="1" customHeight="1">
      <c r="A233" s="47" t="s">
        <v>532</v>
      </c>
      <c r="B233" s="48"/>
      <c r="C233" s="48" t="s">
        <v>533</v>
      </c>
      <c r="D233" s="48" t="s">
        <v>532</v>
      </c>
      <c r="E233" s="48" t="s">
        <v>111</v>
      </c>
      <c r="F233" s="49">
        <v>8.8222222222222226E-3</v>
      </c>
      <c r="G233" s="48" t="s">
        <v>156</v>
      </c>
      <c r="H233" s="50" t="s">
        <v>504</v>
      </c>
    </row>
    <row r="234" spans="1:8" ht="13.5" hidden="1" customHeight="1">
      <c r="A234" s="47" t="s">
        <v>534</v>
      </c>
      <c r="B234" s="48"/>
      <c r="C234" s="48" t="s">
        <v>535</v>
      </c>
      <c r="D234" s="48" t="s">
        <v>534</v>
      </c>
      <c r="E234" s="48" t="s">
        <v>111</v>
      </c>
      <c r="F234" s="49">
        <v>1.1066666666666671E-2</v>
      </c>
      <c r="G234" s="48" t="s">
        <v>156</v>
      </c>
      <c r="H234" s="50" t="s">
        <v>504</v>
      </c>
    </row>
    <row r="235" spans="1:8" ht="13.5" hidden="1" customHeight="1">
      <c r="A235" s="47" t="s">
        <v>536</v>
      </c>
      <c r="B235" s="48"/>
      <c r="C235" s="48" t="s">
        <v>537</v>
      </c>
      <c r="D235" s="48" t="s">
        <v>536</v>
      </c>
      <c r="E235" s="48" t="s">
        <v>111</v>
      </c>
      <c r="F235" s="49">
        <v>2.3480176211453749E-2</v>
      </c>
      <c r="G235" s="48" t="s">
        <v>156</v>
      </c>
      <c r="H235" s="50" t="s">
        <v>504</v>
      </c>
    </row>
    <row r="236" spans="1:8" ht="13.5" hidden="1" customHeight="1">
      <c r="A236" s="47" t="s">
        <v>538</v>
      </c>
      <c r="B236" s="48"/>
      <c r="C236" s="48" t="s">
        <v>539</v>
      </c>
      <c r="D236" s="48" t="s">
        <v>538</v>
      </c>
      <c r="E236" s="48" t="s">
        <v>111</v>
      </c>
      <c r="F236" s="49">
        <v>1.0500000000000001E-2</v>
      </c>
      <c r="G236" s="48" t="s">
        <v>156</v>
      </c>
      <c r="H236" s="50" t="s">
        <v>540</v>
      </c>
    </row>
    <row r="237" spans="1:8" ht="13.5" hidden="1" customHeight="1">
      <c r="A237" s="47" t="s">
        <v>541</v>
      </c>
      <c r="B237" s="48"/>
      <c r="C237" s="48" t="s">
        <v>542</v>
      </c>
      <c r="D237" s="48" t="s">
        <v>541</v>
      </c>
      <c r="E237" s="48" t="s">
        <v>111</v>
      </c>
      <c r="F237" s="49">
        <v>1.0500000000000001E-2</v>
      </c>
      <c r="G237" s="48" t="s">
        <v>156</v>
      </c>
      <c r="H237" s="50" t="s">
        <v>540</v>
      </c>
    </row>
    <row r="238" spans="1:8" ht="13.5" hidden="1" customHeight="1">
      <c r="A238" s="47" t="s">
        <v>543</v>
      </c>
      <c r="B238" s="48"/>
      <c r="C238" s="48" t="s">
        <v>544</v>
      </c>
      <c r="D238" s="48" t="s">
        <v>543</v>
      </c>
      <c r="E238" s="48" t="s">
        <v>111</v>
      </c>
      <c r="F238" s="49">
        <v>4.3999999999999997E-2</v>
      </c>
      <c r="G238" s="48" t="s">
        <v>156</v>
      </c>
      <c r="H238" s="50" t="s">
        <v>540</v>
      </c>
    </row>
    <row r="239" spans="1:8" ht="13.5" hidden="1" customHeight="1">
      <c r="A239" s="47" t="s">
        <v>545</v>
      </c>
      <c r="B239" s="48"/>
      <c r="C239" s="48" t="s">
        <v>546</v>
      </c>
      <c r="D239" s="48" t="s">
        <v>545</v>
      </c>
      <c r="E239" s="48" t="s">
        <v>111</v>
      </c>
      <c r="F239" s="49">
        <v>1.0500000000000001E-2</v>
      </c>
      <c r="G239" s="48" t="s">
        <v>156</v>
      </c>
      <c r="H239" s="50" t="s">
        <v>540</v>
      </c>
    </row>
    <row r="240" spans="1:8" ht="13.5" hidden="1" customHeight="1">
      <c r="A240" s="47" t="s">
        <v>547</v>
      </c>
      <c r="B240" s="48"/>
      <c r="C240" s="48" t="s">
        <v>548</v>
      </c>
      <c r="D240" s="48" t="s">
        <v>547</v>
      </c>
      <c r="E240" s="48" t="s">
        <v>111</v>
      </c>
      <c r="F240" s="49">
        <v>0.44</v>
      </c>
      <c r="G240" s="48" t="s">
        <v>156</v>
      </c>
      <c r="H240" s="50" t="s">
        <v>540</v>
      </c>
    </row>
    <row r="241" spans="1:8" ht="13.5" hidden="1" customHeight="1">
      <c r="A241" s="47" t="s">
        <v>549</v>
      </c>
      <c r="B241" s="48"/>
      <c r="C241" s="48" t="s">
        <v>550</v>
      </c>
      <c r="D241" s="48" t="s">
        <v>549</v>
      </c>
      <c r="E241" s="48" t="s">
        <v>111</v>
      </c>
      <c r="F241" s="49">
        <v>5.8000000000000003E-2</v>
      </c>
      <c r="G241" s="48" t="s">
        <v>156</v>
      </c>
      <c r="H241" s="50" t="s">
        <v>540</v>
      </c>
    </row>
    <row r="242" spans="1:8" ht="13.5" hidden="1" customHeight="1">
      <c r="A242" s="47" t="s">
        <v>551</v>
      </c>
      <c r="B242" s="48"/>
      <c r="C242" s="48" t="s">
        <v>552</v>
      </c>
      <c r="D242" s="48" t="s">
        <v>551</v>
      </c>
      <c r="E242" s="48" t="s">
        <v>111</v>
      </c>
      <c r="F242" s="49">
        <v>2.333E-2</v>
      </c>
      <c r="G242" s="48" t="s">
        <v>156</v>
      </c>
      <c r="H242" s="50" t="s">
        <v>540</v>
      </c>
    </row>
    <row r="243" spans="1:8" ht="13.5" hidden="1" customHeight="1">
      <c r="A243" s="47" t="s">
        <v>553</v>
      </c>
      <c r="B243" s="48"/>
      <c r="C243" s="48" t="s">
        <v>554</v>
      </c>
      <c r="D243" s="48" t="s">
        <v>553</v>
      </c>
      <c r="E243" s="48" t="s">
        <v>111</v>
      </c>
      <c r="F243" s="49">
        <v>1.4500000000000001E-2</v>
      </c>
      <c r="G243" s="48" t="s">
        <v>156</v>
      </c>
      <c r="H243" s="50" t="s">
        <v>540</v>
      </c>
    </row>
    <row r="244" spans="1:8" ht="13.5" hidden="1" customHeight="1">
      <c r="A244" s="47" t="s">
        <v>555</v>
      </c>
      <c r="B244" s="48"/>
      <c r="C244" s="48" t="s">
        <v>556</v>
      </c>
      <c r="D244" s="48" t="s">
        <v>555</v>
      </c>
      <c r="E244" s="48" t="s">
        <v>111</v>
      </c>
      <c r="F244" s="49">
        <v>3.7999999999999999E-2</v>
      </c>
      <c r="G244" s="48" t="s">
        <v>156</v>
      </c>
      <c r="H244" s="50" t="s">
        <v>540</v>
      </c>
    </row>
    <row r="245" spans="1:8" ht="13.5" hidden="1" customHeight="1">
      <c r="A245" s="47" t="s">
        <v>557</v>
      </c>
      <c r="B245" s="48"/>
      <c r="C245" s="48" t="s">
        <v>558</v>
      </c>
      <c r="D245" s="48" t="s">
        <v>557</v>
      </c>
      <c r="E245" s="48" t="s">
        <v>111</v>
      </c>
      <c r="F245" s="49">
        <v>8.9999999999999993E-3</v>
      </c>
      <c r="G245" s="48" t="s">
        <v>156</v>
      </c>
      <c r="H245" s="50" t="s">
        <v>540</v>
      </c>
    </row>
    <row r="246" spans="1:8" ht="13.5" hidden="1" customHeight="1">
      <c r="A246" s="47" t="s">
        <v>559</v>
      </c>
      <c r="B246" s="48"/>
      <c r="C246" s="48" t="s">
        <v>560</v>
      </c>
      <c r="D246" s="48" t="s">
        <v>559</v>
      </c>
      <c r="E246" s="48" t="s">
        <v>161</v>
      </c>
      <c r="F246" s="49">
        <v>0.16250000000000001</v>
      </c>
      <c r="G246" s="48" t="s">
        <v>156</v>
      </c>
      <c r="H246" s="50" t="s">
        <v>540</v>
      </c>
    </row>
    <row r="247" spans="1:8" ht="13.5" hidden="1" customHeight="1">
      <c r="A247" s="47" t="s">
        <v>561</v>
      </c>
      <c r="B247" s="48"/>
      <c r="C247" s="48" t="s">
        <v>562</v>
      </c>
      <c r="D247" s="48" t="s">
        <v>561</v>
      </c>
      <c r="E247" s="48" t="s">
        <v>161</v>
      </c>
      <c r="F247" s="49">
        <v>0.12083333333333331</v>
      </c>
      <c r="G247" s="48" t="s">
        <v>156</v>
      </c>
      <c r="H247" s="50" t="s">
        <v>540</v>
      </c>
    </row>
    <row r="248" spans="1:8" ht="13.5" hidden="1" customHeight="1">
      <c r="A248" s="47" t="s">
        <v>563</v>
      </c>
      <c r="B248" s="48"/>
      <c r="C248" s="48" t="s">
        <v>564</v>
      </c>
      <c r="D248" s="48" t="s">
        <v>563</v>
      </c>
      <c r="E248" s="48" t="s">
        <v>161</v>
      </c>
      <c r="F248" s="49">
        <v>8.7499999999999994E-2</v>
      </c>
      <c r="G248" s="48" t="s">
        <v>156</v>
      </c>
      <c r="H248" s="50" t="s">
        <v>540</v>
      </c>
    </row>
    <row r="249" spans="1:8" ht="13.5" hidden="1" customHeight="1">
      <c r="A249" s="47" t="s">
        <v>565</v>
      </c>
      <c r="B249" s="48"/>
      <c r="C249" s="48" t="s">
        <v>566</v>
      </c>
      <c r="D249" s="48" t="s">
        <v>565</v>
      </c>
      <c r="E249" s="48" t="s">
        <v>161</v>
      </c>
      <c r="F249" s="49">
        <v>0.12083333333333331</v>
      </c>
      <c r="G249" s="48" t="s">
        <v>156</v>
      </c>
      <c r="H249" s="50" t="s">
        <v>540</v>
      </c>
    </row>
    <row r="250" spans="1:8" ht="13.5" hidden="1" customHeight="1">
      <c r="A250" s="47" t="s">
        <v>567</v>
      </c>
      <c r="B250" s="48"/>
      <c r="C250" s="48" t="s">
        <v>568</v>
      </c>
      <c r="D250" s="48" t="s">
        <v>567</v>
      </c>
      <c r="E250" s="48" t="s">
        <v>111</v>
      </c>
      <c r="F250" s="49">
        <v>1.6500000000000001E-2</v>
      </c>
      <c r="G250" s="48" t="s">
        <v>156</v>
      </c>
      <c r="H250" s="50" t="s">
        <v>540</v>
      </c>
    </row>
    <row r="251" spans="1:8" ht="13.5" hidden="1" customHeight="1">
      <c r="A251" s="47" t="s">
        <v>569</v>
      </c>
      <c r="B251" s="48"/>
      <c r="C251" s="48" t="s">
        <v>570</v>
      </c>
      <c r="D251" s="48" t="s">
        <v>569</v>
      </c>
      <c r="E251" s="48" t="s">
        <v>111</v>
      </c>
      <c r="F251" s="49">
        <v>2.0375000000000001E-2</v>
      </c>
      <c r="G251" s="48" t="s">
        <v>156</v>
      </c>
      <c r="H251" s="50" t="s">
        <v>540</v>
      </c>
    </row>
    <row r="252" spans="1:8" ht="13.5" hidden="1" customHeight="1">
      <c r="A252" s="47" t="s">
        <v>571</v>
      </c>
      <c r="B252" s="48"/>
      <c r="C252" s="48" t="s">
        <v>572</v>
      </c>
      <c r="D252" s="48" t="s">
        <v>571</v>
      </c>
      <c r="E252" s="48" t="s">
        <v>111</v>
      </c>
      <c r="F252" s="49">
        <v>5.3666666666666668E-2</v>
      </c>
      <c r="G252" s="48" t="s">
        <v>156</v>
      </c>
      <c r="H252" s="50" t="s">
        <v>540</v>
      </c>
    </row>
    <row r="253" spans="1:8" ht="13.5" hidden="1" customHeight="1">
      <c r="A253" s="47" t="s">
        <v>573</v>
      </c>
      <c r="B253" s="48"/>
      <c r="C253" s="48" t="s">
        <v>574</v>
      </c>
      <c r="D253" s="48" t="s">
        <v>573</v>
      </c>
      <c r="E253" s="48" t="s">
        <v>111</v>
      </c>
      <c r="F253" s="49">
        <v>2.955E-2</v>
      </c>
      <c r="G253" s="48" t="s">
        <v>156</v>
      </c>
      <c r="H253" s="50" t="s">
        <v>540</v>
      </c>
    </row>
    <row r="254" spans="1:8" ht="13.5" hidden="1" customHeight="1">
      <c r="A254" s="47" t="s">
        <v>575</v>
      </c>
      <c r="B254" s="48"/>
      <c r="C254" s="48" t="s">
        <v>576</v>
      </c>
      <c r="D254" s="48" t="s">
        <v>575</v>
      </c>
      <c r="E254" s="48" t="s">
        <v>111</v>
      </c>
      <c r="F254" s="49">
        <v>3.2226666666666667E-2</v>
      </c>
      <c r="G254" s="48" t="s">
        <v>156</v>
      </c>
      <c r="H254" s="50" t="s">
        <v>540</v>
      </c>
    </row>
    <row r="255" spans="1:8" ht="13.5" hidden="1" customHeight="1">
      <c r="A255" s="47" t="s">
        <v>577</v>
      </c>
      <c r="B255" s="48"/>
      <c r="C255" s="48" t="s">
        <v>578</v>
      </c>
      <c r="D255" s="48" t="s">
        <v>577</v>
      </c>
      <c r="E255" s="48" t="s">
        <v>111</v>
      </c>
      <c r="F255" s="49">
        <v>0.01</v>
      </c>
      <c r="G255" s="48" t="s">
        <v>156</v>
      </c>
      <c r="H255" s="50" t="s">
        <v>540</v>
      </c>
    </row>
    <row r="256" spans="1:8" ht="13.5" hidden="1" customHeight="1">
      <c r="A256" s="47" t="s">
        <v>579</v>
      </c>
      <c r="B256" s="48"/>
      <c r="C256" s="48" t="s">
        <v>580</v>
      </c>
      <c r="D256" s="48" t="s">
        <v>579</v>
      </c>
      <c r="E256" s="48" t="s">
        <v>111</v>
      </c>
      <c r="F256" s="49">
        <v>2.233333333333333E-2</v>
      </c>
      <c r="G256" s="48" t="s">
        <v>156</v>
      </c>
      <c r="H256" s="50" t="s">
        <v>540</v>
      </c>
    </row>
    <row r="257" spans="1:8" ht="13.5" hidden="1" customHeight="1">
      <c r="A257" s="47" t="s">
        <v>581</v>
      </c>
      <c r="B257" s="48"/>
      <c r="C257" s="48" t="s">
        <v>582</v>
      </c>
      <c r="D257" s="48" t="s">
        <v>581</v>
      </c>
      <c r="E257" s="48" t="s">
        <v>111</v>
      </c>
      <c r="F257" s="49">
        <v>3.2500000000000001E-2</v>
      </c>
      <c r="G257" s="48" t="s">
        <v>156</v>
      </c>
      <c r="H257" s="50" t="s">
        <v>540</v>
      </c>
    </row>
    <row r="258" spans="1:8" ht="13.5" hidden="1" customHeight="1">
      <c r="A258" s="47" t="s">
        <v>583</v>
      </c>
      <c r="B258" s="48"/>
      <c r="C258" s="48" t="s">
        <v>584</v>
      </c>
      <c r="D258" s="48" t="s">
        <v>583</v>
      </c>
      <c r="E258" s="48" t="s">
        <v>111</v>
      </c>
      <c r="F258" s="49">
        <v>2.7E-2</v>
      </c>
      <c r="G258" s="48" t="s">
        <v>156</v>
      </c>
      <c r="H258" s="50" t="s">
        <v>540</v>
      </c>
    </row>
    <row r="259" spans="1:8" ht="13.5" hidden="1" customHeight="1">
      <c r="A259" s="47" t="s">
        <v>585</v>
      </c>
      <c r="B259" s="48"/>
      <c r="C259" s="48" t="s">
        <v>586</v>
      </c>
      <c r="D259" s="48" t="s">
        <v>585</v>
      </c>
      <c r="E259" s="48" t="s">
        <v>111</v>
      </c>
      <c r="F259" s="49">
        <v>2.4264705882352942E-2</v>
      </c>
      <c r="G259" s="48" t="s">
        <v>156</v>
      </c>
      <c r="H259" s="50" t="s">
        <v>540</v>
      </c>
    </row>
    <row r="260" spans="1:8" ht="13.5" hidden="1" customHeight="1">
      <c r="A260" s="47" t="s">
        <v>587</v>
      </c>
      <c r="B260" s="48"/>
      <c r="C260" s="48" t="s">
        <v>588</v>
      </c>
      <c r="D260" s="48" t="s">
        <v>587</v>
      </c>
      <c r="E260" s="48" t="s">
        <v>111</v>
      </c>
      <c r="F260" s="49"/>
      <c r="G260" s="48" t="s">
        <v>156</v>
      </c>
      <c r="H260" s="50" t="s">
        <v>540</v>
      </c>
    </row>
    <row r="261" spans="1:8" ht="13.5" hidden="1" customHeight="1">
      <c r="A261" s="47" t="s">
        <v>589</v>
      </c>
      <c r="B261" s="48"/>
      <c r="C261" s="48" t="s">
        <v>590</v>
      </c>
      <c r="D261" s="48" t="s">
        <v>589</v>
      </c>
      <c r="E261" s="48" t="s">
        <v>111</v>
      </c>
      <c r="F261" s="49">
        <v>1.8599999999999998E-2</v>
      </c>
      <c r="G261" s="48" t="s">
        <v>156</v>
      </c>
      <c r="H261" s="50" t="s">
        <v>540</v>
      </c>
    </row>
    <row r="262" spans="1:8" ht="13.5" hidden="1" customHeight="1">
      <c r="A262" s="47" t="s">
        <v>591</v>
      </c>
      <c r="B262" s="48"/>
      <c r="C262" s="48" t="s">
        <v>592</v>
      </c>
      <c r="D262" s="48" t="s">
        <v>591</v>
      </c>
      <c r="E262" s="48" t="s">
        <v>111</v>
      </c>
      <c r="F262" s="49">
        <v>4.9000000000000002E-2</v>
      </c>
      <c r="G262" s="48" t="s">
        <v>156</v>
      </c>
      <c r="H262" s="50" t="s">
        <v>540</v>
      </c>
    </row>
    <row r="263" spans="1:8" ht="13.5" hidden="1" customHeight="1">
      <c r="A263" s="47" t="s">
        <v>593</v>
      </c>
      <c r="B263" s="48"/>
      <c r="C263" s="48" t="s">
        <v>594</v>
      </c>
      <c r="D263" s="48" t="s">
        <v>593</v>
      </c>
      <c r="E263" s="48" t="s">
        <v>111</v>
      </c>
      <c r="F263" s="49">
        <v>4.2000000000000003E-2</v>
      </c>
      <c r="G263" s="48" t="s">
        <v>156</v>
      </c>
      <c r="H263" s="50" t="s">
        <v>540</v>
      </c>
    </row>
    <row r="264" spans="1:8" ht="13.5" hidden="1" customHeight="1">
      <c r="A264" s="47" t="s">
        <v>595</v>
      </c>
      <c r="B264" s="48"/>
      <c r="C264" s="48" t="s">
        <v>596</v>
      </c>
      <c r="D264" s="48" t="s">
        <v>595</v>
      </c>
      <c r="E264" s="48" t="s">
        <v>111</v>
      </c>
      <c r="F264" s="49">
        <v>0.3</v>
      </c>
      <c r="G264" s="48" t="s">
        <v>156</v>
      </c>
      <c r="H264" s="50" t="s">
        <v>540</v>
      </c>
    </row>
    <row r="265" spans="1:8" ht="13.5" hidden="1" customHeight="1">
      <c r="A265" s="47" t="s">
        <v>597</v>
      </c>
      <c r="B265" s="48"/>
      <c r="C265" s="48" t="s">
        <v>598</v>
      </c>
      <c r="D265" s="48" t="s">
        <v>597</v>
      </c>
      <c r="E265" s="48" t="s">
        <v>111</v>
      </c>
      <c r="F265" s="49">
        <v>1.17E-2</v>
      </c>
      <c r="G265" s="48" t="s">
        <v>156</v>
      </c>
      <c r="H265" s="50" t="s">
        <v>540</v>
      </c>
    </row>
    <row r="266" spans="1:8" ht="13.5" hidden="1" customHeight="1">
      <c r="A266" s="47" t="s">
        <v>599</v>
      </c>
      <c r="B266" s="48"/>
      <c r="C266" s="48" t="s">
        <v>600</v>
      </c>
      <c r="D266" s="48" t="s">
        <v>599</v>
      </c>
      <c r="E266" s="48" t="s">
        <v>111</v>
      </c>
      <c r="F266" s="49">
        <v>1.1900000000000001E-2</v>
      </c>
      <c r="G266" s="48" t="s">
        <v>156</v>
      </c>
      <c r="H266" s="50" t="s">
        <v>540</v>
      </c>
    </row>
    <row r="267" spans="1:8" ht="13.5" hidden="1" customHeight="1">
      <c r="A267" s="47" t="s">
        <v>601</v>
      </c>
      <c r="B267" s="48"/>
      <c r="C267" s="48" t="s">
        <v>602</v>
      </c>
      <c r="D267" s="48" t="s">
        <v>601</v>
      </c>
      <c r="E267" s="48" t="s">
        <v>111</v>
      </c>
      <c r="F267" s="49">
        <v>8.5000000000000006E-3</v>
      </c>
      <c r="G267" s="48" t="s">
        <v>156</v>
      </c>
      <c r="H267" s="50" t="s">
        <v>540</v>
      </c>
    </row>
    <row r="268" spans="1:8" ht="13.5" hidden="1" customHeight="1">
      <c r="A268" s="47" t="s">
        <v>603</v>
      </c>
      <c r="B268" s="48"/>
      <c r="C268" s="48" t="s">
        <v>604</v>
      </c>
      <c r="D268" s="48" t="s">
        <v>603</v>
      </c>
      <c r="E268" s="48" t="s">
        <v>111</v>
      </c>
      <c r="F268" s="49">
        <v>3.7999999999999999E-2</v>
      </c>
      <c r="G268" s="48" t="s">
        <v>156</v>
      </c>
      <c r="H268" s="50" t="s">
        <v>540</v>
      </c>
    </row>
    <row r="269" spans="1:8" ht="13.5" hidden="1" customHeight="1">
      <c r="A269" s="47" t="s">
        <v>605</v>
      </c>
      <c r="B269" s="48"/>
      <c r="C269" s="48" t="s">
        <v>606</v>
      </c>
      <c r="D269" s="48" t="s">
        <v>605</v>
      </c>
      <c r="E269" s="48" t="s">
        <v>111</v>
      </c>
      <c r="F269" s="49">
        <v>1.9E-2</v>
      </c>
      <c r="G269" s="48" t="s">
        <v>156</v>
      </c>
      <c r="H269" s="50" t="s">
        <v>540</v>
      </c>
    </row>
    <row r="270" spans="1:8" ht="13.5" hidden="1" customHeight="1">
      <c r="A270" s="47" t="s">
        <v>607</v>
      </c>
      <c r="B270" s="48"/>
      <c r="C270" s="48" t="s">
        <v>608</v>
      </c>
      <c r="D270" s="48" t="s">
        <v>607</v>
      </c>
      <c r="E270" s="48" t="s">
        <v>111</v>
      </c>
      <c r="F270" s="49">
        <v>2.3E-2</v>
      </c>
      <c r="G270" s="48" t="s">
        <v>156</v>
      </c>
      <c r="H270" s="50" t="s">
        <v>540</v>
      </c>
    </row>
    <row r="271" spans="1:8" ht="13.5" hidden="1" customHeight="1">
      <c r="A271" s="47" t="s">
        <v>609</v>
      </c>
      <c r="B271" s="48"/>
      <c r="C271" s="48" t="s">
        <v>610</v>
      </c>
      <c r="D271" s="48" t="s">
        <v>609</v>
      </c>
      <c r="E271" s="48" t="s">
        <v>111</v>
      </c>
      <c r="F271" s="49">
        <v>1.528888888888889E-2</v>
      </c>
      <c r="G271" s="48" t="s">
        <v>156</v>
      </c>
      <c r="H271" s="50" t="s">
        <v>540</v>
      </c>
    </row>
    <row r="272" spans="1:8" ht="13.5" hidden="1" customHeight="1">
      <c r="A272" s="47" t="s">
        <v>611</v>
      </c>
      <c r="B272" s="48"/>
      <c r="C272" s="48" t="s">
        <v>612</v>
      </c>
      <c r="D272" s="48" t="s">
        <v>611</v>
      </c>
      <c r="E272" s="48" t="s">
        <v>111</v>
      </c>
      <c r="F272" s="49">
        <v>0.01</v>
      </c>
      <c r="G272" s="48" t="s">
        <v>156</v>
      </c>
      <c r="H272" s="50" t="s">
        <v>540</v>
      </c>
    </row>
    <row r="273" spans="1:8" ht="13.5" hidden="1" customHeight="1">
      <c r="A273" s="47" t="s">
        <v>613</v>
      </c>
      <c r="B273" s="48"/>
      <c r="C273" s="48" t="s">
        <v>614</v>
      </c>
      <c r="D273" s="48" t="s">
        <v>613</v>
      </c>
      <c r="E273" s="48" t="s">
        <v>111</v>
      </c>
      <c r="F273" s="49">
        <v>3.15E-2</v>
      </c>
      <c r="G273" s="48" t="s">
        <v>156</v>
      </c>
      <c r="H273" s="50" t="s">
        <v>540</v>
      </c>
    </row>
    <row r="274" spans="1:8" ht="13.5" hidden="1" customHeight="1">
      <c r="A274" s="47" t="s">
        <v>615</v>
      </c>
      <c r="B274" s="48"/>
      <c r="C274" s="48" t="s">
        <v>616</v>
      </c>
      <c r="D274" s="48" t="s">
        <v>615</v>
      </c>
      <c r="E274" s="48" t="s">
        <v>111</v>
      </c>
      <c r="F274" s="49">
        <v>1.208333333333333E-2</v>
      </c>
      <c r="G274" s="48" t="s">
        <v>156</v>
      </c>
      <c r="H274" s="50" t="s">
        <v>540</v>
      </c>
    </row>
    <row r="275" spans="1:8" ht="13.5" hidden="1" customHeight="1">
      <c r="A275" s="47" t="s">
        <v>617</v>
      </c>
      <c r="B275" s="48"/>
      <c r="C275" s="48" t="s">
        <v>618</v>
      </c>
      <c r="D275" s="48" t="s">
        <v>617</v>
      </c>
      <c r="E275" s="48" t="s">
        <v>111</v>
      </c>
      <c r="F275" s="49">
        <v>6.8799999999999998E-3</v>
      </c>
      <c r="G275" s="48" t="s">
        <v>156</v>
      </c>
      <c r="H275" s="50" t="s">
        <v>540</v>
      </c>
    </row>
    <row r="276" spans="1:8" ht="13.5" hidden="1" customHeight="1">
      <c r="A276" s="47" t="s">
        <v>619</v>
      </c>
      <c r="B276" s="48"/>
      <c r="C276" s="48" t="s">
        <v>620</v>
      </c>
      <c r="D276" s="48" t="s">
        <v>619</v>
      </c>
      <c r="E276" s="48" t="s">
        <v>111</v>
      </c>
      <c r="F276" s="49">
        <v>5.8799999999999998E-3</v>
      </c>
      <c r="G276" s="48" t="s">
        <v>156</v>
      </c>
      <c r="H276" s="50" t="s">
        <v>540</v>
      </c>
    </row>
    <row r="277" spans="1:8" ht="13.5" hidden="1" customHeight="1">
      <c r="A277" s="47" t="s">
        <v>621</v>
      </c>
      <c r="B277" s="48"/>
      <c r="C277" s="48" t="s">
        <v>622</v>
      </c>
      <c r="D277" s="48" t="s">
        <v>621</v>
      </c>
      <c r="E277" s="48" t="s">
        <v>111</v>
      </c>
      <c r="F277" s="49">
        <v>6.0000000000000001E-3</v>
      </c>
      <c r="G277" s="48" t="s">
        <v>156</v>
      </c>
      <c r="H277" s="50" t="s">
        <v>623</v>
      </c>
    </row>
    <row r="278" spans="1:8" ht="13.5" hidden="1" customHeight="1">
      <c r="A278" s="47" t="s">
        <v>624</v>
      </c>
      <c r="B278" s="48"/>
      <c r="C278" s="48" t="s">
        <v>625</v>
      </c>
      <c r="D278" s="48" t="s">
        <v>624</v>
      </c>
      <c r="E278" s="48" t="s">
        <v>111</v>
      </c>
      <c r="F278" s="49">
        <v>6.0000000000000001E-3</v>
      </c>
      <c r="G278" s="48" t="s">
        <v>156</v>
      </c>
      <c r="H278" s="50" t="s">
        <v>623</v>
      </c>
    </row>
    <row r="279" spans="1:8" ht="13.5" hidden="1" customHeight="1">
      <c r="A279" s="47" t="s">
        <v>626</v>
      </c>
      <c r="B279" s="48"/>
      <c r="C279" s="48" t="s">
        <v>627</v>
      </c>
      <c r="D279" s="48" t="s">
        <v>626</v>
      </c>
      <c r="E279" s="48" t="s">
        <v>111</v>
      </c>
      <c r="F279" s="49">
        <v>6.0000000000000001E-3</v>
      </c>
      <c r="G279" s="48" t="s">
        <v>156</v>
      </c>
      <c r="H279" s="50" t="s">
        <v>623</v>
      </c>
    </row>
    <row r="280" spans="1:8" ht="13.5" hidden="1" customHeight="1">
      <c r="A280" s="47" t="s">
        <v>628</v>
      </c>
      <c r="B280" s="48"/>
      <c r="C280" s="48" t="s">
        <v>629</v>
      </c>
      <c r="D280" s="48" t="s">
        <v>628</v>
      </c>
      <c r="E280" s="48" t="s">
        <v>111</v>
      </c>
      <c r="F280" s="49">
        <v>6.0000000000000001E-3</v>
      </c>
      <c r="G280" s="48" t="s">
        <v>156</v>
      </c>
      <c r="H280" s="50" t="s">
        <v>623</v>
      </c>
    </row>
    <row r="281" spans="1:8" ht="13.5" hidden="1" customHeight="1">
      <c r="A281" s="47" t="s">
        <v>630</v>
      </c>
      <c r="B281" s="48"/>
      <c r="C281" s="48" t="s">
        <v>631</v>
      </c>
      <c r="D281" s="48" t="s">
        <v>630</v>
      </c>
      <c r="E281" s="48" t="s">
        <v>111</v>
      </c>
      <c r="F281" s="49">
        <v>6.0000000000000001E-3</v>
      </c>
      <c r="G281" s="48" t="s">
        <v>156</v>
      </c>
      <c r="H281" s="50" t="s">
        <v>623</v>
      </c>
    </row>
    <row r="282" spans="1:8" ht="13.5" hidden="1" customHeight="1">
      <c r="A282" s="47" t="s">
        <v>632</v>
      </c>
      <c r="B282" s="48"/>
      <c r="C282" s="48" t="s">
        <v>633</v>
      </c>
      <c r="D282" s="48" t="s">
        <v>632</v>
      </c>
      <c r="E282" s="48" t="s">
        <v>111</v>
      </c>
      <c r="F282" s="49">
        <v>1.6E-2</v>
      </c>
      <c r="G282" s="48" t="s">
        <v>156</v>
      </c>
      <c r="H282" s="50" t="s">
        <v>623</v>
      </c>
    </row>
    <row r="283" spans="1:8" ht="13.5" hidden="1" customHeight="1">
      <c r="A283" s="47" t="s">
        <v>634</v>
      </c>
      <c r="B283" s="48"/>
      <c r="C283" s="48" t="s">
        <v>635</v>
      </c>
      <c r="D283" s="48" t="s">
        <v>634</v>
      </c>
      <c r="E283" s="48" t="s">
        <v>111</v>
      </c>
      <c r="F283" s="49">
        <v>3.5999999999999999E-3</v>
      </c>
      <c r="G283" s="48" t="s">
        <v>156</v>
      </c>
      <c r="H283" s="50" t="s">
        <v>623</v>
      </c>
    </row>
    <row r="284" spans="1:8" ht="13.5" hidden="1" customHeight="1">
      <c r="A284" s="47" t="s">
        <v>636</v>
      </c>
      <c r="B284" s="48"/>
      <c r="C284" s="48" t="s">
        <v>637</v>
      </c>
      <c r="D284" s="48" t="s">
        <v>636</v>
      </c>
      <c r="E284" s="48" t="s">
        <v>111</v>
      </c>
      <c r="F284" s="49">
        <v>6.4999999999999997E-3</v>
      </c>
      <c r="G284" s="48" t="s">
        <v>156</v>
      </c>
      <c r="H284" s="50" t="s">
        <v>623</v>
      </c>
    </row>
    <row r="285" spans="1:8" ht="13.5" hidden="1" customHeight="1">
      <c r="A285" s="47" t="s">
        <v>62</v>
      </c>
      <c r="B285" s="48"/>
      <c r="C285" s="48" t="s">
        <v>638</v>
      </c>
      <c r="D285" s="48" t="s">
        <v>62</v>
      </c>
      <c r="E285" s="48" t="s">
        <v>111</v>
      </c>
      <c r="F285" s="49">
        <v>5.7499999999999999E-3</v>
      </c>
      <c r="G285" s="48" t="s">
        <v>156</v>
      </c>
      <c r="H285" s="50" t="s">
        <v>623</v>
      </c>
    </row>
    <row r="286" spans="1:8" ht="13.5" hidden="1" customHeight="1">
      <c r="A286" s="47" t="s">
        <v>59</v>
      </c>
      <c r="B286" s="48"/>
      <c r="C286" s="48" t="s">
        <v>639</v>
      </c>
      <c r="D286" s="48" t="s">
        <v>59</v>
      </c>
      <c r="E286" s="48" t="s">
        <v>111</v>
      </c>
      <c r="F286" s="49">
        <v>6.4999999999999997E-3</v>
      </c>
      <c r="G286" s="48" t="s">
        <v>156</v>
      </c>
      <c r="H286" s="50" t="s">
        <v>623</v>
      </c>
    </row>
    <row r="287" spans="1:8" ht="13.5" hidden="1" customHeight="1">
      <c r="A287" s="47" t="s">
        <v>640</v>
      </c>
      <c r="B287" s="48"/>
      <c r="C287" s="48" t="s">
        <v>641</v>
      </c>
      <c r="D287" s="48" t="s">
        <v>640</v>
      </c>
      <c r="E287" s="48" t="s">
        <v>111</v>
      </c>
      <c r="F287" s="49">
        <v>4.7499999999999999E-3</v>
      </c>
      <c r="G287" s="48" t="s">
        <v>156</v>
      </c>
      <c r="H287" s="50" t="s">
        <v>623</v>
      </c>
    </row>
    <row r="288" spans="1:8" ht="13.5" hidden="1" customHeight="1">
      <c r="A288" s="47" t="s">
        <v>642</v>
      </c>
      <c r="B288" s="48"/>
      <c r="C288" s="48" t="s">
        <v>643</v>
      </c>
      <c r="D288" s="48" t="s">
        <v>642</v>
      </c>
      <c r="E288" s="48" t="s">
        <v>111</v>
      </c>
      <c r="F288" s="49">
        <v>1.239E-2</v>
      </c>
      <c r="G288" s="48" t="s">
        <v>156</v>
      </c>
      <c r="H288" s="50" t="s">
        <v>623</v>
      </c>
    </row>
    <row r="289" spans="1:8" ht="13.5" hidden="1" customHeight="1">
      <c r="A289" s="47" t="s">
        <v>644</v>
      </c>
      <c r="B289" s="48"/>
      <c r="C289" s="48" t="s">
        <v>645</v>
      </c>
      <c r="D289" s="48" t="s">
        <v>644</v>
      </c>
      <c r="E289" s="48" t="s">
        <v>111</v>
      </c>
      <c r="F289" s="49">
        <v>5.0000000000000001E-3</v>
      </c>
      <c r="G289" s="48" t="s">
        <v>156</v>
      </c>
      <c r="H289" s="50" t="s">
        <v>646</v>
      </c>
    </row>
    <row r="290" spans="1:8" ht="13.5" hidden="1" customHeight="1">
      <c r="A290" s="47" t="s">
        <v>647</v>
      </c>
      <c r="B290" s="48"/>
      <c r="C290" s="48" t="s">
        <v>648</v>
      </c>
      <c r="D290" s="48" t="s">
        <v>647</v>
      </c>
      <c r="E290" s="48" t="s">
        <v>111</v>
      </c>
      <c r="F290" s="49">
        <v>3.5000000000000003E-2</v>
      </c>
      <c r="G290" s="48" t="s">
        <v>156</v>
      </c>
      <c r="H290" s="50" t="s">
        <v>646</v>
      </c>
    </row>
    <row r="291" spans="1:8" ht="13.5" hidden="1" customHeight="1">
      <c r="A291" s="47" t="s">
        <v>649</v>
      </c>
      <c r="B291" s="48"/>
      <c r="C291" s="48" t="s">
        <v>650</v>
      </c>
      <c r="D291" s="48" t="s">
        <v>649</v>
      </c>
      <c r="E291" s="48" t="s">
        <v>111</v>
      </c>
      <c r="F291" s="49">
        <v>3.7999999999999999E-2</v>
      </c>
      <c r="G291" s="48" t="s">
        <v>156</v>
      </c>
      <c r="H291" s="50" t="s">
        <v>646</v>
      </c>
    </row>
    <row r="292" spans="1:8" ht="13.5" hidden="1" customHeight="1">
      <c r="A292" s="47" t="s">
        <v>651</v>
      </c>
      <c r="B292" s="48"/>
      <c r="C292" s="48" t="s">
        <v>652</v>
      </c>
      <c r="D292" s="48" t="s">
        <v>651</v>
      </c>
      <c r="E292" s="48" t="s">
        <v>111</v>
      </c>
      <c r="F292" s="49">
        <v>3.5000000000000003E-2</v>
      </c>
      <c r="G292" s="48" t="s">
        <v>156</v>
      </c>
      <c r="H292" s="50" t="s">
        <v>646</v>
      </c>
    </row>
    <row r="293" spans="1:8" ht="13.5" hidden="1" customHeight="1">
      <c r="A293" s="47" t="s">
        <v>653</v>
      </c>
      <c r="B293" s="48"/>
      <c r="C293" s="48" t="s">
        <v>654</v>
      </c>
      <c r="D293" s="48" t="s">
        <v>653</v>
      </c>
      <c r="E293" s="48" t="s">
        <v>111</v>
      </c>
      <c r="F293" s="49">
        <v>2.4E-2</v>
      </c>
      <c r="G293" s="48" t="s">
        <v>156</v>
      </c>
      <c r="H293" s="50" t="s">
        <v>646</v>
      </c>
    </row>
    <row r="294" spans="1:8" ht="13.5" hidden="1" customHeight="1">
      <c r="A294" s="47" t="s">
        <v>655</v>
      </c>
      <c r="B294" s="48"/>
      <c r="C294" s="48" t="s">
        <v>656</v>
      </c>
      <c r="D294" s="48" t="s">
        <v>655</v>
      </c>
      <c r="E294" s="48" t="s">
        <v>111</v>
      </c>
      <c r="F294" s="49">
        <v>0.02</v>
      </c>
      <c r="G294" s="48" t="s">
        <v>156</v>
      </c>
      <c r="H294" s="50" t="s">
        <v>646</v>
      </c>
    </row>
    <row r="295" spans="1:8" ht="13.5" hidden="1" customHeight="1">
      <c r="A295" s="47" t="s">
        <v>657</v>
      </c>
      <c r="B295" s="48"/>
      <c r="C295" s="48" t="s">
        <v>658</v>
      </c>
      <c r="D295" s="48" t="s">
        <v>657</v>
      </c>
      <c r="E295" s="48" t="s">
        <v>111</v>
      </c>
      <c r="F295" s="49">
        <v>1.4999999999999999E-2</v>
      </c>
      <c r="G295" s="48" t="s">
        <v>156</v>
      </c>
      <c r="H295" s="50" t="s">
        <v>646</v>
      </c>
    </row>
    <row r="296" spans="1:8" ht="13.5" hidden="1" customHeight="1">
      <c r="A296" s="47" t="s">
        <v>659</v>
      </c>
      <c r="B296" s="48"/>
      <c r="C296" s="48" t="s">
        <v>660</v>
      </c>
      <c r="D296" s="48" t="s">
        <v>659</v>
      </c>
      <c r="E296" s="48" t="s">
        <v>111</v>
      </c>
      <c r="F296" s="49">
        <v>0.01</v>
      </c>
      <c r="G296" s="48" t="s">
        <v>156</v>
      </c>
      <c r="H296" s="50" t="s">
        <v>646</v>
      </c>
    </row>
    <row r="297" spans="1:8" ht="13.5" hidden="1" customHeight="1">
      <c r="A297" s="47" t="s">
        <v>661</v>
      </c>
      <c r="B297" s="48"/>
      <c r="C297" s="48" t="s">
        <v>662</v>
      </c>
      <c r="D297" s="48" t="s">
        <v>661</v>
      </c>
      <c r="E297" s="48" t="s">
        <v>111</v>
      </c>
      <c r="F297" s="49">
        <v>2.8000000000000001E-2</v>
      </c>
      <c r="G297" s="48" t="s">
        <v>156</v>
      </c>
      <c r="H297" s="50" t="s">
        <v>646</v>
      </c>
    </row>
    <row r="298" spans="1:8" ht="13.5" hidden="1" customHeight="1">
      <c r="A298" s="47" t="s">
        <v>663</v>
      </c>
      <c r="B298" s="48"/>
      <c r="C298" s="48" t="s">
        <v>664</v>
      </c>
      <c r="D298" s="48" t="s">
        <v>663</v>
      </c>
      <c r="E298" s="48" t="s">
        <v>111</v>
      </c>
      <c r="F298" s="49">
        <v>1.4999999999999999E-2</v>
      </c>
      <c r="G298" s="48" t="s">
        <v>156</v>
      </c>
      <c r="H298" s="50" t="s">
        <v>646</v>
      </c>
    </row>
    <row r="299" spans="1:8" ht="13.5" hidden="1" customHeight="1">
      <c r="A299" s="47" t="s">
        <v>665</v>
      </c>
      <c r="B299" s="48"/>
      <c r="C299" s="48" t="s">
        <v>666</v>
      </c>
      <c r="D299" s="48" t="s">
        <v>665</v>
      </c>
      <c r="E299" s="48" t="s">
        <v>111</v>
      </c>
      <c r="F299" s="49">
        <v>8.1390000000000004E-3</v>
      </c>
      <c r="G299" s="48" t="s">
        <v>156</v>
      </c>
      <c r="H299" s="50" t="s">
        <v>667</v>
      </c>
    </row>
    <row r="300" spans="1:8" ht="13.5" hidden="1" customHeight="1">
      <c r="A300" s="47" t="s">
        <v>668</v>
      </c>
      <c r="B300" s="48"/>
      <c r="C300" s="48" t="s">
        <v>669</v>
      </c>
      <c r="D300" s="48" t="s">
        <v>668</v>
      </c>
      <c r="E300" s="48" t="s">
        <v>111</v>
      </c>
      <c r="F300" s="49">
        <v>0.08</v>
      </c>
      <c r="G300" s="48" t="s">
        <v>156</v>
      </c>
      <c r="H300" s="50" t="s">
        <v>667</v>
      </c>
    </row>
    <row r="301" spans="1:8" ht="13.5" hidden="1" customHeight="1">
      <c r="A301" s="47" t="s">
        <v>670</v>
      </c>
      <c r="B301" s="48"/>
      <c r="C301" s="48" t="s">
        <v>671</v>
      </c>
      <c r="D301" s="48" t="s">
        <v>670</v>
      </c>
      <c r="E301" s="48" t="s">
        <v>111</v>
      </c>
      <c r="F301" s="49">
        <v>1.2E-2</v>
      </c>
      <c r="G301" s="48" t="s">
        <v>156</v>
      </c>
      <c r="H301" s="50" t="s">
        <v>667</v>
      </c>
    </row>
    <row r="302" spans="1:8" ht="13.5" hidden="1" customHeight="1">
      <c r="A302" s="47" t="s">
        <v>672</v>
      </c>
      <c r="B302" s="48"/>
      <c r="C302" s="48" t="s">
        <v>673</v>
      </c>
      <c r="D302" s="48" t="s">
        <v>672</v>
      </c>
      <c r="E302" s="48" t="s">
        <v>111</v>
      </c>
      <c r="F302" s="49">
        <v>3.5424999999999998E-2</v>
      </c>
      <c r="G302" s="48" t="s">
        <v>156</v>
      </c>
      <c r="H302" s="50" t="s">
        <v>667</v>
      </c>
    </row>
    <row r="303" spans="1:8" ht="13.5" hidden="1" customHeight="1">
      <c r="A303" s="47" t="s">
        <v>16</v>
      </c>
      <c r="B303" s="48"/>
      <c r="C303" s="48" t="s">
        <v>674</v>
      </c>
      <c r="D303" s="48" t="s">
        <v>16</v>
      </c>
      <c r="E303" s="48" t="s">
        <v>111</v>
      </c>
      <c r="F303" s="49">
        <v>2.8000000000000001E-2</v>
      </c>
      <c r="G303" s="48" t="s">
        <v>156</v>
      </c>
      <c r="H303" s="50" t="s">
        <v>667</v>
      </c>
    </row>
    <row r="304" spans="1:8" ht="13.5" hidden="1" customHeight="1">
      <c r="A304" s="47" t="s">
        <v>675</v>
      </c>
      <c r="B304" s="48"/>
      <c r="C304" s="48" t="s">
        <v>676</v>
      </c>
      <c r="D304" s="48" t="s">
        <v>675</v>
      </c>
      <c r="E304" s="48" t="s">
        <v>111</v>
      </c>
      <c r="F304" s="49">
        <v>0.19315673289183219</v>
      </c>
      <c r="G304" s="48" t="s">
        <v>156</v>
      </c>
      <c r="H304" s="50" t="s">
        <v>667</v>
      </c>
    </row>
    <row r="305" spans="1:8" ht="13.5" hidden="1" customHeight="1">
      <c r="A305" s="47" t="s">
        <v>55</v>
      </c>
      <c r="B305" s="48"/>
      <c r="C305" s="48" t="s">
        <v>677</v>
      </c>
      <c r="D305" s="48" t="s">
        <v>55</v>
      </c>
      <c r="E305" s="48" t="s">
        <v>111</v>
      </c>
      <c r="F305" s="49">
        <v>2.8000000000000001E-2</v>
      </c>
      <c r="G305" s="48" t="s">
        <v>156</v>
      </c>
      <c r="H305" s="50" t="s">
        <v>667</v>
      </c>
    </row>
    <row r="306" spans="1:8" ht="13.5" hidden="1" customHeight="1">
      <c r="A306" s="47" t="s">
        <v>678</v>
      </c>
      <c r="B306" s="48"/>
      <c r="C306" s="48" t="s">
        <v>679</v>
      </c>
      <c r="D306" s="48" t="s">
        <v>678</v>
      </c>
      <c r="E306" s="48" t="s">
        <v>111</v>
      </c>
      <c r="F306" s="49">
        <v>0.03</v>
      </c>
      <c r="G306" s="48" t="s">
        <v>156</v>
      </c>
      <c r="H306" s="50" t="s">
        <v>667</v>
      </c>
    </row>
    <row r="307" spans="1:8" ht="13.5" hidden="1" customHeight="1">
      <c r="A307" s="47" t="s">
        <v>680</v>
      </c>
      <c r="B307" s="48"/>
      <c r="C307" s="48" t="s">
        <v>681</v>
      </c>
      <c r="D307" s="48" t="s">
        <v>680</v>
      </c>
      <c r="E307" s="48" t="s">
        <v>111</v>
      </c>
      <c r="F307" s="49">
        <v>3.7999999999999999E-2</v>
      </c>
      <c r="G307" s="48" t="s">
        <v>156</v>
      </c>
      <c r="H307" s="50" t="s">
        <v>667</v>
      </c>
    </row>
    <row r="308" spans="1:8" ht="13.5" hidden="1" customHeight="1">
      <c r="A308" s="47" t="s">
        <v>34</v>
      </c>
      <c r="B308" s="48"/>
      <c r="C308" s="48" t="s">
        <v>682</v>
      </c>
      <c r="D308" s="48" t="s">
        <v>34</v>
      </c>
      <c r="E308" s="48" t="s">
        <v>111</v>
      </c>
      <c r="F308" s="49">
        <v>0.05</v>
      </c>
      <c r="G308" s="48" t="s">
        <v>156</v>
      </c>
      <c r="H308" s="50" t="s">
        <v>667</v>
      </c>
    </row>
    <row r="309" spans="1:8" ht="13.5" hidden="1" customHeight="1">
      <c r="A309" s="47" t="s">
        <v>683</v>
      </c>
      <c r="B309" s="48"/>
      <c r="C309" s="48" t="s">
        <v>684</v>
      </c>
      <c r="D309" s="48" t="s">
        <v>683</v>
      </c>
      <c r="E309" s="48" t="s">
        <v>111</v>
      </c>
      <c r="F309" s="49">
        <v>7.963636363636363E-2</v>
      </c>
      <c r="G309" s="48" t="s">
        <v>156</v>
      </c>
      <c r="H309" s="50" t="s">
        <v>667</v>
      </c>
    </row>
    <row r="310" spans="1:8" ht="13.5" hidden="1" customHeight="1">
      <c r="A310" s="47" t="s">
        <v>685</v>
      </c>
      <c r="B310" s="48"/>
      <c r="C310" s="48" t="s">
        <v>686</v>
      </c>
      <c r="D310" s="48" t="s">
        <v>685</v>
      </c>
      <c r="E310" s="48" t="s">
        <v>111</v>
      </c>
      <c r="F310" s="49">
        <v>3.2689999999999997E-2</v>
      </c>
      <c r="G310" s="48" t="s">
        <v>156</v>
      </c>
      <c r="H310" s="50" t="s">
        <v>667</v>
      </c>
    </row>
    <row r="311" spans="1:8" ht="13.5" hidden="1" customHeight="1">
      <c r="A311" s="47" t="s">
        <v>37</v>
      </c>
      <c r="B311" s="48"/>
      <c r="C311" s="48" t="s">
        <v>687</v>
      </c>
      <c r="D311" s="48" t="s">
        <v>37</v>
      </c>
      <c r="E311" s="48" t="s">
        <v>111</v>
      </c>
      <c r="F311" s="49">
        <v>1.6E-2</v>
      </c>
      <c r="G311" s="48" t="s">
        <v>156</v>
      </c>
      <c r="H311" s="50" t="s">
        <v>667</v>
      </c>
    </row>
    <row r="312" spans="1:8" ht="13.5" hidden="1" customHeight="1">
      <c r="A312" s="47" t="s">
        <v>688</v>
      </c>
      <c r="B312" s="48"/>
      <c r="C312" s="48" t="s">
        <v>689</v>
      </c>
      <c r="D312" s="48" t="s">
        <v>688</v>
      </c>
      <c r="E312" s="48" t="s">
        <v>111</v>
      </c>
      <c r="F312" s="49">
        <v>3.2000000000000001E-2</v>
      </c>
      <c r="G312" s="48" t="s">
        <v>156</v>
      </c>
      <c r="H312" s="50" t="s">
        <v>667</v>
      </c>
    </row>
    <row r="313" spans="1:8" ht="13.5" hidden="1" customHeight="1">
      <c r="A313" s="47" t="s">
        <v>690</v>
      </c>
      <c r="B313" s="48"/>
      <c r="C313" s="48" t="s">
        <v>691</v>
      </c>
      <c r="D313" s="48" t="s">
        <v>690</v>
      </c>
      <c r="E313" s="48" t="s">
        <v>111</v>
      </c>
      <c r="F313" s="49">
        <v>1.04E-2</v>
      </c>
      <c r="G313" s="48" t="s">
        <v>156</v>
      </c>
      <c r="H313" s="50" t="s">
        <v>667</v>
      </c>
    </row>
    <row r="314" spans="1:8" ht="13.5" hidden="1" customHeight="1">
      <c r="A314" s="47" t="s">
        <v>692</v>
      </c>
      <c r="B314" s="48"/>
      <c r="C314" s="48" t="s">
        <v>693</v>
      </c>
      <c r="D314" s="48" t="s">
        <v>692</v>
      </c>
      <c r="E314" s="48" t="s">
        <v>111</v>
      </c>
      <c r="F314" s="49">
        <v>3.7999999999999999E-2</v>
      </c>
      <c r="G314" s="48" t="s">
        <v>156</v>
      </c>
      <c r="H314" s="50" t="s">
        <v>667</v>
      </c>
    </row>
    <row r="315" spans="1:8" ht="13.5" hidden="1" customHeight="1">
      <c r="A315" s="47" t="s">
        <v>694</v>
      </c>
      <c r="B315" s="48"/>
      <c r="C315" s="48" t="s">
        <v>695</v>
      </c>
      <c r="D315" s="48" t="s">
        <v>694</v>
      </c>
      <c r="E315" s="48" t="s">
        <v>111</v>
      </c>
      <c r="F315" s="49">
        <v>4.4999999999999998E-2</v>
      </c>
      <c r="G315" s="48" t="s">
        <v>156</v>
      </c>
      <c r="H315" s="50" t="s">
        <v>667</v>
      </c>
    </row>
    <row r="316" spans="1:8" hidden="1">
      <c r="A316" s="47" t="s">
        <v>696</v>
      </c>
      <c r="B316" s="48"/>
      <c r="C316" s="48" t="s">
        <v>697</v>
      </c>
      <c r="D316" s="48" t="s">
        <v>696</v>
      </c>
      <c r="E316" s="48" t="s">
        <v>111</v>
      </c>
      <c r="F316" s="49">
        <v>2.5999999999999999E-2</v>
      </c>
      <c r="G316" s="48" t="s">
        <v>156</v>
      </c>
      <c r="H316" s="50" t="s">
        <v>667</v>
      </c>
    </row>
    <row r="317" spans="1:8" hidden="1">
      <c r="A317" s="47" t="s">
        <v>48</v>
      </c>
      <c r="B317" s="48"/>
      <c r="C317" s="48" t="s">
        <v>698</v>
      </c>
      <c r="D317" s="48" t="s">
        <v>48</v>
      </c>
      <c r="E317" s="48" t="s">
        <v>111</v>
      </c>
      <c r="F317" s="49">
        <v>4.8000000000000001E-2</v>
      </c>
      <c r="G317" s="48" t="s">
        <v>156</v>
      </c>
      <c r="H317" s="50" t="s">
        <v>667</v>
      </c>
    </row>
    <row r="318" spans="1:8" hidden="1">
      <c r="A318" s="47" t="s">
        <v>699</v>
      </c>
      <c r="B318" s="48"/>
      <c r="C318" s="48" t="s">
        <v>700</v>
      </c>
      <c r="D318" s="48" t="s">
        <v>699</v>
      </c>
      <c r="E318" s="48" t="s">
        <v>111</v>
      </c>
      <c r="F318" s="49">
        <v>3.3039647577092511E-2</v>
      </c>
      <c r="G318" s="48" t="s">
        <v>156</v>
      </c>
      <c r="H318" s="50" t="s">
        <v>667</v>
      </c>
    </row>
    <row r="319" spans="1:8" hidden="1">
      <c r="A319" s="47" t="s">
        <v>701</v>
      </c>
      <c r="B319" s="48"/>
      <c r="C319" s="48" t="s">
        <v>702</v>
      </c>
      <c r="D319" s="48" t="s">
        <v>701</v>
      </c>
      <c r="E319" s="48" t="s">
        <v>111</v>
      </c>
      <c r="F319" s="49">
        <v>8.5000000000000006E-2</v>
      </c>
      <c r="G319" s="48" t="s">
        <v>156</v>
      </c>
      <c r="H319" s="50" t="s">
        <v>667</v>
      </c>
    </row>
    <row r="320" spans="1:8" hidden="1">
      <c r="A320" s="47" t="s">
        <v>41</v>
      </c>
      <c r="B320" s="48"/>
      <c r="C320" s="48" t="s">
        <v>703</v>
      </c>
      <c r="D320" s="48" t="s">
        <v>41</v>
      </c>
      <c r="E320" s="48" t="s">
        <v>111</v>
      </c>
      <c r="F320" s="49">
        <v>2.5000000000000001E-2</v>
      </c>
      <c r="G320" s="48" t="s">
        <v>156</v>
      </c>
      <c r="H320" s="50" t="s">
        <v>667</v>
      </c>
    </row>
    <row r="321" spans="1:8" hidden="1">
      <c r="A321" s="47" t="s">
        <v>35</v>
      </c>
      <c r="B321" s="48"/>
      <c r="C321" s="48" t="s">
        <v>704</v>
      </c>
      <c r="D321" s="48" t="s">
        <v>35</v>
      </c>
      <c r="E321" s="48" t="s">
        <v>111</v>
      </c>
      <c r="F321" s="49">
        <v>2.8000000000000001E-2</v>
      </c>
      <c r="G321" s="48" t="s">
        <v>156</v>
      </c>
      <c r="H321" s="50" t="s">
        <v>667</v>
      </c>
    </row>
    <row r="322" spans="1:8" hidden="1">
      <c r="A322" s="47" t="s">
        <v>705</v>
      </c>
      <c r="B322" s="48"/>
      <c r="C322" s="48" t="s">
        <v>706</v>
      </c>
      <c r="D322" s="48" t="s">
        <v>705</v>
      </c>
      <c r="E322" s="48" t="s">
        <v>111</v>
      </c>
      <c r="F322" s="49">
        <v>2.5000000000000001E-2</v>
      </c>
      <c r="G322" s="48" t="s">
        <v>156</v>
      </c>
      <c r="H322" s="50" t="s">
        <v>667</v>
      </c>
    </row>
    <row r="323" spans="1:8" hidden="1">
      <c r="A323" s="47" t="s">
        <v>707</v>
      </c>
      <c r="B323" s="48"/>
      <c r="C323" s="48" t="s">
        <v>708</v>
      </c>
      <c r="D323" s="48" t="s">
        <v>707</v>
      </c>
      <c r="E323" s="48" t="s">
        <v>111</v>
      </c>
      <c r="F323" s="49">
        <v>8.6999999999999994E-2</v>
      </c>
      <c r="G323" s="48" t="s">
        <v>156</v>
      </c>
      <c r="H323" s="50" t="s">
        <v>667</v>
      </c>
    </row>
    <row r="324" spans="1:8" hidden="1">
      <c r="A324" s="47" t="s">
        <v>709</v>
      </c>
      <c r="B324" s="48"/>
      <c r="C324" s="48" t="s">
        <v>710</v>
      </c>
      <c r="D324" s="48" t="s">
        <v>709</v>
      </c>
      <c r="E324" s="48" t="s">
        <v>111</v>
      </c>
      <c r="F324" s="49">
        <v>3.5000000000000003E-2</v>
      </c>
      <c r="G324" s="48" t="s">
        <v>156</v>
      </c>
      <c r="H324" s="50" t="s">
        <v>667</v>
      </c>
    </row>
    <row r="325" spans="1:8" hidden="1">
      <c r="A325" s="47" t="s">
        <v>50</v>
      </c>
      <c r="B325" s="48"/>
      <c r="C325" s="48" t="s">
        <v>711</v>
      </c>
      <c r="D325" s="48" t="s">
        <v>50</v>
      </c>
      <c r="E325" s="48" t="s">
        <v>111</v>
      </c>
      <c r="F325" s="49">
        <v>7.9199999999999993E-2</v>
      </c>
      <c r="G325" s="48" t="s">
        <v>156</v>
      </c>
      <c r="H325" s="50" t="s">
        <v>667</v>
      </c>
    </row>
    <row r="326" spans="1:8" hidden="1">
      <c r="A326" s="47" t="s">
        <v>47</v>
      </c>
      <c r="B326" s="48"/>
      <c r="C326" s="48" t="s">
        <v>712</v>
      </c>
      <c r="D326" s="48" t="s">
        <v>47</v>
      </c>
      <c r="E326" s="48" t="s">
        <v>111</v>
      </c>
      <c r="F326" s="49">
        <v>1.6E-2</v>
      </c>
      <c r="G326" s="48" t="s">
        <v>156</v>
      </c>
      <c r="H326" s="50" t="s">
        <v>667</v>
      </c>
    </row>
    <row r="327" spans="1:8" hidden="1">
      <c r="A327" s="47" t="s">
        <v>713</v>
      </c>
      <c r="B327" s="48"/>
      <c r="C327" s="48" t="s">
        <v>714</v>
      </c>
      <c r="D327" s="48" t="s">
        <v>713</v>
      </c>
      <c r="E327" s="48" t="s">
        <v>111</v>
      </c>
      <c r="F327" s="49">
        <v>2.1739999999999999E-2</v>
      </c>
      <c r="G327" s="48" t="s">
        <v>156</v>
      </c>
      <c r="H327" s="50" t="s">
        <v>667</v>
      </c>
    </row>
    <row r="328" spans="1:8" hidden="1">
      <c r="A328" s="47" t="s">
        <v>715</v>
      </c>
      <c r="B328" s="48"/>
      <c r="C328" s="48" t="s">
        <v>716</v>
      </c>
      <c r="D328" s="48" t="s">
        <v>715</v>
      </c>
      <c r="E328" s="48" t="s">
        <v>111</v>
      </c>
      <c r="F328" s="49">
        <v>0.13</v>
      </c>
      <c r="G328" s="48" t="s">
        <v>156</v>
      </c>
      <c r="H328" s="50" t="s">
        <v>667</v>
      </c>
    </row>
    <row r="329" spans="1:8" hidden="1">
      <c r="A329" s="47" t="s">
        <v>717</v>
      </c>
      <c r="B329" s="48"/>
      <c r="C329" s="48" t="s">
        <v>718</v>
      </c>
      <c r="D329" s="48" t="s">
        <v>717</v>
      </c>
      <c r="E329" s="48" t="s">
        <v>111</v>
      </c>
      <c r="F329" s="49">
        <v>0.16</v>
      </c>
      <c r="G329" s="48" t="s">
        <v>156</v>
      </c>
      <c r="H329" s="50" t="s">
        <v>667</v>
      </c>
    </row>
    <row r="330" spans="1:8" hidden="1">
      <c r="A330" s="47" t="s">
        <v>17</v>
      </c>
      <c r="B330" s="48"/>
      <c r="C330" s="48" t="s">
        <v>719</v>
      </c>
      <c r="D330" s="48" t="s">
        <v>17</v>
      </c>
      <c r="E330" s="48" t="s">
        <v>111</v>
      </c>
      <c r="F330" s="49">
        <v>0.02</v>
      </c>
      <c r="G330" s="48" t="s">
        <v>156</v>
      </c>
      <c r="H330" s="50" t="s">
        <v>667</v>
      </c>
    </row>
    <row r="331" spans="1:8" hidden="1">
      <c r="A331" s="47" t="s">
        <v>720</v>
      </c>
      <c r="B331" s="48"/>
      <c r="C331" s="48" t="s">
        <v>721</v>
      </c>
      <c r="D331" s="48" t="s">
        <v>720</v>
      </c>
      <c r="E331" s="48" t="s">
        <v>111</v>
      </c>
      <c r="F331" s="49">
        <v>5.5E-2</v>
      </c>
      <c r="G331" s="48" t="s">
        <v>156</v>
      </c>
      <c r="H331" s="50" t="s">
        <v>667</v>
      </c>
    </row>
    <row r="332" spans="1:8" hidden="1">
      <c r="A332" s="47" t="s">
        <v>27</v>
      </c>
      <c r="B332" s="48"/>
      <c r="C332" s="48" t="s">
        <v>722</v>
      </c>
      <c r="D332" s="48" t="s">
        <v>27</v>
      </c>
      <c r="E332" s="48" t="s">
        <v>111</v>
      </c>
      <c r="F332" s="49">
        <v>1.4E-2</v>
      </c>
      <c r="G332" s="48" t="s">
        <v>156</v>
      </c>
      <c r="H332" s="50" t="s">
        <v>667</v>
      </c>
    </row>
    <row r="333" spans="1:8" hidden="1">
      <c r="A333" s="47" t="s">
        <v>723</v>
      </c>
      <c r="B333" s="48"/>
      <c r="C333" s="48" t="s">
        <v>724</v>
      </c>
      <c r="D333" s="48" t="s">
        <v>723</v>
      </c>
      <c r="E333" s="48" t="s">
        <v>111</v>
      </c>
      <c r="F333" s="49">
        <v>1.4E-2</v>
      </c>
      <c r="G333" s="48" t="s">
        <v>156</v>
      </c>
      <c r="H333" s="50" t="s">
        <v>667</v>
      </c>
    </row>
    <row r="334" spans="1:8" hidden="1">
      <c r="A334" s="47" t="s">
        <v>60</v>
      </c>
      <c r="B334" s="48"/>
      <c r="C334" s="48" t="s">
        <v>725</v>
      </c>
      <c r="D334" s="48" t="s">
        <v>60</v>
      </c>
      <c r="E334" s="48" t="s">
        <v>111</v>
      </c>
      <c r="F334" s="49">
        <v>2.8000000000000001E-2</v>
      </c>
      <c r="G334" s="48" t="s">
        <v>156</v>
      </c>
      <c r="H334" s="50" t="s">
        <v>667</v>
      </c>
    </row>
    <row r="335" spans="1:8" hidden="1">
      <c r="A335" s="47" t="s">
        <v>726</v>
      </c>
      <c r="B335" s="48"/>
      <c r="C335" s="48" t="s">
        <v>727</v>
      </c>
      <c r="D335" s="48" t="s">
        <v>726</v>
      </c>
      <c r="E335" s="48" t="s">
        <v>111</v>
      </c>
      <c r="F335" s="49">
        <v>0.03</v>
      </c>
      <c r="G335" s="48" t="s">
        <v>156</v>
      </c>
      <c r="H335" s="50" t="s">
        <v>667</v>
      </c>
    </row>
    <row r="336" spans="1:8" hidden="1">
      <c r="A336" s="47" t="s">
        <v>728</v>
      </c>
      <c r="B336" s="48"/>
      <c r="C336" s="48" t="s">
        <v>729</v>
      </c>
      <c r="D336" s="48" t="s">
        <v>728</v>
      </c>
      <c r="E336" s="48" t="s">
        <v>111</v>
      </c>
      <c r="F336" s="49">
        <v>1.4E-2</v>
      </c>
      <c r="G336" s="48" t="s">
        <v>156</v>
      </c>
      <c r="H336" s="50" t="s">
        <v>667</v>
      </c>
    </row>
    <row r="337" spans="1:8" hidden="1">
      <c r="A337" s="47" t="s">
        <v>18</v>
      </c>
      <c r="B337" s="48"/>
      <c r="C337" s="48" t="s">
        <v>730</v>
      </c>
      <c r="D337" s="48" t="s">
        <v>18</v>
      </c>
      <c r="E337" s="48" t="s">
        <v>111</v>
      </c>
      <c r="F337" s="49">
        <v>3.5999999999999997E-2</v>
      </c>
      <c r="G337" s="48" t="s">
        <v>156</v>
      </c>
      <c r="H337" s="50" t="s">
        <v>667</v>
      </c>
    </row>
    <row r="338" spans="1:8" hidden="1">
      <c r="A338" s="47" t="s">
        <v>25</v>
      </c>
      <c r="B338" s="48"/>
      <c r="C338" s="48" t="s">
        <v>731</v>
      </c>
      <c r="D338" s="48" t="s">
        <v>25</v>
      </c>
      <c r="E338" s="48" t="s">
        <v>111</v>
      </c>
      <c r="F338" s="49">
        <v>3.5000000000000003E-2</v>
      </c>
      <c r="G338" s="48" t="s">
        <v>156</v>
      </c>
      <c r="H338" s="50" t="s">
        <v>667</v>
      </c>
    </row>
    <row r="339" spans="1:8" hidden="1">
      <c r="A339" s="47" t="s">
        <v>732</v>
      </c>
      <c r="B339" s="48"/>
      <c r="C339" s="48" t="s">
        <v>733</v>
      </c>
      <c r="D339" s="48" t="s">
        <v>732</v>
      </c>
      <c r="E339" s="48" t="s">
        <v>111</v>
      </c>
      <c r="F339" s="49">
        <v>8.0000000000000002E-3</v>
      </c>
      <c r="G339" s="48" t="s">
        <v>156</v>
      </c>
      <c r="H339" s="50" t="s">
        <v>667</v>
      </c>
    </row>
    <row r="340" spans="1:8" hidden="1">
      <c r="A340" s="47" t="s">
        <v>734</v>
      </c>
      <c r="B340" s="48"/>
      <c r="C340" s="48" t="s">
        <v>735</v>
      </c>
      <c r="D340" s="48" t="s">
        <v>734</v>
      </c>
      <c r="E340" s="48" t="s">
        <v>111</v>
      </c>
      <c r="F340" s="49">
        <v>2.1100000000000001E-2</v>
      </c>
      <c r="G340" s="48" t="s">
        <v>156</v>
      </c>
      <c r="H340" s="50" t="s">
        <v>667</v>
      </c>
    </row>
    <row r="341" spans="1:8" hidden="1">
      <c r="A341" s="47" t="s">
        <v>736</v>
      </c>
      <c r="B341" s="48"/>
      <c r="C341" s="48" t="s">
        <v>737</v>
      </c>
      <c r="D341" s="48" t="s">
        <v>736</v>
      </c>
      <c r="E341" s="48" t="s">
        <v>111</v>
      </c>
      <c r="F341" s="49">
        <v>0.03</v>
      </c>
      <c r="G341" s="48" t="s">
        <v>156</v>
      </c>
      <c r="H341" s="50" t="s">
        <v>667</v>
      </c>
    </row>
    <row r="342" spans="1:8">
      <c r="A342" s="47" t="s">
        <v>738</v>
      </c>
      <c r="B342" s="48"/>
      <c r="C342" s="48" t="s">
        <v>1683</v>
      </c>
      <c r="D342" s="48" t="s">
        <v>738</v>
      </c>
      <c r="E342" s="48" t="s">
        <v>111</v>
      </c>
      <c r="F342" s="49">
        <v>5.0000000000000001E-3</v>
      </c>
      <c r="G342" s="48" t="s">
        <v>156</v>
      </c>
      <c r="H342" s="50" t="s">
        <v>667</v>
      </c>
    </row>
    <row r="343" spans="1:8" hidden="1">
      <c r="A343" s="47" t="s">
        <v>49</v>
      </c>
      <c r="B343" s="48"/>
      <c r="C343" s="48" t="s">
        <v>739</v>
      </c>
      <c r="D343" s="48" t="s">
        <v>49</v>
      </c>
      <c r="E343" s="48" t="s">
        <v>111</v>
      </c>
      <c r="F343" s="49">
        <v>2.1999999999999999E-2</v>
      </c>
      <c r="G343" s="48" t="s">
        <v>156</v>
      </c>
      <c r="H343" s="50" t="s">
        <v>740</v>
      </c>
    </row>
    <row r="344" spans="1:8" hidden="1">
      <c r="A344" s="47" t="s">
        <v>741</v>
      </c>
      <c r="B344" s="48"/>
      <c r="C344" s="48" t="s">
        <v>742</v>
      </c>
      <c r="D344" s="48" t="s">
        <v>741</v>
      </c>
      <c r="E344" s="48" t="s">
        <v>111</v>
      </c>
      <c r="F344" s="49">
        <v>2.1411245865490629E-2</v>
      </c>
      <c r="G344" s="48" t="s">
        <v>156</v>
      </c>
      <c r="H344" s="50" t="s">
        <v>740</v>
      </c>
    </row>
    <row r="345" spans="1:8" hidden="1">
      <c r="A345" s="47" t="s">
        <v>1402</v>
      </c>
      <c r="B345" s="48"/>
      <c r="C345" s="48" t="s">
        <v>1403</v>
      </c>
      <c r="D345" s="48" t="s">
        <v>1402</v>
      </c>
      <c r="E345" s="48" t="s">
        <v>111</v>
      </c>
      <c r="F345" s="49">
        <v>3.3329999999999999E-2</v>
      </c>
      <c r="G345" s="48" t="s">
        <v>156</v>
      </c>
      <c r="H345" s="50" t="s">
        <v>740</v>
      </c>
    </row>
    <row r="346" spans="1:8" hidden="1">
      <c r="A346" s="47" t="s">
        <v>743</v>
      </c>
      <c r="B346" s="48"/>
      <c r="C346" s="48" t="s">
        <v>744</v>
      </c>
      <c r="D346" s="48" t="s">
        <v>743</v>
      </c>
      <c r="E346" s="48" t="s">
        <v>14</v>
      </c>
      <c r="F346" s="49">
        <v>3.5000000000000003E-2</v>
      </c>
      <c r="G346" s="48" t="s">
        <v>156</v>
      </c>
      <c r="H346" s="50" t="s">
        <v>740</v>
      </c>
    </row>
    <row r="347" spans="1:8" hidden="1">
      <c r="A347" s="47" t="s">
        <v>745</v>
      </c>
      <c r="B347" s="48"/>
      <c r="C347" s="48" t="s">
        <v>746</v>
      </c>
      <c r="D347" s="48" t="s">
        <v>745</v>
      </c>
      <c r="E347" s="48" t="s">
        <v>14</v>
      </c>
      <c r="F347" s="49">
        <v>3.5000000000000003E-2</v>
      </c>
      <c r="G347" s="48" t="s">
        <v>156</v>
      </c>
      <c r="H347" s="50" t="s">
        <v>740</v>
      </c>
    </row>
    <row r="348" spans="1:8" ht="15" hidden="1" customHeight="1">
      <c r="A348" s="47" t="s">
        <v>747</v>
      </c>
      <c r="B348" s="48"/>
      <c r="C348" s="48" t="s">
        <v>748</v>
      </c>
      <c r="D348" s="48" t="s">
        <v>747</v>
      </c>
      <c r="E348" s="48" t="s">
        <v>14</v>
      </c>
      <c r="F348" s="49">
        <v>0.20419999999999999</v>
      </c>
      <c r="G348" s="48" t="s">
        <v>156</v>
      </c>
      <c r="H348" s="50" t="s">
        <v>740</v>
      </c>
    </row>
    <row r="349" spans="1:8" ht="15" hidden="1" customHeight="1">
      <c r="A349" s="47" t="s">
        <v>1404</v>
      </c>
      <c r="B349" s="48"/>
      <c r="C349" s="48" t="s">
        <v>1405</v>
      </c>
      <c r="D349" s="48" t="s">
        <v>1404</v>
      </c>
      <c r="E349" s="48" t="s">
        <v>111</v>
      </c>
      <c r="F349" s="49">
        <v>1.6000000000000001E-4</v>
      </c>
      <c r="G349" s="48"/>
      <c r="H349" s="50"/>
    </row>
    <row r="350" spans="1:8" ht="15" hidden="1" customHeight="1">
      <c r="A350" s="47" t="s">
        <v>749</v>
      </c>
      <c r="B350" s="48"/>
      <c r="C350" s="48" t="s">
        <v>750</v>
      </c>
      <c r="D350" s="48" t="s">
        <v>749</v>
      </c>
      <c r="E350" s="48" t="s">
        <v>111</v>
      </c>
      <c r="F350" s="49">
        <v>7.0849999999999996E-2</v>
      </c>
      <c r="G350" s="48" t="s">
        <v>156</v>
      </c>
      <c r="H350" s="50" t="s">
        <v>740</v>
      </c>
    </row>
    <row r="351" spans="1:8" ht="15" hidden="1" customHeight="1">
      <c r="A351" s="47" t="s">
        <v>751</v>
      </c>
      <c r="B351" s="48"/>
      <c r="C351" s="48" t="s">
        <v>752</v>
      </c>
      <c r="D351" s="48" t="s">
        <v>751</v>
      </c>
      <c r="E351" s="48" t="s">
        <v>111</v>
      </c>
      <c r="F351" s="49">
        <v>9.1931216931216923E-3</v>
      </c>
      <c r="G351" s="48" t="s">
        <v>156</v>
      </c>
      <c r="H351" s="50" t="s">
        <v>753</v>
      </c>
    </row>
    <row r="352" spans="1:8" ht="15" hidden="1" customHeight="1">
      <c r="A352" s="47" t="s">
        <v>46</v>
      </c>
      <c r="B352" s="48"/>
      <c r="C352" s="48" t="s">
        <v>754</v>
      </c>
      <c r="D352" s="48" t="s">
        <v>46</v>
      </c>
      <c r="E352" s="48" t="s">
        <v>111</v>
      </c>
      <c r="F352" s="49">
        <v>3.5000000000000001E-3</v>
      </c>
      <c r="G352" s="48" t="s">
        <v>156</v>
      </c>
      <c r="H352" s="50" t="s">
        <v>753</v>
      </c>
    </row>
    <row r="353" spans="1:8" ht="15" hidden="1" customHeight="1">
      <c r="A353" s="47" t="s">
        <v>755</v>
      </c>
      <c r="B353" s="48"/>
      <c r="C353" s="48" t="s">
        <v>756</v>
      </c>
      <c r="D353" s="48" t="s">
        <v>755</v>
      </c>
      <c r="E353" s="48" t="s">
        <v>14</v>
      </c>
      <c r="F353" s="49">
        <v>4.8000000000000001E-2</v>
      </c>
      <c r="G353" s="48" t="s">
        <v>156</v>
      </c>
      <c r="H353" s="50" t="s">
        <v>753</v>
      </c>
    </row>
    <row r="354" spans="1:8" ht="15" hidden="1" customHeight="1">
      <c r="A354" s="47" t="s">
        <v>757</v>
      </c>
      <c r="B354" s="48"/>
      <c r="C354" s="48" t="s">
        <v>758</v>
      </c>
      <c r="D354" s="48" t="s">
        <v>757</v>
      </c>
      <c r="E354" s="48" t="s">
        <v>111</v>
      </c>
      <c r="F354" s="49">
        <v>6.4814814814814813E-3</v>
      </c>
      <c r="G354" s="48" t="s">
        <v>156</v>
      </c>
      <c r="H354" s="50" t="s">
        <v>753</v>
      </c>
    </row>
    <row r="355" spans="1:8" ht="15" hidden="1" customHeight="1">
      <c r="A355" s="47" t="s">
        <v>759</v>
      </c>
      <c r="B355" s="48"/>
      <c r="C355" s="48" t="s">
        <v>760</v>
      </c>
      <c r="D355" s="48" t="s">
        <v>759</v>
      </c>
      <c r="E355" s="48" t="s">
        <v>161</v>
      </c>
      <c r="F355" s="49">
        <v>2.8660000000000001E-2</v>
      </c>
      <c r="G355" s="48" t="s">
        <v>156</v>
      </c>
      <c r="H355" s="50" t="s">
        <v>753</v>
      </c>
    </row>
    <row r="356" spans="1:8" ht="15" hidden="1" customHeight="1">
      <c r="A356" s="47" t="s">
        <v>761</v>
      </c>
      <c r="B356" s="48"/>
      <c r="C356" s="48" t="s">
        <v>762</v>
      </c>
      <c r="D356" s="48" t="s">
        <v>761</v>
      </c>
      <c r="E356" s="48" t="s">
        <v>161</v>
      </c>
      <c r="F356" s="49">
        <v>1.9709090909090909E-2</v>
      </c>
      <c r="G356" s="48" t="s">
        <v>156</v>
      </c>
      <c r="H356" s="50" t="s">
        <v>753</v>
      </c>
    </row>
    <row r="357" spans="1:8" ht="15" hidden="1" customHeight="1">
      <c r="A357" s="47" t="s">
        <v>763</v>
      </c>
      <c r="B357" s="48"/>
      <c r="C357" s="48" t="s">
        <v>764</v>
      </c>
      <c r="D357" s="48" t="s">
        <v>763</v>
      </c>
      <c r="E357" s="48" t="s">
        <v>161</v>
      </c>
      <c r="F357" s="49">
        <v>1.204545454545455E-2</v>
      </c>
      <c r="G357" s="48" t="s">
        <v>156</v>
      </c>
      <c r="H357" s="50" t="s">
        <v>753</v>
      </c>
    </row>
    <row r="358" spans="1:8" ht="15" hidden="1" customHeight="1">
      <c r="A358" s="47" t="s">
        <v>765</v>
      </c>
      <c r="B358" s="48"/>
      <c r="C358" s="48" t="s">
        <v>766</v>
      </c>
      <c r="D358" s="48" t="s">
        <v>765</v>
      </c>
      <c r="E358" s="48" t="s">
        <v>161</v>
      </c>
      <c r="F358" s="49">
        <v>5.8016877637130796E-3</v>
      </c>
      <c r="G358" s="48" t="s">
        <v>156</v>
      </c>
      <c r="H358" s="50" t="s">
        <v>753</v>
      </c>
    </row>
    <row r="359" spans="1:8" ht="15" hidden="1" customHeight="1">
      <c r="A359" s="47" t="s">
        <v>767</v>
      </c>
      <c r="B359" s="48"/>
      <c r="C359" s="48" t="s">
        <v>768</v>
      </c>
      <c r="D359" s="48" t="s">
        <v>767</v>
      </c>
      <c r="E359" s="48" t="s">
        <v>161</v>
      </c>
      <c r="F359" s="49">
        <v>1.805E-2</v>
      </c>
      <c r="G359" s="48" t="s">
        <v>156</v>
      </c>
      <c r="H359" s="50" t="s">
        <v>753</v>
      </c>
    </row>
    <row r="360" spans="1:8" ht="15" hidden="1" customHeight="1">
      <c r="A360" s="47" t="s">
        <v>769</v>
      </c>
      <c r="B360" s="48"/>
      <c r="C360" s="48" t="s">
        <v>770</v>
      </c>
      <c r="D360" s="48" t="s">
        <v>769</v>
      </c>
      <c r="E360" s="48" t="s">
        <v>161</v>
      </c>
      <c r="F360" s="49">
        <v>1.488571428571429E-2</v>
      </c>
      <c r="G360" s="48" t="s">
        <v>156</v>
      </c>
      <c r="H360" s="53" t="s">
        <v>753</v>
      </c>
    </row>
    <row r="361" spans="1:8" ht="15" hidden="1" customHeight="1">
      <c r="A361" s="47" t="s">
        <v>771</v>
      </c>
      <c r="B361" s="48"/>
      <c r="C361" s="48" t="s">
        <v>772</v>
      </c>
      <c r="D361" s="48" t="s">
        <v>771</v>
      </c>
      <c r="E361" s="48" t="s">
        <v>161</v>
      </c>
      <c r="F361" s="49">
        <v>3.9548022598870053E-2</v>
      </c>
      <c r="G361" s="48" t="s">
        <v>156</v>
      </c>
      <c r="H361" s="53" t="s">
        <v>753</v>
      </c>
    </row>
    <row r="362" spans="1:8" ht="15" hidden="1" customHeight="1">
      <c r="A362" s="47" t="s">
        <v>773</v>
      </c>
      <c r="B362" s="48"/>
      <c r="C362" s="48" t="s">
        <v>774</v>
      </c>
      <c r="D362" s="48" t="s">
        <v>773</v>
      </c>
      <c r="E362" s="48" t="s">
        <v>161</v>
      </c>
      <c r="F362" s="49">
        <v>1.8518518518518521E-2</v>
      </c>
      <c r="G362" s="48" t="s">
        <v>156</v>
      </c>
      <c r="H362" s="53" t="s">
        <v>753</v>
      </c>
    </row>
    <row r="363" spans="1:8" ht="15" hidden="1" customHeight="1">
      <c r="A363" s="47" t="s">
        <v>775</v>
      </c>
      <c r="B363" s="48"/>
      <c r="C363" s="48" t="s">
        <v>776</v>
      </c>
      <c r="D363" s="48" t="s">
        <v>775</v>
      </c>
      <c r="E363" s="48" t="s">
        <v>161</v>
      </c>
      <c r="F363" s="49">
        <v>2.358E-2</v>
      </c>
      <c r="G363" s="48" t="s">
        <v>156</v>
      </c>
      <c r="H363" s="53" t="s">
        <v>753</v>
      </c>
    </row>
    <row r="364" spans="1:8" ht="15" hidden="1" customHeight="1">
      <c r="A364" s="47" t="s">
        <v>777</v>
      </c>
      <c r="B364" s="48"/>
      <c r="C364" s="48" t="s">
        <v>778</v>
      </c>
      <c r="D364" s="48" t="s">
        <v>777</v>
      </c>
      <c r="E364" s="48" t="s">
        <v>161</v>
      </c>
      <c r="F364" s="49">
        <v>2.3142857142857139E-2</v>
      </c>
      <c r="G364" s="48" t="s">
        <v>156</v>
      </c>
      <c r="H364" s="53" t="s">
        <v>753</v>
      </c>
    </row>
    <row r="365" spans="1:8" ht="15" hidden="1" customHeight="1">
      <c r="A365" s="47" t="s">
        <v>779</v>
      </c>
      <c r="B365" s="48"/>
      <c r="C365" s="48" t="s">
        <v>780</v>
      </c>
      <c r="D365" s="48" t="s">
        <v>779</v>
      </c>
      <c r="E365" s="48" t="s">
        <v>161</v>
      </c>
      <c r="F365" s="49">
        <v>1.473170731707317E-2</v>
      </c>
      <c r="G365" s="48" t="s">
        <v>156</v>
      </c>
      <c r="H365" s="53" t="s">
        <v>753</v>
      </c>
    </row>
    <row r="366" spans="1:8" ht="15" hidden="1" customHeight="1">
      <c r="A366" s="47" t="s">
        <v>781</v>
      </c>
      <c r="B366" s="48"/>
      <c r="C366" s="48" t="s">
        <v>782</v>
      </c>
      <c r="D366" s="48" t="s">
        <v>781</v>
      </c>
      <c r="E366" s="48" t="s">
        <v>161</v>
      </c>
      <c r="F366" s="49">
        <v>3.6723163841807911E-2</v>
      </c>
      <c r="G366" s="48" t="s">
        <v>156</v>
      </c>
      <c r="H366" s="53" t="s">
        <v>753</v>
      </c>
    </row>
    <row r="367" spans="1:8" ht="15" hidden="1" customHeight="1">
      <c r="A367" s="47" t="s">
        <v>54</v>
      </c>
      <c r="B367" s="48"/>
      <c r="C367" s="48" t="s">
        <v>783</v>
      </c>
      <c r="D367" s="48" t="s">
        <v>54</v>
      </c>
      <c r="E367" s="48" t="s">
        <v>161</v>
      </c>
      <c r="F367" s="49">
        <v>1.714285714285714E-2</v>
      </c>
      <c r="G367" s="48" t="s">
        <v>156</v>
      </c>
      <c r="H367" s="53" t="s">
        <v>753</v>
      </c>
    </row>
    <row r="368" spans="1:8" hidden="1">
      <c r="A368" s="47" t="s">
        <v>784</v>
      </c>
      <c r="B368" s="48"/>
      <c r="C368" s="48" t="s">
        <v>785</v>
      </c>
      <c r="D368" s="48" t="s">
        <v>784</v>
      </c>
      <c r="E368" s="48" t="s">
        <v>111</v>
      </c>
      <c r="F368" s="49">
        <v>1.0999999999999999E-2</v>
      </c>
      <c r="G368" s="48" t="s">
        <v>156</v>
      </c>
      <c r="H368" s="53" t="s">
        <v>753</v>
      </c>
    </row>
    <row r="369" spans="1:8" hidden="1">
      <c r="A369" s="47" t="s">
        <v>786</v>
      </c>
      <c r="B369" s="48"/>
      <c r="C369" s="48" t="s">
        <v>787</v>
      </c>
      <c r="D369" s="48" t="s">
        <v>786</v>
      </c>
      <c r="E369" s="48" t="s">
        <v>111</v>
      </c>
      <c r="F369" s="49">
        <v>3.2500000000000001E-2</v>
      </c>
      <c r="G369" s="48" t="s">
        <v>156</v>
      </c>
      <c r="H369" s="53" t="s">
        <v>753</v>
      </c>
    </row>
    <row r="370" spans="1:8" hidden="1">
      <c r="A370" s="47" t="s">
        <v>788</v>
      </c>
      <c r="B370" s="48"/>
      <c r="C370" s="48" t="s">
        <v>789</v>
      </c>
      <c r="D370" s="48" t="s">
        <v>788</v>
      </c>
      <c r="E370" s="48" t="s">
        <v>111</v>
      </c>
      <c r="F370" s="49">
        <v>0.14000000000000001</v>
      </c>
      <c r="G370" s="48" t="s">
        <v>156</v>
      </c>
      <c r="H370" s="53" t="s">
        <v>753</v>
      </c>
    </row>
    <row r="371" spans="1:8" hidden="1">
      <c r="A371" s="47" t="s">
        <v>57</v>
      </c>
      <c r="B371" s="48"/>
      <c r="C371" s="48" t="s">
        <v>790</v>
      </c>
      <c r="D371" s="48" t="s">
        <v>57</v>
      </c>
      <c r="E371" s="48" t="s">
        <v>161</v>
      </c>
      <c r="F371" s="49">
        <v>2.8340000000000001E-2</v>
      </c>
      <c r="G371" s="48" t="s">
        <v>156</v>
      </c>
      <c r="H371" s="53" t="s">
        <v>753</v>
      </c>
    </row>
    <row r="372" spans="1:8" hidden="1">
      <c r="A372" s="47" t="s">
        <v>791</v>
      </c>
      <c r="B372" s="48"/>
      <c r="C372" s="48" t="s">
        <v>792</v>
      </c>
      <c r="D372" s="48" t="s">
        <v>791</v>
      </c>
      <c r="E372" s="48" t="s">
        <v>161</v>
      </c>
      <c r="F372" s="49">
        <v>1.681E-3</v>
      </c>
      <c r="G372" s="48" t="s">
        <v>156</v>
      </c>
      <c r="H372" s="53" t="s">
        <v>753</v>
      </c>
    </row>
    <row r="373" spans="1:8" hidden="1">
      <c r="A373" s="47" t="s">
        <v>793</v>
      </c>
      <c r="B373" s="48"/>
      <c r="C373" s="48" t="s">
        <v>794</v>
      </c>
      <c r="D373" s="48" t="s">
        <v>793</v>
      </c>
      <c r="E373" s="48" t="s">
        <v>161</v>
      </c>
      <c r="F373" s="49">
        <v>2.3026315789473682E-3</v>
      </c>
      <c r="G373" s="48" t="s">
        <v>156</v>
      </c>
      <c r="H373" s="53" t="s">
        <v>753</v>
      </c>
    </row>
    <row r="374" spans="1:8" hidden="1">
      <c r="A374" s="47" t="s">
        <v>795</v>
      </c>
      <c r="B374" s="48"/>
      <c r="C374" s="48" t="s">
        <v>796</v>
      </c>
      <c r="D374" s="48" t="s">
        <v>795</v>
      </c>
      <c r="E374" s="48" t="s">
        <v>14</v>
      </c>
      <c r="F374" s="49">
        <v>2.39</v>
      </c>
      <c r="G374" s="48" t="s">
        <v>426</v>
      </c>
      <c r="H374" s="53" t="s">
        <v>797</v>
      </c>
    </row>
    <row r="375" spans="1:8" hidden="1">
      <c r="A375" s="47" t="s">
        <v>798</v>
      </c>
      <c r="B375" s="48"/>
      <c r="C375" s="48" t="s">
        <v>799</v>
      </c>
      <c r="D375" s="48" t="s">
        <v>798</v>
      </c>
      <c r="E375" s="48" t="s">
        <v>14</v>
      </c>
      <c r="F375" s="49">
        <v>2.39</v>
      </c>
      <c r="G375" s="48" t="s">
        <v>426</v>
      </c>
      <c r="H375" s="53" t="s">
        <v>797</v>
      </c>
    </row>
    <row r="376" spans="1:8" hidden="1">
      <c r="A376" s="47" t="s">
        <v>800</v>
      </c>
      <c r="B376" s="48"/>
      <c r="C376" s="48" t="s">
        <v>801</v>
      </c>
      <c r="D376" s="48" t="s">
        <v>800</v>
      </c>
      <c r="E376" s="48" t="s">
        <v>14</v>
      </c>
      <c r="F376" s="49">
        <v>2.39</v>
      </c>
      <c r="G376" s="48" t="s">
        <v>426</v>
      </c>
      <c r="H376" s="53" t="s">
        <v>797</v>
      </c>
    </row>
    <row r="377" spans="1:8" hidden="1">
      <c r="A377" s="47" t="s">
        <v>802</v>
      </c>
      <c r="B377" s="48"/>
      <c r="C377" s="48" t="s">
        <v>803</v>
      </c>
      <c r="D377" s="48" t="s">
        <v>802</v>
      </c>
      <c r="E377" s="48" t="s">
        <v>14</v>
      </c>
      <c r="F377" s="49">
        <v>2.39</v>
      </c>
      <c r="G377" s="48" t="s">
        <v>426</v>
      </c>
      <c r="H377" s="53" t="s">
        <v>797</v>
      </c>
    </row>
    <row r="378" spans="1:8" hidden="1">
      <c r="A378" s="47" t="s">
        <v>804</v>
      </c>
      <c r="B378" s="48"/>
      <c r="C378" s="48" t="s">
        <v>805</v>
      </c>
      <c r="D378" s="48" t="s">
        <v>804</v>
      </c>
      <c r="E378" s="48" t="s">
        <v>14</v>
      </c>
      <c r="F378" s="49">
        <v>2.17</v>
      </c>
      <c r="G378" s="48" t="s">
        <v>426</v>
      </c>
      <c r="H378" s="53" t="s">
        <v>797</v>
      </c>
    </row>
    <row r="379" spans="1:8" hidden="1">
      <c r="A379" s="47" t="s">
        <v>806</v>
      </c>
      <c r="B379" s="48"/>
      <c r="C379" s="48" t="s">
        <v>807</v>
      </c>
      <c r="D379" s="48" t="s">
        <v>806</v>
      </c>
      <c r="E379" s="48" t="s">
        <v>14</v>
      </c>
      <c r="F379" s="49">
        <v>1.63</v>
      </c>
      <c r="G379" s="48" t="s">
        <v>426</v>
      </c>
      <c r="H379" s="53" t="s">
        <v>797</v>
      </c>
    </row>
    <row r="380" spans="1:8" hidden="1">
      <c r="A380" s="47" t="s">
        <v>808</v>
      </c>
      <c r="B380" s="48"/>
      <c r="C380" s="48" t="s">
        <v>809</v>
      </c>
      <c r="D380" s="48" t="s">
        <v>808</v>
      </c>
      <c r="E380" s="48" t="s">
        <v>14</v>
      </c>
      <c r="F380" s="49">
        <v>1.95</v>
      </c>
      <c r="G380" s="48" t="s">
        <v>426</v>
      </c>
      <c r="H380" s="53" t="s">
        <v>797</v>
      </c>
    </row>
    <row r="381" spans="1:8" hidden="1">
      <c r="A381" s="47" t="s">
        <v>810</v>
      </c>
      <c r="B381" s="48"/>
      <c r="C381" s="48" t="s">
        <v>811</v>
      </c>
      <c r="D381" s="48" t="s">
        <v>810</v>
      </c>
      <c r="E381" s="48" t="s">
        <v>14</v>
      </c>
      <c r="F381" s="49">
        <v>1.95</v>
      </c>
      <c r="G381" s="48" t="s">
        <v>426</v>
      </c>
      <c r="H381" s="53" t="s">
        <v>797</v>
      </c>
    </row>
    <row r="382" spans="1:8" hidden="1">
      <c r="A382" s="47" t="s">
        <v>424</v>
      </c>
      <c r="B382" s="48"/>
      <c r="C382" s="48" t="s">
        <v>425</v>
      </c>
      <c r="D382" s="48" t="s">
        <v>424</v>
      </c>
      <c r="E382" s="48" t="s">
        <v>161</v>
      </c>
      <c r="F382" s="49">
        <v>1.8259999999999998E-2</v>
      </c>
      <c r="G382" s="48" t="s">
        <v>426</v>
      </c>
      <c r="H382" s="53" t="s">
        <v>427</v>
      </c>
    </row>
    <row r="383" spans="1:8" hidden="1">
      <c r="A383" s="47" t="s">
        <v>428</v>
      </c>
      <c r="B383" s="48"/>
      <c r="C383" s="48" t="s">
        <v>429</v>
      </c>
      <c r="D383" s="48" t="s">
        <v>428</v>
      </c>
      <c r="E383" s="48" t="s">
        <v>14</v>
      </c>
      <c r="F383" s="49">
        <v>1.1100000000000001</v>
      </c>
      <c r="G383" s="48" t="s">
        <v>426</v>
      </c>
      <c r="H383" s="53" t="s">
        <v>427</v>
      </c>
    </row>
    <row r="384" spans="1:8" hidden="1">
      <c r="A384" s="47" t="s">
        <v>430</v>
      </c>
      <c r="B384" s="48"/>
      <c r="C384" s="48" t="s">
        <v>431</v>
      </c>
      <c r="D384" s="48" t="s">
        <v>430</v>
      </c>
      <c r="E384" s="48" t="s">
        <v>14</v>
      </c>
      <c r="F384" s="49">
        <v>0.98</v>
      </c>
      <c r="G384" s="48" t="s">
        <v>426</v>
      </c>
      <c r="H384" s="53" t="s">
        <v>427</v>
      </c>
    </row>
    <row r="385" spans="1:8" hidden="1">
      <c r="A385" s="47" t="s">
        <v>432</v>
      </c>
      <c r="B385" s="48"/>
      <c r="C385" s="48" t="s">
        <v>433</v>
      </c>
      <c r="D385" s="48" t="s">
        <v>432</v>
      </c>
      <c r="E385" s="48" t="s">
        <v>14</v>
      </c>
      <c r="F385" s="49">
        <v>1.24</v>
      </c>
      <c r="G385" s="48" t="s">
        <v>426</v>
      </c>
      <c r="H385" s="53" t="s">
        <v>427</v>
      </c>
    </row>
    <row r="386" spans="1:8" hidden="1">
      <c r="A386" s="47" t="s">
        <v>434</v>
      </c>
      <c r="B386" s="48"/>
      <c r="C386" s="48" t="s">
        <v>435</v>
      </c>
      <c r="D386" s="48" t="s">
        <v>434</v>
      </c>
      <c r="E386" s="48" t="s">
        <v>14</v>
      </c>
      <c r="F386" s="49">
        <v>0.98</v>
      </c>
      <c r="G386" s="48" t="s">
        <v>426</v>
      </c>
      <c r="H386" s="53" t="s">
        <v>427</v>
      </c>
    </row>
    <row r="387" spans="1:8" hidden="1">
      <c r="A387" s="47" t="s">
        <v>436</v>
      </c>
      <c r="B387" s="48"/>
      <c r="C387" s="48" t="s">
        <v>437</v>
      </c>
      <c r="D387" s="48" t="s">
        <v>436</v>
      </c>
      <c r="E387" s="48" t="s">
        <v>14</v>
      </c>
      <c r="F387" s="49">
        <v>1.31</v>
      </c>
      <c r="G387" s="48" t="s">
        <v>426</v>
      </c>
      <c r="H387" s="53" t="s">
        <v>427</v>
      </c>
    </row>
    <row r="388" spans="1:8" hidden="1">
      <c r="A388" s="47" t="s">
        <v>438</v>
      </c>
      <c r="B388" s="48"/>
      <c r="C388" s="48" t="s">
        <v>439</v>
      </c>
      <c r="D388" s="48" t="s">
        <v>438</v>
      </c>
      <c r="E388" s="48" t="s">
        <v>14</v>
      </c>
      <c r="F388" s="49">
        <v>0.98</v>
      </c>
      <c r="G388" s="48" t="s">
        <v>426</v>
      </c>
      <c r="H388" s="53" t="s">
        <v>427</v>
      </c>
    </row>
    <row r="389" spans="1:8" hidden="1">
      <c r="A389" s="47" t="s">
        <v>440</v>
      </c>
      <c r="B389" s="48"/>
      <c r="C389" s="48" t="s">
        <v>441</v>
      </c>
      <c r="D389" s="48" t="s">
        <v>440</v>
      </c>
      <c r="E389" s="48" t="s">
        <v>14</v>
      </c>
      <c r="F389" s="49">
        <v>0.98</v>
      </c>
      <c r="G389" s="48" t="s">
        <v>426</v>
      </c>
      <c r="H389" s="53" t="s">
        <v>427</v>
      </c>
    </row>
    <row r="390" spans="1:8" hidden="1">
      <c r="A390" s="47" t="s">
        <v>442</v>
      </c>
      <c r="B390" s="48"/>
      <c r="C390" s="48" t="s">
        <v>443</v>
      </c>
      <c r="D390" s="48" t="s">
        <v>442</v>
      </c>
      <c r="E390" s="48" t="s">
        <v>14</v>
      </c>
      <c r="F390" s="49">
        <v>1.17</v>
      </c>
      <c r="G390" s="48" t="s">
        <v>426</v>
      </c>
      <c r="H390" s="53" t="s">
        <v>427</v>
      </c>
    </row>
    <row r="391" spans="1:8" hidden="1">
      <c r="A391" s="47" t="s">
        <v>444</v>
      </c>
      <c r="B391" s="48"/>
      <c r="C391" s="48" t="s">
        <v>445</v>
      </c>
      <c r="D391" s="48" t="s">
        <v>444</v>
      </c>
      <c r="E391" s="48" t="s">
        <v>14</v>
      </c>
      <c r="F391" s="49">
        <v>1.1599999999999999</v>
      </c>
      <c r="G391" s="48" t="s">
        <v>426</v>
      </c>
      <c r="H391" s="53" t="s">
        <v>427</v>
      </c>
    </row>
    <row r="392" spans="1:8" hidden="1">
      <c r="A392" s="47" t="s">
        <v>446</v>
      </c>
      <c r="B392" s="48"/>
      <c r="C392" s="48" t="s">
        <v>447</v>
      </c>
      <c r="D392" s="48" t="s">
        <v>446</v>
      </c>
      <c r="E392" s="48" t="s">
        <v>14</v>
      </c>
      <c r="F392" s="49">
        <v>2.2400000000000002</v>
      </c>
      <c r="G392" s="48" t="s">
        <v>426</v>
      </c>
      <c r="H392" s="53" t="s">
        <v>427</v>
      </c>
    </row>
    <row r="393" spans="1:8" hidden="1">
      <c r="A393" s="47" t="s">
        <v>448</v>
      </c>
      <c r="B393" s="48"/>
      <c r="C393" s="48" t="s">
        <v>449</v>
      </c>
      <c r="D393" s="48" t="s">
        <v>448</v>
      </c>
      <c r="E393" s="48" t="s">
        <v>14</v>
      </c>
      <c r="F393" s="49">
        <v>1.57</v>
      </c>
      <c r="G393" s="48" t="s">
        <v>426</v>
      </c>
      <c r="H393" s="53" t="s">
        <v>427</v>
      </c>
    </row>
    <row r="394" spans="1:8" hidden="1">
      <c r="A394" s="47" t="s">
        <v>450</v>
      </c>
      <c r="B394" s="48"/>
      <c r="C394" s="48" t="s">
        <v>451</v>
      </c>
      <c r="D394" s="48" t="s">
        <v>450</v>
      </c>
      <c r="E394" s="48" t="s">
        <v>14</v>
      </c>
      <c r="F394" s="49">
        <v>1.79</v>
      </c>
      <c r="G394" s="48" t="s">
        <v>426</v>
      </c>
      <c r="H394" s="53" t="s">
        <v>427</v>
      </c>
    </row>
    <row r="395" spans="1:8" hidden="1">
      <c r="A395" s="47" t="s">
        <v>812</v>
      </c>
      <c r="B395" s="48"/>
      <c r="C395" s="48" t="s">
        <v>813</v>
      </c>
      <c r="D395" s="48" t="s">
        <v>812</v>
      </c>
      <c r="E395" s="48" t="s">
        <v>14</v>
      </c>
      <c r="F395" s="49">
        <v>2.08</v>
      </c>
      <c r="G395" s="48" t="s">
        <v>426</v>
      </c>
      <c r="H395" s="53" t="s">
        <v>29</v>
      </c>
    </row>
    <row r="396" spans="1:8" hidden="1">
      <c r="A396" s="47" t="s">
        <v>814</v>
      </c>
      <c r="B396" s="48"/>
      <c r="C396" s="48" t="s">
        <v>815</v>
      </c>
      <c r="D396" s="47" t="s">
        <v>814</v>
      </c>
      <c r="E396" s="48" t="s">
        <v>14</v>
      </c>
      <c r="F396" s="49">
        <v>0.17208333333333331</v>
      </c>
      <c r="G396" s="48" t="s">
        <v>426</v>
      </c>
      <c r="H396" s="53" t="s">
        <v>29</v>
      </c>
    </row>
    <row r="397" spans="1:8" hidden="1">
      <c r="A397" s="47" t="s">
        <v>1406</v>
      </c>
      <c r="B397" s="48"/>
      <c r="C397" s="48" t="s">
        <v>1407</v>
      </c>
      <c r="D397" s="48" t="s">
        <v>1406</v>
      </c>
      <c r="E397" s="48" t="s">
        <v>161</v>
      </c>
      <c r="F397" s="49">
        <v>8.0000000000000007E-5</v>
      </c>
      <c r="G397" s="48" t="s">
        <v>426</v>
      </c>
      <c r="H397" s="53" t="s">
        <v>29</v>
      </c>
    </row>
    <row r="398" spans="1:8" hidden="1">
      <c r="A398" s="47" t="s">
        <v>816</v>
      </c>
      <c r="B398" s="48"/>
      <c r="C398" s="48" t="s">
        <v>817</v>
      </c>
      <c r="D398" s="48" t="s">
        <v>816</v>
      </c>
      <c r="E398" s="48" t="s">
        <v>14</v>
      </c>
      <c r="F398" s="49">
        <v>0.38</v>
      </c>
      <c r="G398" s="48" t="s">
        <v>426</v>
      </c>
      <c r="H398" s="53" t="s">
        <v>29</v>
      </c>
    </row>
    <row r="399" spans="1:8" hidden="1">
      <c r="A399" s="47" t="s">
        <v>818</v>
      </c>
      <c r="B399" s="48"/>
      <c r="C399" s="48"/>
      <c r="D399" s="48" t="s">
        <v>818</v>
      </c>
      <c r="E399" s="48" t="s">
        <v>14</v>
      </c>
      <c r="F399" s="49">
        <v>0.38750000000000001</v>
      </c>
      <c r="G399" s="48" t="s">
        <v>426</v>
      </c>
      <c r="H399" s="53" t="s">
        <v>29</v>
      </c>
    </row>
    <row r="400" spans="1:8" hidden="1">
      <c r="A400" s="47" t="s">
        <v>819</v>
      </c>
      <c r="B400" s="48"/>
      <c r="C400" s="48"/>
      <c r="D400" s="48" t="s">
        <v>819</v>
      </c>
      <c r="E400" s="48" t="s">
        <v>111</v>
      </c>
      <c r="F400" s="49">
        <v>3.9711191335740068E-2</v>
      </c>
      <c r="G400" s="48" t="s">
        <v>127</v>
      </c>
      <c r="H400" s="53" t="s">
        <v>820</v>
      </c>
    </row>
    <row r="401" spans="1:8" hidden="1">
      <c r="A401" s="47" t="s">
        <v>821</v>
      </c>
      <c r="B401" s="48"/>
      <c r="C401" s="48" t="s">
        <v>822</v>
      </c>
      <c r="D401" s="48" t="s">
        <v>821</v>
      </c>
      <c r="E401" s="48" t="s">
        <v>111</v>
      </c>
      <c r="F401" s="49">
        <v>4.3090000000000003E-2</v>
      </c>
      <c r="G401" s="48" t="s">
        <v>127</v>
      </c>
      <c r="H401" s="53" t="s">
        <v>820</v>
      </c>
    </row>
    <row r="402" spans="1:8" hidden="1">
      <c r="A402" s="47" t="s">
        <v>823</v>
      </c>
      <c r="B402" s="48"/>
      <c r="C402" s="48" t="s">
        <v>824</v>
      </c>
      <c r="D402" s="48" t="s">
        <v>823</v>
      </c>
      <c r="E402" s="48" t="s">
        <v>111</v>
      </c>
      <c r="F402" s="49">
        <v>3.2786885245901641E-2</v>
      </c>
      <c r="G402" s="48" t="s">
        <v>127</v>
      </c>
      <c r="H402" s="53" t="s">
        <v>820</v>
      </c>
    </row>
    <row r="403" spans="1:8" hidden="1">
      <c r="A403" s="47" t="s">
        <v>825</v>
      </c>
      <c r="B403" s="48"/>
      <c r="C403" s="48" t="s">
        <v>826</v>
      </c>
      <c r="D403" s="48" t="s">
        <v>825</v>
      </c>
      <c r="E403" s="48" t="s">
        <v>111</v>
      </c>
      <c r="F403" s="49">
        <v>3.1E-2</v>
      </c>
      <c r="G403" s="48" t="s">
        <v>127</v>
      </c>
      <c r="H403" s="53" t="s">
        <v>820</v>
      </c>
    </row>
    <row r="404" spans="1:8" hidden="1">
      <c r="A404" s="47" t="s">
        <v>827</v>
      </c>
      <c r="B404" s="48"/>
      <c r="C404" s="48" t="s">
        <v>828</v>
      </c>
      <c r="D404" s="48" t="s">
        <v>827</v>
      </c>
      <c r="E404" s="48" t="s">
        <v>111</v>
      </c>
      <c r="F404" s="49">
        <v>9.3198992443324927E-2</v>
      </c>
      <c r="G404" s="48" t="s">
        <v>127</v>
      </c>
      <c r="H404" s="53" t="s">
        <v>820</v>
      </c>
    </row>
    <row r="405" spans="1:8" hidden="1">
      <c r="A405" s="47" t="s">
        <v>829</v>
      </c>
      <c r="B405" s="48"/>
      <c r="C405" s="48" t="s">
        <v>830</v>
      </c>
      <c r="D405" s="48" t="s">
        <v>829</v>
      </c>
      <c r="E405" s="48" t="s">
        <v>111</v>
      </c>
      <c r="F405" s="49">
        <v>0.14499999999999999</v>
      </c>
      <c r="G405" s="48" t="s">
        <v>127</v>
      </c>
      <c r="H405" s="53" t="s">
        <v>820</v>
      </c>
    </row>
    <row r="406" spans="1:8" hidden="1">
      <c r="A406" s="47" t="s">
        <v>831</v>
      </c>
      <c r="B406" s="48"/>
      <c r="C406" s="48" t="s">
        <v>832</v>
      </c>
      <c r="D406" s="48" t="s">
        <v>831</v>
      </c>
      <c r="E406" s="48" t="s">
        <v>111</v>
      </c>
      <c r="F406" s="49">
        <v>2.5000000000000001E-2</v>
      </c>
      <c r="G406" s="48" t="s">
        <v>127</v>
      </c>
      <c r="H406" s="53" t="s">
        <v>820</v>
      </c>
    </row>
    <row r="407" spans="1:8" hidden="1">
      <c r="A407" s="47" t="s">
        <v>833</v>
      </c>
      <c r="B407" s="48"/>
      <c r="C407" s="48" t="s">
        <v>834</v>
      </c>
      <c r="D407" s="48" t="s">
        <v>835</v>
      </c>
      <c r="E407" s="48" t="s">
        <v>111</v>
      </c>
      <c r="F407" s="49">
        <v>0.115</v>
      </c>
      <c r="G407" s="48" t="s">
        <v>127</v>
      </c>
      <c r="H407" s="53" t="s">
        <v>820</v>
      </c>
    </row>
    <row r="408" spans="1:8" hidden="1">
      <c r="A408" s="47" t="s">
        <v>836</v>
      </c>
      <c r="B408" s="48"/>
      <c r="C408" s="48" t="s">
        <v>837</v>
      </c>
      <c r="D408" s="48" t="s">
        <v>836</v>
      </c>
      <c r="E408" s="48" t="s">
        <v>111</v>
      </c>
      <c r="F408" s="49">
        <v>7.7499999999999999E-2</v>
      </c>
      <c r="G408" s="48" t="s">
        <v>127</v>
      </c>
      <c r="H408" s="53" t="s">
        <v>820</v>
      </c>
    </row>
    <row r="409" spans="1:8" hidden="1">
      <c r="A409" s="47" t="s">
        <v>838</v>
      </c>
      <c r="B409" s="48"/>
      <c r="C409" s="48" t="s">
        <v>839</v>
      </c>
      <c r="D409" s="48" t="s">
        <v>838</v>
      </c>
      <c r="E409" s="48" t="s">
        <v>111</v>
      </c>
      <c r="F409" s="49">
        <v>9.5000000000000001E-2</v>
      </c>
      <c r="G409" s="48" t="s">
        <v>127</v>
      </c>
      <c r="H409" s="53" t="s">
        <v>820</v>
      </c>
    </row>
    <row r="410" spans="1:8" hidden="1">
      <c r="A410" s="47" t="s">
        <v>840</v>
      </c>
      <c r="B410" s="48"/>
      <c r="C410" s="48" t="s">
        <v>841</v>
      </c>
      <c r="D410" s="48" t="s">
        <v>840</v>
      </c>
      <c r="E410" s="48" t="s">
        <v>111</v>
      </c>
      <c r="F410" s="49">
        <v>2.7E-2</v>
      </c>
      <c r="G410" s="48" t="s">
        <v>127</v>
      </c>
      <c r="H410" s="53" t="s">
        <v>842</v>
      </c>
    </row>
    <row r="411" spans="1:8" hidden="1">
      <c r="A411" s="47" t="s">
        <v>843</v>
      </c>
      <c r="B411" s="48"/>
      <c r="C411" s="48" t="s">
        <v>844</v>
      </c>
      <c r="D411" s="48" t="s">
        <v>843</v>
      </c>
      <c r="E411" s="48" t="s">
        <v>14</v>
      </c>
      <c r="F411" s="49">
        <v>0.48299999999999998</v>
      </c>
      <c r="G411" s="48" t="s">
        <v>101</v>
      </c>
      <c r="H411" s="53" t="s">
        <v>842</v>
      </c>
    </row>
    <row r="412" spans="1:8" hidden="1">
      <c r="A412" s="47" t="s">
        <v>845</v>
      </c>
      <c r="B412" s="48"/>
      <c r="C412" s="48" t="s">
        <v>846</v>
      </c>
      <c r="D412" s="48" t="s">
        <v>845</v>
      </c>
      <c r="E412" s="48" t="s">
        <v>111</v>
      </c>
      <c r="F412" s="49">
        <v>1.3729999999999999E-2</v>
      </c>
      <c r="G412" s="48" t="s">
        <v>127</v>
      </c>
      <c r="H412" s="53" t="s">
        <v>842</v>
      </c>
    </row>
    <row r="413" spans="1:8" hidden="1">
      <c r="A413" s="47" t="s">
        <v>847</v>
      </c>
      <c r="B413" s="48"/>
      <c r="C413" s="48" t="s">
        <v>848</v>
      </c>
      <c r="D413" s="48" t="s">
        <v>847</v>
      </c>
      <c r="E413" s="48" t="s">
        <v>111</v>
      </c>
      <c r="F413" s="49">
        <v>0.05</v>
      </c>
      <c r="G413" s="48" t="s">
        <v>127</v>
      </c>
      <c r="H413" s="53" t="s">
        <v>842</v>
      </c>
    </row>
    <row r="414" spans="1:8" hidden="1">
      <c r="A414" s="47" t="s">
        <v>849</v>
      </c>
      <c r="B414" s="48"/>
      <c r="C414" s="48" t="s">
        <v>850</v>
      </c>
      <c r="D414" s="48" t="s">
        <v>849</v>
      </c>
      <c r="E414" s="48" t="s">
        <v>111</v>
      </c>
      <c r="F414" s="49">
        <v>1.4500000000000001E-2</v>
      </c>
      <c r="G414" s="48" t="s">
        <v>127</v>
      </c>
      <c r="H414" s="53" t="s">
        <v>842</v>
      </c>
    </row>
    <row r="415" spans="1:8" hidden="1">
      <c r="A415" s="47" t="s">
        <v>38</v>
      </c>
      <c r="B415" s="48"/>
      <c r="C415" s="48" t="s">
        <v>851</v>
      </c>
      <c r="D415" s="48" t="s">
        <v>38</v>
      </c>
      <c r="E415" s="48" t="s">
        <v>111</v>
      </c>
      <c r="F415" s="49">
        <v>2.185792349726776E-2</v>
      </c>
      <c r="G415" s="48" t="s">
        <v>127</v>
      </c>
      <c r="H415" s="53" t="s">
        <v>842</v>
      </c>
    </row>
    <row r="416" spans="1:8" hidden="1">
      <c r="A416" s="47" t="s">
        <v>852</v>
      </c>
      <c r="B416" s="48"/>
      <c r="C416" s="48" t="s">
        <v>853</v>
      </c>
      <c r="D416" s="48" t="s">
        <v>852</v>
      </c>
      <c r="E416" s="48" t="s">
        <v>111</v>
      </c>
      <c r="F416" s="49">
        <v>1.4166666666666669E-2</v>
      </c>
      <c r="G416" s="48" t="s">
        <v>127</v>
      </c>
      <c r="H416" s="53" t="s">
        <v>842</v>
      </c>
    </row>
    <row r="417" spans="1:8" hidden="1">
      <c r="A417" s="47" t="s">
        <v>61</v>
      </c>
      <c r="B417" s="48"/>
      <c r="C417" s="48" t="s">
        <v>854</v>
      </c>
      <c r="D417" s="48" t="s">
        <v>61</v>
      </c>
      <c r="E417" s="48" t="s">
        <v>111</v>
      </c>
      <c r="F417" s="49">
        <v>3.035714285714285E-2</v>
      </c>
      <c r="G417" s="48" t="s">
        <v>127</v>
      </c>
      <c r="H417" s="53" t="s">
        <v>842</v>
      </c>
    </row>
    <row r="418" spans="1:8" hidden="1">
      <c r="A418" s="47" t="s">
        <v>855</v>
      </c>
      <c r="B418" s="48"/>
      <c r="C418" s="48" t="s">
        <v>856</v>
      </c>
      <c r="D418" s="48" t="s">
        <v>855</v>
      </c>
      <c r="E418" s="48" t="s">
        <v>111</v>
      </c>
      <c r="F418" s="49">
        <v>1.095E-2</v>
      </c>
      <c r="G418" s="48" t="s">
        <v>127</v>
      </c>
      <c r="H418" s="53" t="s">
        <v>842</v>
      </c>
    </row>
    <row r="419" spans="1:8" hidden="1">
      <c r="A419" s="47" t="s">
        <v>857</v>
      </c>
      <c r="B419" s="48"/>
      <c r="C419" s="48" t="s">
        <v>858</v>
      </c>
      <c r="D419" s="48" t="s">
        <v>857</v>
      </c>
      <c r="E419" s="48" t="s">
        <v>111</v>
      </c>
      <c r="F419" s="49">
        <v>1.478E-2</v>
      </c>
      <c r="G419" s="48" t="s">
        <v>127</v>
      </c>
      <c r="H419" s="53" t="s">
        <v>842</v>
      </c>
    </row>
    <row r="420" spans="1:8" hidden="1">
      <c r="A420" s="47" t="s">
        <v>859</v>
      </c>
      <c r="B420" s="48"/>
      <c r="C420" s="48" t="s">
        <v>860</v>
      </c>
      <c r="D420" s="48" t="s">
        <v>861</v>
      </c>
      <c r="E420" s="48" t="s">
        <v>111</v>
      </c>
      <c r="F420" s="49">
        <v>1.43E-2</v>
      </c>
      <c r="G420" s="48" t="s">
        <v>127</v>
      </c>
      <c r="H420" s="53" t="s">
        <v>842</v>
      </c>
    </row>
    <row r="421" spans="1:8" hidden="1">
      <c r="A421" s="47" t="s">
        <v>862</v>
      </c>
      <c r="B421" s="48"/>
      <c r="C421" s="48" t="s">
        <v>863</v>
      </c>
      <c r="D421" s="48" t="s">
        <v>862</v>
      </c>
      <c r="E421" s="48" t="s">
        <v>111</v>
      </c>
      <c r="F421" s="49">
        <v>2.1999999999999999E-2</v>
      </c>
      <c r="G421" s="48" t="s">
        <v>127</v>
      </c>
      <c r="H421" s="53" t="s">
        <v>842</v>
      </c>
    </row>
    <row r="422" spans="1:8" hidden="1">
      <c r="A422" s="47" t="s">
        <v>864</v>
      </c>
      <c r="B422" s="48"/>
      <c r="C422" s="48" t="s">
        <v>865</v>
      </c>
      <c r="D422" s="48" t="s">
        <v>864</v>
      </c>
      <c r="E422" s="48" t="s">
        <v>111</v>
      </c>
      <c r="F422" s="49">
        <v>0.2</v>
      </c>
      <c r="G422" s="48" t="s">
        <v>127</v>
      </c>
      <c r="H422" s="53" t="s">
        <v>866</v>
      </c>
    </row>
    <row r="423" spans="1:8" hidden="1">
      <c r="A423" s="47" t="s">
        <v>867</v>
      </c>
      <c r="B423" s="48"/>
      <c r="C423" s="48" t="s">
        <v>868</v>
      </c>
      <c r="D423" s="48" t="s">
        <v>867</v>
      </c>
      <c r="E423" s="48" t="s">
        <v>111</v>
      </c>
      <c r="F423" s="49">
        <v>0.05</v>
      </c>
      <c r="G423" s="48" t="s">
        <v>127</v>
      </c>
      <c r="H423" s="53" t="s">
        <v>866</v>
      </c>
    </row>
    <row r="424" spans="1:8" hidden="1">
      <c r="A424" s="47" t="s">
        <v>869</v>
      </c>
      <c r="B424" s="48"/>
      <c r="C424" s="48" t="s">
        <v>870</v>
      </c>
      <c r="D424" s="48" t="s">
        <v>869</v>
      </c>
      <c r="E424" s="48" t="s">
        <v>111</v>
      </c>
      <c r="F424" s="49">
        <v>0.15</v>
      </c>
      <c r="G424" s="48" t="s">
        <v>127</v>
      </c>
      <c r="H424" s="53" t="s">
        <v>866</v>
      </c>
    </row>
    <row r="425" spans="1:8" hidden="1">
      <c r="A425" s="47" t="s">
        <v>871</v>
      </c>
      <c r="B425" s="48"/>
      <c r="C425" s="48" t="s">
        <v>872</v>
      </c>
      <c r="D425" s="48" t="s">
        <v>871</v>
      </c>
      <c r="E425" s="48" t="s">
        <v>111</v>
      </c>
      <c r="F425" s="49">
        <v>4.2000000000000003E-2</v>
      </c>
      <c r="G425" s="48" t="s">
        <v>127</v>
      </c>
      <c r="H425" s="53" t="s">
        <v>866</v>
      </c>
    </row>
    <row r="426" spans="1:8" hidden="1">
      <c r="A426" s="47" t="s">
        <v>873</v>
      </c>
      <c r="B426" s="48"/>
      <c r="C426" s="48" t="s">
        <v>874</v>
      </c>
      <c r="D426" s="48" t="s">
        <v>873</v>
      </c>
      <c r="E426" s="48" t="s">
        <v>111</v>
      </c>
      <c r="F426" s="49">
        <v>2.9000000000000001E-2</v>
      </c>
      <c r="G426" s="48" t="s">
        <v>127</v>
      </c>
      <c r="H426" s="53" t="s">
        <v>866</v>
      </c>
    </row>
    <row r="427" spans="1:8" hidden="1">
      <c r="A427" s="47" t="s">
        <v>875</v>
      </c>
      <c r="B427" s="48"/>
      <c r="C427" s="48" t="s">
        <v>876</v>
      </c>
      <c r="D427" s="47" t="s">
        <v>875</v>
      </c>
      <c r="E427" s="48" t="s">
        <v>111</v>
      </c>
      <c r="F427" s="49">
        <v>0.02</v>
      </c>
      <c r="G427" s="48" t="s">
        <v>127</v>
      </c>
      <c r="H427" s="53" t="s">
        <v>866</v>
      </c>
    </row>
    <row r="428" spans="1:8" hidden="1">
      <c r="A428" s="47" t="s">
        <v>877</v>
      </c>
      <c r="B428" s="48"/>
      <c r="C428" s="48" t="s">
        <v>878</v>
      </c>
      <c r="D428" s="48" t="s">
        <v>877</v>
      </c>
      <c r="E428" s="48" t="s">
        <v>111</v>
      </c>
      <c r="F428" s="49">
        <v>2.6110000000000001E-2</v>
      </c>
      <c r="G428" s="48" t="s">
        <v>127</v>
      </c>
      <c r="H428" s="53" t="s">
        <v>866</v>
      </c>
    </row>
    <row r="429" spans="1:8" hidden="1">
      <c r="A429" s="47" t="s">
        <v>879</v>
      </c>
      <c r="B429" s="48"/>
      <c r="C429" s="48" t="s">
        <v>880</v>
      </c>
      <c r="D429" s="48" t="s">
        <v>879</v>
      </c>
      <c r="E429" s="48" t="s">
        <v>111</v>
      </c>
      <c r="F429" s="49">
        <v>2.75E-2</v>
      </c>
      <c r="G429" s="48" t="s">
        <v>127</v>
      </c>
      <c r="H429" s="53" t="s">
        <v>866</v>
      </c>
    </row>
    <row r="430" spans="1:8" hidden="1">
      <c r="A430" s="47" t="s">
        <v>19</v>
      </c>
      <c r="B430" s="48"/>
      <c r="C430" s="48" t="s">
        <v>881</v>
      </c>
      <c r="D430" s="48" t="s">
        <v>19</v>
      </c>
      <c r="E430" s="48" t="s">
        <v>111</v>
      </c>
      <c r="F430" s="49">
        <v>4.2630057803468208E-2</v>
      </c>
      <c r="G430" s="48" t="s">
        <v>127</v>
      </c>
      <c r="H430" s="53" t="s">
        <v>866</v>
      </c>
    </row>
    <row r="431" spans="1:8" hidden="1">
      <c r="A431" s="47" t="s">
        <v>882</v>
      </c>
      <c r="B431" s="48"/>
      <c r="C431" s="48" t="s">
        <v>883</v>
      </c>
      <c r="D431" s="48" t="s">
        <v>882</v>
      </c>
      <c r="E431" s="48" t="s">
        <v>111</v>
      </c>
      <c r="F431" s="49">
        <v>8.4705882352941173E-2</v>
      </c>
      <c r="G431" s="48" t="s">
        <v>127</v>
      </c>
      <c r="H431" s="53" t="s">
        <v>866</v>
      </c>
    </row>
    <row r="432" spans="1:8" hidden="1">
      <c r="A432" s="47" t="s">
        <v>884</v>
      </c>
      <c r="B432" s="48"/>
      <c r="C432" s="48" t="s">
        <v>885</v>
      </c>
      <c r="D432" s="48" t="s">
        <v>884</v>
      </c>
      <c r="E432" s="48" t="s">
        <v>111</v>
      </c>
      <c r="F432" s="49">
        <v>0.02</v>
      </c>
      <c r="G432" s="48" t="s">
        <v>127</v>
      </c>
      <c r="H432" s="53" t="s">
        <v>866</v>
      </c>
    </row>
    <row r="433" spans="1:8" hidden="1">
      <c r="A433" s="47" t="s">
        <v>886</v>
      </c>
      <c r="B433" s="48"/>
      <c r="C433" s="48" t="s">
        <v>887</v>
      </c>
      <c r="D433" s="48" t="s">
        <v>886</v>
      </c>
      <c r="E433" s="48" t="s">
        <v>14</v>
      </c>
      <c r="F433" s="49">
        <v>1.04</v>
      </c>
      <c r="G433" s="48" t="s">
        <v>127</v>
      </c>
      <c r="H433" s="53" t="s">
        <v>866</v>
      </c>
    </row>
    <row r="434" spans="1:8" hidden="1">
      <c r="A434" s="47" t="s">
        <v>888</v>
      </c>
      <c r="B434" s="48"/>
      <c r="C434" s="48" t="s">
        <v>889</v>
      </c>
      <c r="D434" s="48" t="s">
        <v>888</v>
      </c>
      <c r="E434" s="48" t="s">
        <v>111</v>
      </c>
      <c r="F434" s="49">
        <v>1.6E-2</v>
      </c>
      <c r="G434" s="48" t="s">
        <v>127</v>
      </c>
      <c r="H434" s="53" t="s">
        <v>866</v>
      </c>
    </row>
    <row r="435" spans="1:8" hidden="1">
      <c r="A435" s="47" t="s">
        <v>890</v>
      </c>
      <c r="B435" s="48"/>
      <c r="C435" s="48" t="s">
        <v>891</v>
      </c>
      <c r="D435" s="48" t="s">
        <v>890</v>
      </c>
      <c r="E435" s="48" t="s">
        <v>111</v>
      </c>
      <c r="F435" s="49">
        <v>6.2E-2</v>
      </c>
      <c r="G435" s="48" t="s">
        <v>127</v>
      </c>
      <c r="H435" s="53" t="s">
        <v>866</v>
      </c>
    </row>
    <row r="436" spans="1:8" hidden="1">
      <c r="A436" s="47" t="s">
        <v>892</v>
      </c>
      <c r="B436" s="48"/>
      <c r="C436" s="48" t="s">
        <v>893</v>
      </c>
      <c r="D436" s="48" t="s">
        <v>892</v>
      </c>
      <c r="E436" s="48" t="s">
        <v>111</v>
      </c>
      <c r="F436" s="49">
        <v>5.5E-2</v>
      </c>
      <c r="G436" s="48" t="s">
        <v>127</v>
      </c>
      <c r="H436" s="53" t="s">
        <v>866</v>
      </c>
    </row>
    <row r="437" spans="1:8" hidden="1">
      <c r="A437" s="47" t="s">
        <v>894</v>
      </c>
      <c r="B437" s="48"/>
      <c r="C437" s="48" t="s">
        <v>895</v>
      </c>
      <c r="D437" s="48" t="s">
        <v>894</v>
      </c>
      <c r="E437" s="48" t="s">
        <v>111</v>
      </c>
      <c r="F437" s="49">
        <v>8.7272727272727266E-2</v>
      </c>
      <c r="G437" s="48" t="s">
        <v>127</v>
      </c>
      <c r="H437" s="53" t="s">
        <v>866</v>
      </c>
    </row>
    <row r="438" spans="1:8" hidden="1">
      <c r="A438" s="47" t="s">
        <v>64</v>
      </c>
      <c r="B438" s="48"/>
      <c r="C438" s="48" t="s">
        <v>896</v>
      </c>
      <c r="D438" s="48" t="s">
        <v>64</v>
      </c>
      <c r="E438" s="48" t="s">
        <v>111</v>
      </c>
      <c r="F438" s="49">
        <v>2.3699999999999999E-2</v>
      </c>
      <c r="G438" s="48" t="s">
        <v>127</v>
      </c>
      <c r="H438" s="53" t="s">
        <v>866</v>
      </c>
    </row>
    <row r="439" spans="1:8" hidden="1">
      <c r="A439" s="47" t="s">
        <v>897</v>
      </c>
      <c r="B439" s="48"/>
      <c r="C439" s="48" t="s">
        <v>898</v>
      </c>
      <c r="D439" s="48" t="s">
        <v>897</v>
      </c>
      <c r="E439" s="48" t="s">
        <v>111</v>
      </c>
      <c r="F439" s="49">
        <v>3.2000000000000001E-2</v>
      </c>
      <c r="G439" s="48" t="s">
        <v>899</v>
      </c>
      <c r="H439" s="53" t="s">
        <v>900</v>
      </c>
    </row>
    <row r="440" spans="1:8" hidden="1">
      <c r="A440" s="47" t="s">
        <v>901</v>
      </c>
      <c r="B440" s="48"/>
      <c r="C440" s="48" t="s">
        <v>902</v>
      </c>
      <c r="D440" s="48" t="s">
        <v>901</v>
      </c>
      <c r="E440" s="48" t="s">
        <v>111</v>
      </c>
      <c r="F440" s="49">
        <v>0.1166666666666667</v>
      </c>
      <c r="G440" s="48" t="s">
        <v>156</v>
      </c>
      <c r="H440" s="53" t="s">
        <v>900</v>
      </c>
    </row>
    <row r="441" spans="1:8" hidden="1">
      <c r="A441" s="47" t="s">
        <v>903</v>
      </c>
      <c r="B441" s="48"/>
      <c r="C441" s="48" t="s">
        <v>904</v>
      </c>
      <c r="D441" s="48" t="s">
        <v>903</v>
      </c>
      <c r="E441" s="48" t="s">
        <v>111</v>
      </c>
      <c r="F441" s="49">
        <v>0.06</v>
      </c>
      <c r="G441" s="48" t="s">
        <v>156</v>
      </c>
      <c r="H441" s="53" t="s">
        <v>900</v>
      </c>
    </row>
    <row r="442" spans="1:8" hidden="1">
      <c r="A442" s="47" t="s">
        <v>905</v>
      </c>
      <c r="B442" s="48"/>
      <c r="C442" s="48" t="s">
        <v>906</v>
      </c>
      <c r="D442" s="48" t="s">
        <v>905</v>
      </c>
      <c r="E442" s="48" t="s">
        <v>111</v>
      </c>
      <c r="F442" s="49">
        <v>0.03</v>
      </c>
      <c r="G442" s="48" t="s">
        <v>156</v>
      </c>
      <c r="H442" s="53" t="s">
        <v>900</v>
      </c>
    </row>
    <row r="443" spans="1:8" hidden="1">
      <c r="A443" s="47" t="s">
        <v>907</v>
      </c>
      <c r="B443" s="48"/>
      <c r="C443" s="48" t="s">
        <v>908</v>
      </c>
      <c r="D443" s="48" t="s">
        <v>907</v>
      </c>
      <c r="E443" s="48" t="s">
        <v>14</v>
      </c>
      <c r="F443" s="49">
        <v>3.73</v>
      </c>
      <c r="G443" s="48" t="s">
        <v>101</v>
      </c>
      <c r="H443" s="53" t="s">
        <v>900</v>
      </c>
    </row>
    <row r="444" spans="1:8" hidden="1">
      <c r="A444" s="47" t="s">
        <v>909</v>
      </c>
      <c r="B444" s="48"/>
      <c r="C444" s="48" t="s">
        <v>910</v>
      </c>
      <c r="D444" s="48" t="s">
        <v>909</v>
      </c>
      <c r="E444" s="48" t="s">
        <v>111</v>
      </c>
      <c r="F444" s="49">
        <v>3.2000000000000001E-2</v>
      </c>
      <c r="G444" s="48" t="s">
        <v>127</v>
      </c>
      <c r="H444" s="53" t="s">
        <v>900</v>
      </c>
    </row>
    <row r="445" spans="1:8" hidden="1">
      <c r="A445" s="47" t="s">
        <v>911</v>
      </c>
      <c r="B445" s="48"/>
      <c r="C445" s="48" t="s">
        <v>912</v>
      </c>
      <c r="D445" s="48" t="s">
        <v>911</v>
      </c>
      <c r="E445" s="48" t="s">
        <v>111</v>
      </c>
      <c r="F445" s="49">
        <v>2.1755555555555549E-2</v>
      </c>
      <c r="G445" s="48" t="s">
        <v>127</v>
      </c>
      <c r="H445" s="53" t="s">
        <v>900</v>
      </c>
    </row>
    <row r="446" spans="1:8" hidden="1">
      <c r="A446" s="47" t="s">
        <v>913</v>
      </c>
      <c r="B446" s="48"/>
      <c r="C446" s="48" t="s">
        <v>914</v>
      </c>
      <c r="D446" s="48" t="s">
        <v>913</v>
      </c>
      <c r="E446" s="48" t="s">
        <v>111</v>
      </c>
      <c r="F446" s="49">
        <v>1.2E-2</v>
      </c>
      <c r="G446" s="48" t="s">
        <v>127</v>
      </c>
      <c r="H446" s="53" t="s">
        <v>900</v>
      </c>
    </row>
    <row r="447" spans="1:8" hidden="1">
      <c r="A447" s="47" t="s">
        <v>915</v>
      </c>
      <c r="B447" s="48"/>
      <c r="C447" s="48" t="s">
        <v>916</v>
      </c>
      <c r="D447" s="48" t="s">
        <v>915</v>
      </c>
      <c r="E447" s="48" t="s">
        <v>111</v>
      </c>
      <c r="F447" s="49">
        <v>2.245714285714286E-2</v>
      </c>
      <c r="G447" s="48" t="s">
        <v>127</v>
      </c>
      <c r="H447" s="53" t="s">
        <v>900</v>
      </c>
    </row>
    <row r="448" spans="1:8" hidden="1">
      <c r="A448" s="47" t="s">
        <v>917</v>
      </c>
      <c r="B448" s="48"/>
      <c r="C448" s="48" t="s">
        <v>918</v>
      </c>
      <c r="D448" s="48" t="s">
        <v>917</v>
      </c>
      <c r="E448" s="48" t="s">
        <v>111</v>
      </c>
      <c r="F448" s="49">
        <v>2.5000000000000001E-2</v>
      </c>
      <c r="G448" s="48" t="s">
        <v>127</v>
      </c>
      <c r="H448" s="53" t="s">
        <v>900</v>
      </c>
    </row>
    <row r="449" spans="1:8" hidden="1">
      <c r="A449" s="47" t="s">
        <v>919</v>
      </c>
      <c r="B449" s="48"/>
      <c r="C449" s="48" t="s">
        <v>920</v>
      </c>
      <c r="D449" s="48" t="s">
        <v>919</v>
      </c>
      <c r="E449" s="48" t="s">
        <v>111</v>
      </c>
      <c r="F449" s="49">
        <v>4.4999999999999997E-3</v>
      </c>
      <c r="G449" s="48" t="s">
        <v>127</v>
      </c>
      <c r="H449" s="53" t="s">
        <v>900</v>
      </c>
    </row>
    <row r="450" spans="1:8" hidden="1">
      <c r="A450" s="47" t="s">
        <v>921</v>
      </c>
      <c r="B450" s="48"/>
      <c r="C450" s="48" t="s">
        <v>922</v>
      </c>
      <c r="D450" s="48" t="s">
        <v>921</v>
      </c>
      <c r="E450" s="48" t="s">
        <v>111</v>
      </c>
      <c r="F450" s="49">
        <v>5.4000000000000003E-3</v>
      </c>
      <c r="G450" s="48" t="s">
        <v>127</v>
      </c>
      <c r="H450" s="53" t="s">
        <v>900</v>
      </c>
    </row>
    <row r="451" spans="1:8" hidden="1">
      <c r="A451" s="47" t="s">
        <v>923</v>
      </c>
      <c r="B451" s="48"/>
      <c r="C451" s="48" t="s">
        <v>924</v>
      </c>
      <c r="D451" s="48" t="s">
        <v>923</v>
      </c>
      <c r="E451" s="48" t="s">
        <v>111</v>
      </c>
      <c r="F451" s="49">
        <v>8.2249999999999997E-3</v>
      </c>
      <c r="G451" s="48" t="s">
        <v>127</v>
      </c>
      <c r="H451" s="53" t="s">
        <v>900</v>
      </c>
    </row>
    <row r="452" spans="1:8" hidden="1">
      <c r="A452" s="47" t="s">
        <v>58</v>
      </c>
      <c r="B452" s="48"/>
      <c r="C452" s="48" t="s">
        <v>925</v>
      </c>
      <c r="D452" s="48" t="s">
        <v>58</v>
      </c>
      <c r="E452" s="48" t="s">
        <v>111</v>
      </c>
      <c r="F452" s="49">
        <v>1.40625E-2</v>
      </c>
      <c r="G452" s="48" t="s">
        <v>127</v>
      </c>
      <c r="H452" s="53" t="s">
        <v>900</v>
      </c>
    </row>
    <row r="453" spans="1:8" hidden="1">
      <c r="A453" s="47" t="s">
        <v>926</v>
      </c>
      <c r="B453" s="48"/>
      <c r="C453" s="48" t="s">
        <v>927</v>
      </c>
      <c r="D453" s="48" t="s">
        <v>926</v>
      </c>
      <c r="E453" s="48" t="s">
        <v>111</v>
      </c>
      <c r="F453" s="49">
        <v>5.4999999999999997E-3</v>
      </c>
      <c r="G453" s="48" t="s">
        <v>127</v>
      </c>
      <c r="H453" s="53" t="s">
        <v>900</v>
      </c>
    </row>
    <row r="454" spans="1:8" hidden="1">
      <c r="A454" s="47" t="s">
        <v>928</v>
      </c>
      <c r="B454" s="48"/>
      <c r="C454" s="48" t="s">
        <v>929</v>
      </c>
      <c r="D454" s="48" t="s">
        <v>928</v>
      </c>
      <c r="E454" s="48" t="s">
        <v>111</v>
      </c>
      <c r="F454" s="49">
        <v>6.2500000000000003E-3</v>
      </c>
      <c r="G454" s="48" t="s">
        <v>127</v>
      </c>
      <c r="H454" s="53" t="s">
        <v>900</v>
      </c>
    </row>
    <row r="455" spans="1:8" hidden="1">
      <c r="A455" s="47" t="s">
        <v>930</v>
      </c>
      <c r="B455" s="48"/>
      <c r="C455" s="48" t="s">
        <v>931</v>
      </c>
      <c r="D455" s="48" t="s">
        <v>930</v>
      </c>
      <c r="E455" s="48" t="s">
        <v>111</v>
      </c>
      <c r="F455" s="49">
        <v>0.01</v>
      </c>
      <c r="G455" s="48" t="s">
        <v>127</v>
      </c>
      <c r="H455" s="53" t="s">
        <v>900</v>
      </c>
    </row>
    <row r="456" spans="1:8" hidden="1">
      <c r="A456" s="47" t="s">
        <v>28</v>
      </c>
      <c r="B456" s="48"/>
      <c r="C456" s="48" t="s">
        <v>932</v>
      </c>
      <c r="D456" s="48" t="s">
        <v>28</v>
      </c>
      <c r="E456" s="48" t="s">
        <v>111</v>
      </c>
      <c r="F456" s="49">
        <v>1.3125E-2</v>
      </c>
      <c r="G456" s="48" t="s">
        <v>127</v>
      </c>
      <c r="H456" s="53" t="s">
        <v>900</v>
      </c>
    </row>
    <row r="457" spans="1:8" hidden="1">
      <c r="A457" s="47" t="s">
        <v>933</v>
      </c>
      <c r="B457" s="48"/>
      <c r="C457" s="48" t="s">
        <v>934</v>
      </c>
      <c r="D457" s="48" t="s">
        <v>933</v>
      </c>
      <c r="E457" s="48" t="s">
        <v>111</v>
      </c>
      <c r="F457" s="49">
        <v>1.40625E-2</v>
      </c>
      <c r="G457" s="48" t="s">
        <v>127</v>
      </c>
      <c r="H457" s="53" t="s">
        <v>900</v>
      </c>
    </row>
    <row r="458" spans="1:8" hidden="1">
      <c r="A458" s="47" t="s">
        <v>935</v>
      </c>
      <c r="B458" s="48"/>
      <c r="C458" s="48" t="s">
        <v>936</v>
      </c>
      <c r="D458" s="48" t="s">
        <v>935</v>
      </c>
      <c r="E458" s="48" t="s">
        <v>111</v>
      </c>
      <c r="F458" s="49">
        <v>4.4999999999999998E-2</v>
      </c>
      <c r="G458" s="48" t="s">
        <v>127</v>
      </c>
      <c r="H458" s="53" t="s">
        <v>900</v>
      </c>
    </row>
    <row r="459" spans="1:8" hidden="1">
      <c r="A459" s="47" t="s">
        <v>937</v>
      </c>
      <c r="B459" s="48"/>
      <c r="C459" s="48" t="s">
        <v>938</v>
      </c>
      <c r="D459" s="48" t="s">
        <v>937</v>
      </c>
      <c r="E459" s="48" t="s">
        <v>111</v>
      </c>
      <c r="F459" s="49">
        <v>5.875E-3</v>
      </c>
      <c r="G459" s="48" t="s">
        <v>127</v>
      </c>
      <c r="H459" s="53" t="s">
        <v>900</v>
      </c>
    </row>
    <row r="460" spans="1:8" hidden="1">
      <c r="A460" s="47" t="s">
        <v>939</v>
      </c>
      <c r="B460" s="48"/>
      <c r="C460" s="48" t="s">
        <v>940</v>
      </c>
      <c r="D460" s="48" t="s">
        <v>939</v>
      </c>
      <c r="E460" s="48" t="s">
        <v>111</v>
      </c>
      <c r="F460" s="49">
        <v>4.2000000000000003E-2</v>
      </c>
      <c r="G460" s="48" t="s">
        <v>156</v>
      </c>
      <c r="H460" s="53" t="s">
        <v>900</v>
      </c>
    </row>
    <row r="461" spans="1:8" hidden="1">
      <c r="A461" s="47" t="s">
        <v>941</v>
      </c>
      <c r="B461" s="48"/>
      <c r="C461" s="48" t="s">
        <v>942</v>
      </c>
      <c r="D461" s="48" t="s">
        <v>941</v>
      </c>
      <c r="E461" s="48" t="s">
        <v>111</v>
      </c>
      <c r="F461" s="49">
        <v>3.7999999999999999E-2</v>
      </c>
      <c r="G461" s="48" t="s">
        <v>156</v>
      </c>
      <c r="H461" s="53" t="s">
        <v>900</v>
      </c>
    </row>
    <row r="462" spans="1:8" hidden="1">
      <c r="A462" s="47" t="s">
        <v>943</v>
      </c>
      <c r="B462" s="48"/>
      <c r="C462" s="48" t="s">
        <v>944</v>
      </c>
      <c r="D462" s="48" t="s">
        <v>943</v>
      </c>
      <c r="E462" s="48" t="s">
        <v>111</v>
      </c>
      <c r="F462" s="49">
        <v>1.2E-2</v>
      </c>
      <c r="G462" s="48" t="s">
        <v>156</v>
      </c>
      <c r="H462" s="53" t="s">
        <v>900</v>
      </c>
    </row>
    <row r="463" spans="1:8" hidden="1">
      <c r="A463" s="47" t="s">
        <v>945</v>
      </c>
      <c r="B463" s="48"/>
      <c r="C463" s="48" t="s">
        <v>946</v>
      </c>
      <c r="D463" s="48" t="s">
        <v>945</v>
      </c>
      <c r="E463" s="48" t="s">
        <v>111</v>
      </c>
      <c r="F463" s="49">
        <v>0.03</v>
      </c>
      <c r="G463" s="48" t="s">
        <v>156</v>
      </c>
      <c r="H463" s="53" t="s">
        <v>900</v>
      </c>
    </row>
    <row r="464" spans="1:8" hidden="1">
      <c r="A464" s="47" t="s">
        <v>947</v>
      </c>
      <c r="B464" s="48"/>
      <c r="C464" s="48" t="s">
        <v>948</v>
      </c>
      <c r="D464" s="48" t="s">
        <v>947</v>
      </c>
      <c r="E464" s="48" t="s">
        <v>111</v>
      </c>
      <c r="F464" s="49">
        <v>3.9E-2</v>
      </c>
      <c r="G464" s="48" t="s">
        <v>156</v>
      </c>
      <c r="H464" s="53" t="s">
        <v>900</v>
      </c>
    </row>
    <row r="465" spans="1:8" hidden="1">
      <c r="A465" s="47" t="s">
        <v>949</v>
      </c>
      <c r="B465" s="48"/>
      <c r="C465" s="48" t="s">
        <v>950</v>
      </c>
      <c r="D465" s="48" t="s">
        <v>949</v>
      </c>
      <c r="E465" s="48" t="s">
        <v>111</v>
      </c>
      <c r="F465" s="49">
        <v>0.3</v>
      </c>
      <c r="G465" s="48" t="s">
        <v>156</v>
      </c>
      <c r="H465" s="53" t="s">
        <v>900</v>
      </c>
    </row>
    <row r="466" spans="1:8" hidden="1">
      <c r="A466" s="47" t="s">
        <v>951</v>
      </c>
      <c r="B466" s="48"/>
      <c r="C466" s="48" t="s">
        <v>952</v>
      </c>
      <c r="D466" s="48" t="s">
        <v>951</v>
      </c>
      <c r="E466" s="48" t="s">
        <v>111</v>
      </c>
      <c r="F466" s="49">
        <v>3.7999999999999999E-2</v>
      </c>
      <c r="G466" s="48" t="s">
        <v>156</v>
      </c>
      <c r="H466" s="53" t="s">
        <v>900</v>
      </c>
    </row>
    <row r="467" spans="1:8" hidden="1">
      <c r="A467" s="47" t="s">
        <v>953</v>
      </c>
      <c r="B467" s="48"/>
      <c r="C467" s="48" t="s">
        <v>954</v>
      </c>
      <c r="D467" s="48" t="s">
        <v>953</v>
      </c>
      <c r="E467" s="48" t="s">
        <v>111</v>
      </c>
      <c r="F467" s="49">
        <v>5.3100000000000001E-2</v>
      </c>
      <c r="G467" s="48" t="s">
        <v>156</v>
      </c>
      <c r="H467" s="53" t="s">
        <v>900</v>
      </c>
    </row>
    <row r="468" spans="1:8" hidden="1">
      <c r="A468" s="47" t="s">
        <v>955</v>
      </c>
      <c r="B468" s="48"/>
      <c r="C468" s="48" t="s">
        <v>956</v>
      </c>
      <c r="D468" s="48" t="s">
        <v>955</v>
      </c>
      <c r="E468" s="48" t="s">
        <v>111</v>
      </c>
      <c r="F468" s="49">
        <v>2.5999999999999999E-2</v>
      </c>
      <c r="G468" s="48" t="s">
        <v>156</v>
      </c>
      <c r="H468" s="53" t="s">
        <v>900</v>
      </c>
    </row>
    <row r="469" spans="1:8" hidden="1">
      <c r="A469" s="47" t="s">
        <v>957</v>
      </c>
      <c r="B469" s="48"/>
      <c r="C469" s="48" t="s">
        <v>958</v>
      </c>
      <c r="D469" s="48" t="s">
        <v>957</v>
      </c>
      <c r="E469" s="48" t="s">
        <v>111</v>
      </c>
      <c r="F469" s="49">
        <v>7.0000000000000001E-3</v>
      </c>
      <c r="G469" s="48" t="s">
        <v>101</v>
      </c>
      <c r="H469" s="53" t="s">
        <v>900</v>
      </c>
    </row>
    <row r="470" spans="1:8" hidden="1">
      <c r="A470" s="47" t="s">
        <v>959</v>
      </c>
      <c r="B470" s="48"/>
      <c r="C470" s="48" t="s">
        <v>960</v>
      </c>
      <c r="D470" s="48" t="s">
        <v>959</v>
      </c>
      <c r="E470" s="48" t="s">
        <v>111</v>
      </c>
      <c r="F470" s="49">
        <v>7.8624078624078622E-2</v>
      </c>
      <c r="G470" s="48" t="s">
        <v>101</v>
      </c>
      <c r="H470" s="53" t="s">
        <v>900</v>
      </c>
    </row>
    <row r="471" spans="1:8" hidden="1">
      <c r="A471" s="47" t="s">
        <v>961</v>
      </c>
      <c r="B471" s="48"/>
      <c r="C471" s="48" t="s">
        <v>962</v>
      </c>
      <c r="D471" s="48" t="s">
        <v>961</v>
      </c>
      <c r="E471" s="48" t="s">
        <v>111</v>
      </c>
      <c r="F471" s="49">
        <v>0.04</v>
      </c>
      <c r="G471" s="48" t="s">
        <v>101</v>
      </c>
      <c r="H471" s="53" t="s">
        <v>900</v>
      </c>
    </row>
    <row r="472" spans="1:8" hidden="1">
      <c r="A472" s="47" t="s">
        <v>963</v>
      </c>
      <c r="B472" s="48"/>
      <c r="C472" s="48" t="s">
        <v>964</v>
      </c>
      <c r="D472" s="48" t="s">
        <v>963</v>
      </c>
      <c r="E472" s="48" t="s">
        <v>111</v>
      </c>
      <c r="F472" s="49">
        <v>4.9382716049382724E-3</v>
      </c>
      <c r="G472" s="48" t="s">
        <v>101</v>
      </c>
      <c r="H472" s="53" t="s">
        <v>900</v>
      </c>
    </row>
    <row r="473" spans="1:8" hidden="1">
      <c r="A473" s="47" t="s">
        <v>965</v>
      </c>
      <c r="B473" s="48"/>
      <c r="C473" s="48" t="s">
        <v>966</v>
      </c>
      <c r="D473" s="48" t="s">
        <v>965</v>
      </c>
      <c r="E473" s="48" t="s">
        <v>111</v>
      </c>
      <c r="F473" s="49">
        <v>7.717041800643086E-2</v>
      </c>
      <c r="G473" s="48" t="s">
        <v>101</v>
      </c>
      <c r="H473" s="53" t="s">
        <v>900</v>
      </c>
    </row>
    <row r="474" spans="1:8" hidden="1">
      <c r="A474" s="47" t="s">
        <v>967</v>
      </c>
      <c r="B474" s="48"/>
      <c r="C474" s="48" t="s">
        <v>968</v>
      </c>
      <c r="D474" s="48" t="s">
        <v>967</v>
      </c>
      <c r="E474" s="48" t="s">
        <v>111</v>
      </c>
      <c r="F474" s="49">
        <v>7.4226804123711326E-2</v>
      </c>
      <c r="G474" s="48" t="s">
        <v>101</v>
      </c>
      <c r="H474" s="53" t="s">
        <v>900</v>
      </c>
    </row>
    <row r="475" spans="1:8" hidden="1">
      <c r="A475" s="47" t="s">
        <v>969</v>
      </c>
      <c r="B475" s="48"/>
      <c r="C475" s="48" t="s">
        <v>970</v>
      </c>
      <c r="D475" s="48" t="s">
        <v>969</v>
      </c>
      <c r="E475" s="48" t="s">
        <v>111</v>
      </c>
      <c r="F475" s="49">
        <v>5.8616647127784291E-3</v>
      </c>
      <c r="G475" s="48" t="s">
        <v>101</v>
      </c>
      <c r="H475" s="53" t="s">
        <v>900</v>
      </c>
    </row>
    <row r="476" spans="1:8" hidden="1">
      <c r="A476" s="47" t="s">
        <v>971</v>
      </c>
      <c r="B476" s="48"/>
      <c r="C476" s="48" t="s">
        <v>972</v>
      </c>
      <c r="D476" s="48" t="s">
        <v>971</v>
      </c>
      <c r="E476" s="48" t="s">
        <v>111</v>
      </c>
      <c r="F476" s="49">
        <v>8.9999999999999993E-3</v>
      </c>
      <c r="G476" s="48" t="s">
        <v>101</v>
      </c>
      <c r="H476" s="53" t="s">
        <v>900</v>
      </c>
    </row>
    <row r="477" spans="1:8" hidden="1">
      <c r="A477" s="47" t="s">
        <v>973</v>
      </c>
      <c r="B477" s="48"/>
      <c r="C477" s="48" t="s">
        <v>974</v>
      </c>
      <c r="D477" s="48" t="s">
        <v>973</v>
      </c>
      <c r="E477" s="48" t="s">
        <v>111</v>
      </c>
      <c r="F477" s="49">
        <v>0.104</v>
      </c>
      <c r="G477" s="48" t="s">
        <v>101</v>
      </c>
      <c r="H477" s="53" t="s">
        <v>900</v>
      </c>
    </row>
    <row r="478" spans="1:8" hidden="1">
      <c r="A478" s="47" t="s">
        <v>975</v>
      </c>
      <c r="B478" s="48"/>
      <c r="C478" s="48" t="s">
        <v>976</v>
      </c>
      <c r="D478" s="48" t="s">
        <v>975</v>
      </c>
      <c r="E478" s="48" t="s">
        <v>111</v>
      </c>
      <c r="F478" s="49">
        <v>4.7789725209080054E-3</v>
      </c>
      <c r="G478" s="48" t="s">
        <v>101</v>
      </c>
      <c r="H478" s="53" t="s">
        <v>900</v>
      </c>
    </row>
    <row r="479" spans="1:8" hidden="1">
      <c r="A479" s="47" t="s">
        <v>1408</v>
      </c>
      <c r="B479" s="48"/>
      <c r="C479" s="48" t="s">
        <v>1409</v>
      </c>
      <c r="D479" s="48" t="s">
        <v>1408</v>
      </c>
      <c r="E479" s="48" t="s">
        <v>111</v>
      </c>
      <c r="F479" s="49">
        <v>2.6200000000000001E-2</v>
      </c>
      <c r="G479" s="48" t="s">
        <v>1410</v>
      </c>
      <c r="H479" s="53" t="s">
        <v>1411</v>
      </c>
    </row>
    <row r="480" spans="1:8" hidden="1">
      <c r="A480" s="47" t="s">
        <v>977</v>
      </c>
      <c r="B480" s="48"/>
      <c r="C480" s="48" t="s">
        <v>978</v>
      </c>
      <c r="D480" s="48" t="s">
        <v>977</v>
      </c>
      <c r="E480" s="48" t="s">
        <v>111</v>
      </c>
      <c r="F480" s="49">
        <v>0.104</v>
      </c>
      <c r="G480" s="48" t="s">
        <v>101</v>
      </c>
      <c r="H480" s="53" t="s">
        <v>900</v>
      </c>
    </row>
    <row r="481" spans="1:8" hidden="1">
      <c r="A481" s="47" t="s">
        <v>979</v>
      </c>
      <c r="B481" s="48"/>
      <c r="C481" s="48" t="s">
        <v>980</v>
      </c>
      <c r="D481" s="48" t="s">
        <v>979</v>
      </c>
      <c r="E481" s="48" t="s">
        <v>111</v>
      </c>
      <c r="F481" s="49">
        <v>1.7789072426937742E-2</v>
      </c>
      <c r="G481" s="48" t="s">
        <v>101</v>
      </c>
      <c r="H481" s="53" t="s">
        <v>900</v>
      </c>
    </row>
    <row r="482" spans="1:8" hidden="1">
      <c r="A482" s="47" t="s">
        <v>981</v>
      </c>
      <c r="B482" s="48"/>
      <c r="C482" s="48" t="s">
        <v>982</v>
      </c>
      <c r="D482" s="48" t="s">
        <v>981</v>
      </c>
      <c r="E482" s="48" t="s">
        <v>111</v>
      </c>
      <c r="F482" s="49">
        <v>4.4576523031203564E-3</v>
      </c>
      <c r="G482" s="48" t="s">
        <v>101</v>
      </c>
      <c r="H482" s="53" t="s">
        <v>900</v>
      </c>
    </row>
    <row r="483" spans="1:8" hidden="1">
      <c r="A483" s="47" t="s">
        <v>983</v>
      </c>
      <c r="B483" s="48"/>
      <c r="C483" s="48" t="s">
        <v>984</v>
      </c>
      <c r="D483" s="48" t="s">
        <v>983</v>
      </c>
      <c r="E483" s="48" t="s">
        <v>111</v>
      </c>
      <c r="F483" s="49">
        <v>4.4929396662387669E-3</v>
      </c>
      <c r="G483" s="48" t="s">
        <v>101</v>
      </c>
      <c r="H483" s="53" t="s">
        <v>900</v>
      </c>
    </row>
    <row r="484" spans="1:8" hidden="1">
      <c r="A484" s="47" t="s">
        <v>985</v>
      </c>
      <c r="B484" s="48"/>
      <c r="C484" s="48" t="s">
        <v>986</v>
      </c>
      <c r="D484" s="48" t="s">
        <v>985</v>
      </c>
      <c r="E484" s="48" t="s">
        <v>111</v>
      </c>
      <c r="F484" s="49">
        <v>6.1417322834645656E-3</v>
      </c>
      <c r="G484" s="48" t="s">
        <v>101</v>
      </c>
      <c r="H484" s="53" t="s">
        <v>900</v>
      </c>
    </row>
    <row r="485" spans="1:8" hidden="1">
      <c r="A485" s="47" t="s">
        <v>12</v>
      </c>
      <c r="B485" s="48"/>
      <c r="C485" s="48" t="s">
        <v>987</v>
      </c>
      <c r="D485" s="48" t="s">
        <v>12</v>
      </c>
      <c r="E485" s="48" t="s">
        <v>111</v>
      </c>
      <c r="F485" s="49">
        <v>5.8139534883720938E-3</v>
      </c>
      <c r="G485" s="48" t="s">
        <v>101</v>
      </c>
      <c r="H485" s="53" t="s">
        <v>900</v>
      </c>
    </row>
    <row r="486" spans="1:8" hidden="1">
      <c r="A486" s="47" t="s">
        <v>13</v>
      </c>
      <c r="B486" s="48"/>
      <c r="C486" s="48" t="s">
        <v>988</v>
      </c>
      <c r="D486" s="48" t="s">
        <v>13</v>
      </c>
      <c r="E486" s="48" t="s">
        <v>111</v>
      </c>
      <c r="F486" s="49">
        <v>2.4971623155505111E-2</v>
      </c>
      <c r="G486" s="48" t="s">
        <v>101</v>
      </c>
      <c r="H486" s="53" t="s">
        <v>900</v>
      </c>
    </row>
    <row r="487" spans="1:8" hidden="1">
      <c r="A487" s="47" t="s">
        <v>989</v>
      </c>
      <c r="B487" s="48"/>
      <c r="C487" s="48" t="s">
        <v>990</v>
      </c>
      <c r="D487" s="48" t="s">
        <v>989</v>
      </c>
      <c r="E487" s="48" t="s">
        <v>111</v>
      </c>
      <c r="F487" s="49">
        <v>1.4E-2</v>
      </c>
      <c r="G487" s="48" t="s">
        <v>101</v>
      </c>
      <c r="H487" s="53" t="s">
        <v>900</v>
      </c>
    </row>
    <row r="488" spans="1:8" hidden="1">
      <c r="A488" s="47" t="s">
        <v>991</v>
      </c>
      <c r="B488" s="48"/>
      <c r="C488" s="48" t="s">
        <v>992</v>
      </c>
      <c r="D488" s="48" t="s">
        <v>991</v>
      </c>
      <c r="E488" s="48" t="s">
        <v>111</v>
      </c>
      <c r="F488" s="49">
        <v>0.11</v>
      </c>
      <c r="G488" s="48" t="s">
        <v>101</v>
      </c>
      <c r="H488" s="53" t="s">
        <v>900</v>
      </c>
    </row>
    <row r="489" spans="1:8" hidden="1">
      <c r="A489" s="47" t="s">
        <v>52</v>
      </c>
      <c r="B489" s="48"/>
      <c r="C489" s="48" t="s">
        <v>993</v>
      </c>
      <c r="D489" s="48" t="s">
        <v>52</v>
      </c>
      <c r="E489" s="48" t="s">
        <v>111</v>
      </c>
      <c r="F489" s="49">
        <v>9.3676814988290415E-3</v>
      </c>
      <c r="G489" s="48" t="s">
        <v>101</v>
      </c>
      <c r="H489" s="53" t="s">
        <v>900</v>
      </c>
    </row>
    <row r="490" spans="1:8" hidden="1">
      <c r="A490" s="47" t="s">
        <v>994</v>
      </c>
      <c r="B490" s="48"/>
      <c r="C490" s="48" t="s">
        <v>995</v>
      </c>
      <c r="D490" s="48" t="s">
        <v>994</v>
      </c>
      <c r="E490" s="48" t="s">
        <v>111</v>
      </c>
      <c r="F490" s="49">
        <v>4.1469194312796203E-3</v>
      </c>
      <c r="G490" s="48" t="s">
        <v>101</v>
      </c>
      <c r="H490" s="53" t="s">
        <v>900</v>
      </c>
    </row>
    <row r="491" spans="1:8" hidden="1">
      <c r="A491" s="47" t="s">
        <v>996</v>
      </c>
      <c r="B491" s="48"/>
      <c r="C491" s="48" t="s">
        <v>997</v>
      </c>
      <c r="D491" s="48" t="s">
        <v>996</v>
      </c>
      <c r="E491" s="48" t="s">
        <v>111</v>
      </c>
      <c r="F491" s="49">
        <v>4.8409405255878293E-2</v>
      </c>
      <c r="G491" s="48" t="s">
        <v>101</v>
      </c>
      <c r="H491" s="53" t="s">
        <v>900</v>
      </c>
    </row>
    <row r="492" spans="1:8" hidden="1">
      <c r="A492" s="47" t="s">
        <v>998</v>
      </c>
      <c r="B492" s="48"/>
      <c r="C492" s="48" t="s">
        <v>999</v>
      </c>
      <c r="D492" s="48" t="s">
        <v>998</v>
      </c>
      <c r="E492" s="48" t="s">
        <v>111</v>
      </c>
      <c r="F492" s="49">
        <v>1.142857142857143E-2</v>
      </c>
      <c r="G492" s="48" t="s">
        <v>101</v>
      </c>
      <c r="H492" s="53" t="s">
        <v>900</v>
      </c>
    </row>
    <row r="493" spans="1:8" hidden="1">
      <c r="A493" s="47" t="s">
        <v>1000</v>
      </c>
      <c r="B493" s="48"/>
      <c r="C493" s="48" t="s">
        <v>1001</v>
      </c>
      <c r="D493" s="48" t="s">
        <v>1000</v>
      </c>
      <c r="E493" s="48" t="s">
        <v>111</v>
      </c>
      <c r="F493" s="49">
        <v>4.2857142857142868E-3</v>
      </c>
      <c r="G493" s="48" t="s">
        <v>101</v>
      </c>
      <c r="H493" s="53" t="s">
        <v>900</v>
      </c>
    </row>
    <row r="494" spans="1:8" hidden="1">
      <c r="A494" s="47" t="s">
        <v>11</v>
      </c>
      <c r="B494" s="48"/>
      <c r="C494" s="48" t="s">
        <v>1002</v>
      </c>
      <c r="D494" s="48" t="s">
        <v>11</v>
      </c>
      <c r="E494" s="48" t="s">
        <v>111</v>
      </c>
      <c r="F494" s="49">
        <v>1.2999999999999999E-2</v>
      </c>
      <c r="G494" s="48" t="s">
        <v>101</v>
      </c>
      <c r="H494" s="53" t="s">
        <v>900</v>
      </c>
    </row>
    <row r="495" spans="1:8" hidden="1">
      <c r="A495" s="47" t="s">
        <v>1003</v>
      </c>
      <c r="B495" s="48"/>
      <c r="C495" s="48" t="s">
        <v>1004</v>
      </c>
      <c r="D495" s="48" t="s">
        <v>1003</v>
      </c>
      <c r="E495" s="48" t="s">
        <v>111</v>
      </c>
      <c r="F495" s="49">
        <v>8.4337349397590362E-3</v>
      </c>
      <c r="G495" s="48" t="s">
        <v>101</v>
      </c>
      <c r="H495" s="53" t="s">
        <v>900</v>
      </c>
    </row>
    <row r="496" spans="1:8" hidden="1">
      <c r="A496" s="47" t="s">
        <v>1005</v>
      </c>
      <c r="B496" s="48"/>
      <c r="C496" s="48" t="s">
        <v>1006</v>
      </c>
      <c r="D496" s="48" t="s">
        <v>1005</v>
      </c>
      <c r="E496" s="48" t="s">
        <v>111</v>
      </c>
      <c r="F496" s="49">
        <v>1.259181532004197E-2</v>
      </c>
      <c r="G496" s="48" t="s">
        <v>101</v>
      </c>
      <c r="H496" s="53" t="s">
        <v>900</v>
      </c>
    </row>
    <row r="497" spans="1:8" hidden="1">
      <c r="A497" s="47" t="s">
        <v>1007</v>
      </c>
      <c r="B497" s="48"/>
      <c r="C497" s="48" t="s">
        <v>1008</v>
      </c>
      <c r="D497" s="48" t="s">
        <v>1007</v>
      </c>
      <c r="E497" s="48" t="s">
        <v>111</v>
      </c>
      <c r="F497" s="49">
        <v>7.0588235294117641E-3</v>
      </c>
      <c r="G497" s="48" t="s">
        <v>101</v>
      </c>
      <c r="H497" s="53" t="s">
        <v>900</v>
      </c>
    </row>
    <row r="498" spans="1:8" hidden="1">
      <c r="A498" s="47" t="s">
        <v>1009</v>
      </c>
      <c r="B498" s="48"/>
      <c r="C498" s="48" t="s">
        <v>1010</v>
      </c>
      <c r="D498" s="48" t="s">
        <v>1009</v>
      </c>
      <c r="E498" s="48" t="s">
        <v>111</v>
      </c>
      <c r="F498" s="49">
        <v>5.3846153846153849E-2</v>
      </c>
      <c r="G498" s="48" t="s">
        <v>101</v>
      </c>
      <c r="H498" s="53" t="s">
        <v>900</v>
      </c>
    </row>
    <row r="499" spans="1:8" hidden="1">
      <c r="A499" s="47" t="s">
        <v>1011</v>
      </c>
      <c r="B499" s="48"/>
      <c r="C499" s="48" t="s">
        <v>1012</v>
      </c>
      <c r="D499" s="48" t="s">
        <v>1011</v>
      </c>
      <c r="E499" s="48" t="s">
        <v>111</v>
      </c>
      <c r="F499" s="49">
        <v>1.641791044776119E-2</v>
      </c>
      <c r="G499" s="48" t="s">
        <v>101</v>
      </c>
      <c r="H499" s="53" t="s">
        <v>900</v>
      </c>
    </row>
    <row r="500" spans="1:8" hidden="1">
      <c r="A500" s="47" t="s">
        <v>1013</v>
      </c>
      <c r="B500" s="48"/>
      <c r="C500" s="48" t="s">
        <v>1014</v>
      </c>
      <c r="D500" s="48" t="s">
        <v>1013</v>
      </c>
      <c r="E500" s="48" t="s">
        <v>111</v>
      </c>
      <c r="F500" s="49">
        <v>0.02</v>
      </c>
      <c r="G500" s="48" t="s">
        <v>101</v>
      </c>
      <c r="H500" s="53" t="s">
        <v>900</v>
      </c>
    </row>
    <row r="501" spans="1:8" hidden="1">
      <c r="A501" s="47" t="s">
        <v>26</v>
      </c>
      <c r="B501" s="48"/>
      <c r="C501" s="48" t="s">
        <v>1015</v>
      </c>
      <c r="D501" s="48" t="s">
        <v>26</v>
      </c>
      <c r="E501" s="48" t="s">
        <v>111</v>
      </c>
      <c r="F501" s="49">
        <v>1.0088272383354351E-2</v>
      </c>
      <c r="G501" s="48" t="s">
        <v>101</v>
      </c>
      <c r="H501" s="53" t="s">
        <v>900</v>
      </c>
    </row>
    <row r="502" spans="1:8" hidden="1">
      <c r="A502" s="47" t="s">
        <v>1016</v>
      </c>
      <c r="B502" s="48"/>
      <c r="C502" s="48" t="s">
        <v>1017</v>
      </c>
      <c r="D502" s="48" t="s">
        <v>1016</v>
      </c>
      <c r="E502" s="48" t="s">
        <v>111</v>
      </c>
      <c r="F502" s="49">
        <v>0.04</v>
      </c>
      <c r="G502" s="48" t="s">
        <v>101</v>
      </c>
      <c r="H502" s="53" t="s">
        <v>900</v>
      </c>
    </row>
    <row r="503" spans="1:8" hidden="1">
      <c r="A503" s="47" t="s">
        <v>1412</v>
      </c>
      <c r="B503" s="48"/>
      <c r="C503" s="48" t="s">
        <v>1413</v>
      </c>
      <c r="D503" s="48" t="s">
        <v>1414</v>
      </c>
      <c r="E503" s="48" t="s">
        <v>111</v>
      </c>
      <c r="F503" s="49">
        <v>1.2999999999999999E-2</v>
      </c>
      <c r="G503" s="48" t="s">
        <v>101</v>
      </c>
      <c r="H503" s="53" t="s">
        <v>900</v>
      </c>
    </row>
    <row r="504" spans="1:8" hidden="1">
      <c r="A504" s="47" t="s">
        <v>1018</v>
      </c>
      <c r="B504" s="48"/>
      <c r="C504" s="48" t="s">
        <v>1019</v>
      </c>
      <c r="D504" s="48" t="s">
        <v>1018</v>
      </c>
      <c r="E504" s="48" t="s">
        <v>111</v>
      </c>
      <c r="F504" s="49">
        <v>5.741626794258374E-2</v>
      </c>
      <c r="G504" s="48" t="s">
        <v>101</v>
      </c>
      <c r="H504" s="53" t="s">
        <v>900</v>
      </c>
    </row>
    <row r="505" spans="1:8" hidden="1">
      <c r="A505" s="47" t="s">
        <v>1020</v>
      </c>
      <c r="B505" s="48"/>
      <c r="C505" s="48" t="s">
        <v>1021</v>
      </c>
      <c r="D505" s="48" t="s">
        <v>1020</v>
      </c>
      <c r="E505" s="48" t="s">
        <v>111</v>
      </c>
      <c r="F505" s="49">
        <v>4.0000000000000001E-3</v>
      </c>
      <c r="G505" s="48" t="s">
        <v>101</v>
      </c>
      <c r="H505" s="53" t="s">
        <v>900</v>
      </c>
    </row>
    <row r="506" spans="1:8" hidden="1">
      <c r="A506" s="47" t="s">
        <v>1022</v>
      </c>
      <c r="B506" s="48"/>
      <c r="C506" s="48" t="s">
        <v>1023</v>
      </c>
      <c r="D506" s="48" t="s">
        <v>1022</v>
      </c>
      <c r="E506" s="48" t="s">
        <v>111</v>
      </c>
      <c r="F506" s="49">
        <v>6.8846815834767653E-3</v>
      </c>
      <c r="G506" s="48" t="s">
        <v>101</v>
      </c>
      <c r="H506" s="53" t="s">
        <v>900</v>
      </c>
    </row>
    <row r="507" spans="1:8" hidden="1">
      <c r="A507" s="47" t="s">
        <v>1024</v>
      </c>
      <c r="B507" s="48"/>
      <c r="C507" s="48" t="s">
        <v>1025</v>
      </c>
      <c r="D507" s="48" t="s">
        <v>1024</v>
      </c>
      <c r="E507" s="48" t="s">
        <v>111</v>
      </c>
      <c r="F507" s="49">
        <v>1.0465116279069771E-2</v>
      </c>
      <c r="G507" s="48" t="s">
        <v>101</v>
      </c>
      <c r="H507" s="53" t="s">
        <v>900</v>
      </c>
    </row>
    <row r="508" spans="1:8" hidden="1">
      <c r="A508" s="47" t="s">
        <v>1026</v>
      </c>
      <c r="B508" s="48"/>
      <c r="C508" s="48" t="s">
        <v>1027</v>
      </c>
      <c r="D508" s="48" t="s">
        <v>1026</v>
      </c>
      <c r="E508" s="48" t="s">
        <v>111</v>
      </c>
      <c r="F508" s="49">
        <v>2.3231256599788811E-2</v>
      </c>
      <c r="G508" s="48" t="s">
        <v>101</v>
      </c>
      <c r="H508" s="53" t="s">
        <v>900</v>
      </c>
    </row>
    <row r="509" spans="1:8" hidden="1">
      <c r="A509" s="47" t="s">
        <v>1028</v>
      </c>
      <c r="B509" s="48"/>
      <c r="C509" s="48" t="s">
        <v>1029</v>
      </c>
      <c r="D509" s="48" t="s">
        <v>1028</v>
      </c>
      <c r="E509" s="48" t="s">
        <v>111</v>
      </c>
      <c r="F509" s="49">
        <v>3.3684210526315803E-2</v>
      </c>
      <c r="G509" s="48" t="s">
        <v>101</v>
      </c>
      <c r="H509" s="53" t="s">
        <v>900</v>
      </c>
    </row>
    <row r="510" spans="1:8" hidden="1">
      <c r="A510" s="47" t="s">
        <v>10</v>
      </c>
      <c r="B510" s="48"/>
      <c r="C510" s="48" t="s">
        <v>1030</v>
      </c>
      <c r="D510" s="48" t="s">
        <v>10</v>
      </c>
      <c r="E510" s="48" t="s">
        <v>111</v>
      </c>
      <c r="F510" s="49">
        <v>3.529411764705882E-3</v>
      </c>
      <c r="G510" s="48" t="s">
        <v>101</v>
      </c>
      <c r="H510" s="53" t="s">
        <v>900</v>
      </c>
    </row>
    <row r="511" spans="1:8" hidden="1">
      <c r="A511" s="47" t="s">
        <v>1031</v>
      </c>
      <c r="B511" s="48"/>
      <c r="C511" s="48" t="s">
        <v>1032</v>
      </c>
      <c r="D511" s="48" t="s">
        <v>1031</v>
      </c>
      <c r="E511" s="48" t="s">
        <v>111</v>
      </c>
      <c r="F511" s="49">
        <v>9.3457943925233621E-3</v>
      </c>
      <c r="G511" s="48" t="s">
        <v>101</v>
      </c>
      <c r="H511" s="53" t="s">
        <v>900</v>
      </c>
    </row>
    <row r="512" spans="1:8" hidden="1">
      <c r="A512" s="47" t="s">
        <v>1033</v>
      </c>
      <c r="B512" s="48"/>
      <c r="C512" s="48" t="s">
        <v>1034</v>
      </c>
      <c r="D512" s="48" t="s">
        <v>1033</v>
      </c>
      <c r="E512" s="48" t="s">
        <v>111</v>
      </c>
      <c r="F512" s="49">
        <v>1.5850144092219021E-2</v>
      </c>
      <c r="G512" s="48" t="s">
        <v>101</v>
      </c>
      <c r="H512" s="53" t="s">
        <v>900</v>
      </c>
    </row>
    <row r="513" spans="1:8" hidden="1">
      <c r="A513" s="47" t="s">
        <v>1035</v>
      </c>
      <c r="B513" s="48"/>
      <c r="C513" s="48" t="s">
        <v>1036</v>
      </c>
      <c r="D513" s="48" t="s">
        <v>1035</v>
      </c>
      <c r="E513" s="48" t="s">
        <v>111</v>
      </c>
      <c r="F513" s="49">
        <v>1.4981273408239701E-2</v>
      </c>
      <c r="G513" s="48" t="s">
        <v>101</v>
      </c>
      <c r="H513" s="53" t="s">
        <v>900</v>
      </c>
    </row>
    <row r="514" spans="1:8" hidden="1">
      <c r="A514" s="47" t="s">
        <v>1037</v>
      </c>
      <c r="B514" s="48"/>
      <c r="C514" s="48" t="s">
        <v>1038</v>
      </c>
      <c r="D514" s="48" t="s">
        <v>1037</v>
      </c>
      <c r="E514" s="48" t="s">
        <v>111</v>
      </c>
      <c r="F514" s="49">
        <v>4.4444444444444436E-3</v>
      </c>
      <c r="G514" s="48" t="s">
        <v>101</v>
      </c>
      <c r="H514" s="53" t="s">
        <v>900</v>
      </c>
    </row>
    <row r="515" spans="1:8" hidden="1">
      <c r="A515" s="47" t="s">
        <v>1039</v>
      </c>
      <c r="B515" s="48"/>
      <c r="C515" s="48" t="s">
        <v>1040</v>
      </c>
      <c r="D515" s="48" t="s">
        <v>1039</v>
      </c>
      <c r="E515" s="48" t="s">
        <v>111</v>
      </c>
      <c r="F515" s="49">
        <v>1.9431988041853511E-2</v>
      </c>
      <c r="G515" s="48" t="s">
        <v>101</v>
      </c>
      <c r="H515" s="53" t="s">
        <v>900</v>
      </c>
    </row>
    <row r="516" spans="1:8" hidden="1">
      <c r="A516" s="47" t="s">
        <v>40</v>
      </c>
      <c r="B516" s="48"/>
      <c r="C516" s="48" t="s">
        <v>1041</v>
      </c>
      <c r="D516" s="48" t="s">
        <v>40</v>
      </c>
      <c r="E516" s="48" t="s">
        <v>111</v>
      </c>
      <c r="F516" s="49">
        <v>3.3738191632928468E-3</v>
      </c>
      <c r="G516" s="48" t="s">
        <v>101</v>
      </c>
      <c r="H516" s="53" t="s">
        <v>900</v>
      </c>
    </row>
    <row r="517" spans="1:8" hidden="1">
      <c r="A517" s="47" t="s">
        <v>1042</v>
      </c>
      <c r="B517" s="48"/>
      <c r="C517" s="48" t="s">
        <v>1043</v>
      </c>
      <c r="D517" s="48" t="s">
        <v>1042</v>
      </c>
      <c r="E517" s="48" t="s">
        <v>111</v>
      </c>
      <c r="F517" s="49">
        <v>9.6618357487922701E-3</v>
      </c>
      <c r="G517" s="48" t="s">
        <v>101</v>
      </c>
      <c r="H517" s="53" t="s">
        <v>900</v>
      </c>
    </row>
    <row r="518" spans="1:8" hidden="1">
      <c r="A518" s="47" t="s">
        <v>1044</v>
      </c>
      <c r="B518" s="48"/>
      <c r="C518" s="48" t="s">
        <v>1045</v>
      </c>
      <c r="D518" s="48" t="s">
        <v>1044</v>
      </c>
      <c r="E518" s="48" t="s">
        <v>111</v>
      </c>
      <c r="F518" s="49">
        <v>5.021520803443329E-3</v>
      </c>
      <c r="G518" s="48" t="s">
        <v>101</v>
      </c>
      <c r="H518" s="53" t="s">
        <v>900</v>
      </c>
    </row>
    <row r="519" spans="1:8" hidden="1">
      <c r="A519" s="47" t="s">
        <v>1046</v>
      </c>
      <c r="B519" s="48"/>
      <c r="C519" s="48" t="s">
        <v>1047</v>
      </c>
      <c r="D519" s="48" t="s">
        <v>1046</v>
      </c>
      <c r="E519" s="48" t="s">
        <v>111</v>
      </c>
      <c r="F519" s="49">
        <v>0.104</v>
      </c>
      <c r="G519" s="48" t="s">
        <v>101</v>
      </c>
      <c r="H519" s="53" t="s">
        <v>900</v>
      </c>
    </row>
    <row r="520" spans="1:8" hidden="1">
      <c r="A520" s="47" t="s">
        <v>1048</v>
      </c>
      <c r="B520" s="48"/>
      <c r="C520" s="48" t="s">
        <v>1049</v>
      </c>
      <c r="D520" s="48" t="s">
        <v>1048</v>
      </c>
      <c r="E520" s="48" t="s">
        <v>111</v>
      </c>
      <c r="F520" s="49">
        <v>1.238390092879257E-2</v>
      </c>
      <c r="G520" s="48" t="s">
        <v>101</v>
      </c>
      <c r="H520" s="53" t="s">
        <v>900</v>
      </c>
    </row>
    <row r="521" spans="1:8" hidden="1">
      <c r="A521" s="47" t="s">
        <v>1050</v>
      </c>
      <c r="B521" s="48"/>
      <c r="C521" s="48" t="s">
        <v>1051</v>
      </c>
      <c r="D521" s="48" t="s">
        <v>1050</v>
      </c>
      <c r="E521" s="48" t="s">
        <v>111</v>
      </c>
      <c r="F521" s="49">
        <v>0.09</v>
      </c>
      <c r="G521" s="48" t="s">
        <v>101</v>
      </c>
      <c r="H521" s="53" t="s">
        <v>900</v>
      </c>
    </row>
    <row r="522" spans="1:8" hidden="1">
      <c r="A522" s="47" t="s">
        <v>51</v>
      </c>
      <c r="B522" s="48"/>
      <c r="C522" s="48" t="s">
        <v>1052</v>
      </c>
      <c r="D522" s="48" t="s">
        <v>51</v>
      </c>
      <c r="E522" s="48" t="s">
        <v>111</v>
      </c>
      <c r="F522" s="49">
        <v>6.6864784546805346E-3</v>
      </c>
      <c r="G522" s="48" t="s">
        <v>101</v>
      </c>
      <c r="H522" s="53" t="s">
        <v>900</v>
      </c>
    </row>
    <row r="523" spans="1:8" hidden="1">
      <c r="A523" s="47" t="s">
        <v>1053</v>
      </c>
      <c r="B523" s="48"/>
      <c r="C523" s="48" t="s">
        <v>1054</v>
      </c>
      <c r="D523" s="48" t="s">
        <v>1053</v>
      </c>
      <c r="E523" s="48" t="s">
        <v>111</v>
      </c>
      <c r="F523" s="49">
        <v>1.3293943870014769E-2</v>
      </c>
      <c r="G523" s="48" t="s">
        <v>101</v>
      </c>
      <c r="H523" s="53" t="s">
        <v>900</v>
      </c>
    </row>
    <row r="524" spans="1:8" hidden="1">
      <c r="A524" s="47" t="s">
        <v>1055</v>
      </c>
      <c r="B524" s="48"/>
      <c r="C524" s="48" t="s">
        <v>1056</v>
      </c>
      <c r="D524" s="48" t="s">
        <v>1055</v>
      </c>
      <c r="E524" s="48" t="s">
        <v>111</v>
      </c>
      <c r="F524" s="49">
        <v>1.3196480938416419E-2</v>
      </c>
      <c r="G524" s="48" t="s">
        <v>101</v>
      </c>
      <c r="H524" s="53" t="s">
        <v>900</v>
      </c>
    </row>
    <row r="525" spans="1:8" hidden="1">
      <c r="A525" s="47" t="s">
        <v>1057</v>
      </c>
      <c r="B525" s="48"/>
      <c r="C525" s="48" t="s">
        <v>1058</v>
      </c>
      <c r="D525" s="48" t="s">
        <v>1057</v>
      </c>
      <c r="E525" s="48" t="s">
        <v>111</v>
      </c>
      <c r="F525" s="49">
        <v>1.142857142857143E-2</v>
      </c>
      <c r="G525" s="48" t="s">
        <v>101</v>
      </c>
      <c r="H525" s="53" t="s">
        <v>900</v>
      </c>
    </row>
    <row r="526" spans="1:8" hidden="1">
      <c r="A526" s="47" t="s">
        <v>1059</v>
      </c>
      <c r="B526" s="48"/>
      <c r="C526" s="48" t="s">
        <v>1060</v>
      </c>
      <c r="D526" s="48" t="s">
        <v>1059</v>
      </c>
      <c r="E526" s="48" t="s">
        <v>111</v>
      </c>
      <c r="F526" s="49">
        <v>5.4794520547945206E-3</v>
      </c>
      <c r="G526" s="48" t="s">
        <v>101</v>
      </c>
      <c r="H526" s="53" t="s">
        <v>900</v>
      </c>
    </row>
    <row r="527" spans="1:8" ht="28.9" hidden="1" customHeight="1">
      <c r="A527" s="47" t="s">
        <v>1061</v>
      </c>
      <c r="B527" s="48"/>
      <c r="C527" s="48" t="s">
        <v>1062</v>
      </c>
      <c r="D527" s="48" t="s">
        <v>1061</v>
      </c>
      <c r="E527" s="48" t="s">
        <v>111</v>
      </c>
      <c r="F527" s="49">
        <v>6.553079947575359E-2</v>
      </c>
      <c r="G527" s="48" t="s">
        <v>101</v>
      </c>
      <c r="H527" s="53" t="s">
        <v>900</v>
      </c>
    </row>
    <row r="528" spans="1:8" hidden="1">
      <c r="A528" s="47" t="s">
        <v>1063</v>
      </c>
      <c r="B528" s="48"/>
      <c r="C528" s="48" t="s">
        <v>1064</v>
      </c>
      <c r="D528" s="48" t="s">
        <v>1063</v>
      </c>
      <c r="E528" s="48" t="s">
        <v>111</v>
      </c>
      <c r="F528" s="49">
        <v>6.4562410329985663E-3</v>
      </c>
      <c r="G528" s="48" t="s">
        <v>101</v>
      </c>
      <c r="H528" s="53" t="s">
        <v>900</v>
      </c>
    </row>
    <row r="529" spans="1:8" ht="28.9" hidden="1" customHeight="1">
      <c r="A529" s="47" t="s">
        <v>1065</v>
      </c>
      <c r="B529" s="48"/>
      <c r="C529" s="48" t="s">
        <v>1066</v>
      </c>
      <c r="D529" s="48" t="s">
        <v>1065</v>
      </c>
      <c r="E529" s="48" t="s">
        <v>111</v>
      </c>
      <c r="F529" s="49">
        <v>0.09</v>
      </c>
      <c r="G529" s="48" t="s">
        <v>101</v>
      </c>
      <c r="H529" s="53" t="s">
        <v>900</v>
      </c>
    </row>
    <row r="530" spans="1:8" hidden="1">
      <c r="A530" s="47" t="s">
        <v>20</v>
      </c>
      <c r="B530" s="48"/>
      <c r="C530" s="48" t="s">
        <v>1067</v>
      </c>
      <c r="D530" s="48" t="s">
        <v>20</v>
      </c>
      <c r="E530" s="48" t="s">
        <v>111</v>
      </c>
      <c r="F530" s="49">
        <v>4.5351473922902504E-3</v>
      </c>
      <c r="G530" s="48" t="s">
        <v>101</v>
      </c>
      <c r="H530" s="53" t="s">
        <v>900</v>
      </c>
    </row>
    <row r="531" spans="1:8" ht="28.9" hidden="1" customHeight="1">
      <c r="A531" s="47" t="s">
        <v>1068</v>
      </c>
      <c r="B531" s="48"/>
      <c r="C531" s="48" t="s">
        <v>1069</v>
      </c>
      <c r="D531" s="48" t="s">
        <v>1068</v>
      </c>
      <c r="E531" s="48" t="s">
        <v>111</v>
      </c>
      <c r="F531" s="49">
        <v>5.7142857142857143E-3</v>
      </c>
      <c r="G531" s="48" t="s">
        <v>101</v>
      </c>
      <c r="H531" s="53" t="s">
        <v>900</v>
      </c>
    </row>
    <row r="532" spans="1:8" ht="28.8" hidden="1">
      <c r="A532" s="47" t="s">
        <v>1070</v>
      </c>
      <c r="B532" s="48"/>
      <c r="C532" s="48" t="s">
        <v>1071</v>
      </c>
      <c r="D532" s="48" t="s">
        <v>1070</v>
      </c>
      <c r="E532" s="48" t="s">
        <v>14</v>
      </c>
      <c r="F532" s="49">
        <v>0.32</v>
      </c>
      <c r="G532" s="48" t="s">
        <v>1072</v>
      </c>
      <c r="H532" s="53" t="s">
        <v>1073</v>
      </c>
    </row>
    <row r="533" spans="1:8" hidden="1">
      <c r="A533" s="47" t="s">
        <v>1074</v>
      </c>
      <c r="B533" s="48"/>
      <c r="C533" s="48" t="s">
        <v>1075</v>
      </c>
      <c r="D533" s="48" t="s">
        <v>1074</v>
      </c>
      <c r="E533" s="48" t="s">
        <v>14</v>
      </c>
      <c r="F533" s="49">
        <v>0.46</v>
      </c>
      <c r="G533" s="48" t="s">
        <v>1072</v>
      </c>
      <c r="H533" s="53" t="s">
        <v>1073</v>
      </c>
    </row>
    <row r="534" spans="1:8" ht="28.8" hidden="1">
      <c r="A534" s="47" t="s">
        <v>1076</v>
      </c>
      <c r="B534" s="48"/>
      <c r="C534" s="48" t="s">
        <v>1077</v>
      </c>
      <c r="D534" s="48" t="s">
        <v>1076</v>
      </c>
      <c r="E534" s="48" t="s">
        <v>14</v>
      </c>
      <c r="F534" s="49">
        <v>0.78</v>
      </c>
      <c r="G534" s="48" t="s">
        <v>1072</v>
      </c>
      <c r="H534" s="53" t="s">
        <v>1073</v>
      </c>
    </row>
    <row r="535" spans="1:8" hidden="1">
      <c r="A535" s="47" t="s">
        <v>1415</v>
      </c>
      <c r="B535" s="48"/>
      <c r="C535" s="48" t="s">
        <v>1416</v>
      </c>
      <c r="D535" s="48" t="s">
        <v>1415</v>
      </c>
      <c r="E535" s="48" t="s">
        <v>111</v>
      </c>
      <c r="F535" s="49">
        <v>7.7999999999999996E-3</v>
      </c>
      <c r="G535" s="48" t="s">
        <v>156</v>
      </c>
      <c r="H535" s="53" t="s">
        <v>540</v>
      </c>
    </row>
    <row r="536" spans="1:8" hidden="1">
      <c r="A536" s="47" t="s">
        <v>1078</v>
      </c>
      <c r="B536" s="48"/>
      <c r="C536" s="48" t="s">
        <v>1079</v>
      </c>
      <c r="D536" s="48" t="s">
        <v>1078</v>
      </c>
      <c r="E536" s="48" t="s">
        <v>14</v>
      </c>
      <c r="F536" s="49">
        <v>5.8000000000000003E-2</v>
      </c>
      <c r="G536" s="48" t="s">
        <v>1072</v>
      </c>
      <c r="H536" s="53" t="s">
        <v>1073</v>
      </c>
    </row>
    <row r="537" spans="1:8" ht="28.9" hidden="1" customHeight="1">
      <c r="A537" s="47" t="s">
        <v>1080</v>
      </c>
      <c r="B537" s="48"/>
      <c r="C537" s="48" t="s">
        <v>1081</v>
      </c>
      <c r="D537" s="48" t="s">
        <v>1080</v>
      </c>
      <c r="E537" s="48" t="s">
        <v>14</v>
      </c>
      <c r="F537" s="49">
        <v>0.5</v>
      </c>
      <c r="G537" s="48" t="s">
        <v>1072</v>
      </c>
      <c r="H537" s="53" t="s">
        <v>1073</v>
      </c>
    </row>
    <row r="538" spans="1:8" hidden="1">
      <c r="A538" s="47" t="s">
        <v>1082</v>
      </c>
      <c r="B538" s="48"/>
      <c r="C538" s="48" t="s">
        <v>1083</v>
      </c>
      <c r="D538" s="48" t="s">
        <v>1082</v>
      </c>
      <c r="E538" s="48" t="s">
        <v>14</v>
      </c>
      <c r="F538" s="49">
        <v>0.30625000000000002</v>
      </c>
      <c r="G538" s="48" t="s">
        <v>1072</v>
      </c>
      <c r="H538" s="53" t="s">
        <v>1073</v>
      </c>
    </row>
    <row r="539" spans="1:8" hidden="1">
      <c r="A539" s="47" t="s">
        <v>1084</v>
      </c>
      <c r="B539" s="48"/>
      <c r="C539" s="48" t="s">
        <v>1085</v>
      </c>
      <c r="D539" s="48" t="s">
        <v>1084</v>
      </c>
      <c r="E539" s="48" t="s">
        <v>14</v>
      </c>
      <c r="F539" s="49">
        <v>0.2416666666666667</v>
      </c>
      <c r="G539" s="48" t="s">
        <v>1072</v>
      </c>
      <c r="H539" s="53" t="s">
        <v>1073</v>
      </c>
    </row>
    <row r="540" spans="1:8" hidden="1">
      <c r="A540" s="47" t="s">
        <v>1086</v>
      </c>
      <c r="B540" s="48"/>
      <c r="C540" s="48" t="s">
        <v>1087</v>
      </c>
      <c r="D540" s="48" t="s">
        <v>1086</v>
      </c>
      <c r="E540" s="48" t="s">
        <v>14</v>
      </c>
      <c r="F540" s="49">
        <v>0.25</v>
      </c>
      <c r="G540" s="48" t="s">
        <v>1072</v>
      </c>
      <c r="H540" s="53" t="s">
        <v>1073</v>
      </c>
    </row>
    <row r="541" spans="1:8" hidden="1">
      <c r="A541" s="47" t="s">
        <v>1088</v>
      </c>
      <c r="B541" s="48"/>
      <c r="C541" s="48" t="s">
        <v>1089</v>
      </c>
      <c r="D541" s="48" t="s">
        <v>1088</v>
      </c>
      <c r="E541" s="48" t="s">
        <v>14</v>
      </c>
      <c r="F541" s="49">
        <v>0.11</v>
      </c>
      <c r="G541" s="48" t="s">
        <v>1072</v>
      </c>
      <c r="H541" s="53" t="s">
        <v>1073</v>
      </c>
    </row>
    <row r="542" spans="1:8" hidden="1">
      <c r="A542" s="47" t="s">
        <v>1090</v>
      </c>
      <c r="B542" s="48"/>
      <c r="C542" s="48" t="s">
        <v>1091</v>
      </c>
      <c r="D542" s="48" t="s">
        <v>1090</v>
      </c>
      <c r="E542" s="48" t="s">
        <v>14</v>
      </c>
      <c r="F542" s="49">
        <v>0.13750000000000001</v>
      </c>
      <c r="G542" s="48" t="s">
        <v>1072</v>
      </c>
      <c r="H542" s="53" t="s">
        <v>1073</v>
      </c>
    </row>
    <row r="543" spans="1:8" ht="28.8" hidden="1">
      <c r="A543" s="47" t="s">
        <v>1092</v>
      </c>
      <c r="B543" s="48"/>
      <c r="C543" s="48" t="s">
        <v>1093</v>
      </c>
      <c r="D543" s="48" t="s">
        <v>1092</v>
      </c>
      <c r="E543" s="48" t="s">
        <v>14</v>
      </c>
      <c r="F543" s="49">
        <v>0.1075</v>
      </c>
      <c r="G543" s="48" t="s">
        <v>1072</v>
      </c>
      <c r="H543" s="53" t="s">
        <v>1073</v>
      </c>
    </row>
    <row r="544" spans="1:8" hidden="1">
      <c r="A544" s="47" t="s">
        <v>1094</v>
      </c>
      <c r="B544" s="48"/>
      <c r="C544" s="48" t="s">
        <v>1095</v>
      </c>
      <c r="D544" s="48" t="s">
        <v>1094</v>
      </c>
      <c r="E544" s="48" t="s">
        <v>14</v>
      </c>
      <c r="F544" s="49">
        <v>5.8999999999999997E-2</v>
      </c>
      <c r="G544" s="48" t="s">
        <v>1072</v>
      </c>
      <c r="H544" s="53" t="s">
        <v>1073</v>
      </c>
    </row>
    <row r="545" spans="1:8" hidden="1">
      <c r="A545" s="47" t="s">
        <v>1096</v>
      </c>
      <c r="B545" s="48"/>
      <c r="C545" s="48" t="s">
        <v>1097</v>
      </c>
      <c r="D545" s="48" t="s">
        <v>1096</v>
      </c>
      <c r="E545" s="48" t="s">
        <v>14</v>
      </c>
      <c r="F545" s="49">
        <v>6.7500000000000004E-2</v>
      </c>
      <c r="G545" s="48" t="s">
        <v>1072</v>
      </c>
      <c r="H545" s="53" t="s">
        <v>1073</v>
      </c>
    </row>
    <row r="546" spans="1:8" hidden="1">
      <c r="A546" s="47" t="s">
        <v>1098</v>
      </c>
      <c r="B546" s="48"/>
      <c r="C546" s="48" t="s">
        <v>1099</v>
      </c>
      <c r="D546" s="48" t="s">
        <v>1098</v>
      </c>
      <c r="E546" s="48" t="s">
        <v>14</v>
      </c>
      <c r="F546" s="49">
        <v>0.13250000000000001</v>
      </c>
      <c r="G546" s="48" t="s">
        <v>1072</v>
      </c>
      <c r="H546" s="53" t="s">
        <v>1073</v>
      </c>
    </row>
    <row r="547" spans="1:8" hidden="1">
      <c r="A547" s="47" t="s">
        <v>1100</v>
      </c>
      <c r="B547" s="48"/>
      <c r="C547" s="48" t="s">
        <v>1101</v>
      </c>
      <c r="D547" s="48" t="s">
        <v>1100</v>
      </c>
      <c r="E547" s="48" t="s">
        <v>14</v>
      </c>
      <c r="F547" s="49">
        <v>6.45E-3</v>
      </c>
      <c r="G547" s="48" t="s">
        <v>1072</v>
      </c>
      <c r="H547" s="53" t="s">
        <v>1073</v>
      </c>
    </row>
    <row r="548" spans="1:8" hidden="1">
      <c r="A548" s="47" t="s">
        <v>1102</v>
      </c>
      <c r="B548" s="48"/>
      <c r="C548" s="48" t="s">
        <v>1103</v>
      </c>
      <c r="D548" s="48" t="s">
        <v>1102</v>
      </c>
      <c r="E548" s="48" t="s">
        <v>14</v>
      </c>
      <c r="F548" s="49">
        <v>5.3333333333333337E-2</v>
      </c>
      <c r="G548" s="48" t="s">
        <v>1072</v>
      </c>
      <c r="H548" s="53" t="s">
        <v>1073</v>
      </c>
    </row>
    <row r="549" spans="1:8" hidden="1">
      <c r="A549" s="47" t="s">
        <v>1104</v>
      </c>
      <c r="B549" s="48"/>
      <c r="C549" s="48" t="s">
        <v>1105</v>
      </c>
      <c r="D549" s="48" t="s">
        <v>1104</v>
      </c>
      <c r="E549" s="48" t="s">
        <v>14</v>
      </c>
      <c r="F549" s="49">
        <v>6.5333333333333327E-2</v>
      </c>
      <c r="G549" s="48" t="s">
        <v>1072</v>
      </c>
      <c r="H549" s="53" t="s">
        <v>1073</v>
      </c>
    </row>
    <row r="550" spans="1:8" hidden="1">
      <c r="A550" s="47" t="s">
        <v>1106</v>
      </c>
      <c r="B550" s="48"/>
      <c r="C550" s="48" t="s">
        <v>1107</v>
      </c>
      <c r="D550" s="48" t="s">
        <v>1106</v>
      </c>
      <c r="E550" s="48" t="s">
        <v>14</v>
      </c>
      <c r="F550" s="49">
        <v>0.19</v>
      </c>
      <c r="G550" s="48" t="s">
        <v>1072</v>
      </c>
      <c r="H550" s="53" t="s">
        <v>1073</v>
      </c>
    </row>
    <row r="551" spans="1:8" hidden="1">
      <c r="A551" s="47" t="s">
        <v>1108</v>
      </c>
      <c r="B551" s="48"/>
      <c r="C551" s="48" t="s">
        <v>1109</v>
      </c>
      <c r="D551" s="48" t="s">
        <v>1108</v>
      </c>
      <c r="E551" s="48" t="s">
        <v>14</v>
      </c>
      <c r="F551" s="49">
        <v>1.9</v>
      </c>
      <c r="G551" s="48" t="s">
        <v>1072</v>
      </c>
      <c r="H551" s="53" t="s">
        <v>1073</v>
      </c>
    </row>
    <row r="552" spans="1:8" hidden="1">
      <c r="A552" s="47" t="s">
        <v>1110</v>
      </c>
      <c r="B552" s="48"/>
      <c r="C552" s="48" t="s">
        <v>1111</v>
      </c>
      <c r="D552" s="48" t="s">
        <v>1110</v>
      </c>
      <c r="E552" s="48" t="s">
        <v>14</v>
      </c>
      <c r="F552" s="49">
        <v>0.4</v>
      </c>
      <c r="G552" s="48" t="s">
        <v>1072</v>
      </c>
      <c r="H552" s="53" t="s">
        <v>1073</v>
      </c>
    </row>
    <row r="553" spans="1:8" hidden="1">
      <c r="A553" s="47" t="s">
        <v>1112</v>
      </c>
      <c r="B553" s="48"/>
      <c r="C553" s="48" t="s">
        <v>1113</v>
      </c>
      <c r="D553" s="48" t="s">
        <v>1112</v>
      </c>
      <c r="E553" s="48" t="s">
        <v>14</v>
      </c>
      <c r="F553" s="49">
        <v>0.46666666666666667</v>
      </c>
      <c r="G553" s="48" t="s">
        <v>1072</v>
      </c>
      <c r="H553" s="53" t="s">
        <v>1073</v>
      </c>
    </row>
    <row r="554" spans="1:8" hidden="1">
      <c r="A554" s="47" t="s">
        <v>1114</v>
      </c>
      <c r="B554" s="48"/>
      <c r="C554" s="48" t="s">
        <v>1115</v>
      </c>
      <c r="D554" s="48" t="s">
        <v>1114</v>
      </c>
      <c r="E554" s="48" t="s">
        <v>14</v>
      </c>
      <c r="F554" s="49">
        <v>0.32</v>
      </c>
      <c r="G554" s="48" t="s">
        <v>1072</v>
      </c>
      <c r="H554" s="53" t="s">
        <v>1073</v>
      </c>
    </row>
    <row r="555" spans="1:8" hidden="1">
      <c r="A555" s="47" t="s">
        <v>1116</v>
      </c>
      <c r="B555" s="48"/>
      <c r="C555" s="48" t="s">
        <v>1117</v>
      </c>
      <c r="D555" s="48" t="s">
        <v>1116</v>
      </c>
      <c r="E555" s="48" t="s">
        <v>14</v>
      </c>
      <c r="F555" s="49">
        <v>0.4</v>
      </c>
      <c r="G555" s="48" t="s">
        <v>1072</v>
      </c>
      <c r="H555" s="53" t="s">
        <v>1073</v>
      </c>
    </row>
    <row r="556" spans="1:8" hidden="1">
      <c r="A556" s="47" t="s">
        <v>1118</v>
      </c>
      <c r="B556" s="48"/>
      <c r="C556" s="48" t="s">
        <v>1119</v>
      </c>
      <c r="D556" s="48" t="s">
        <v>1118</v>
      </c>
      <c r="E556" s="48" t="s">
        <v>14</v>
      </c>
      <c r="F556" s="49">
        <v>0.36</v>
      </c>
      <c r="G556" s="48" t="s">
        <v>1072</v>
      </c>
      <c r="H556" s="53" t="s">
        <v>1073</v>
      </c>
    </row>
    <row r="557" spans="1:8" ht="28.9" hidden="1" customHeight="1">
      <c r="A557" s="47" t="s">
        <v>1120</v>
      </c>
      <c r="B557" s="48"/>
      <c r="C557" s="48" t="s">
        <v>1121</v>
      </c>
      <c r="D557" s="48" t="s">
        <v>1120</v>
      </c>
      <c r="E557" s="48" t="s">
        <v>14</v>
      </c>
      <c r="F557" s="49">
        <v>0.115</v>
      </c>
      <c r="G557" s="48" t="s">
        <v>1072</v>
      </c>
      <c r="H557" s="53" t="s">
        <v>1073</v>
      </c>
    </row>
    <row r="558" spans="1:8" hidden="1">
      <c r="A558" s="47" t="s">
        <v>1122</v>
      </c>
      <c r="B558" s="48"/>
      <c r="C558" s="48" t="s">
        <v>1123</v>
      </c>
      <c r="D558" s="48" t="s">
        <v>1122</v>
      </c>
      <c r="E558" s="48" t="s">
        <v>14</v>
      </c>
      <c r="F558" s="49">
        <v>0.93333333333333335</v>
      </c>
      <c r="G558" s="48" t="s">
        <v>1072</v>
      </c>
      <c r="H558" s="53" t="s">
        <v>1073</v>
      </c>
    </row>
    <row r="559" spans="1:8" hidden="1">
      <c r="A559" s="47" t="s">
        <v>1124</v>
      </c>
      <c r="B559" s="48"/>
      <c r="C559" s="48" t="s">
        <v>1125</v>
      </c>
      <c r="D559" s="48" t="s">
        <v>1124</v>
      </c>
      <c r="E559" s="48" t="s">
        <v>14</v>
      </c>
      <c r="F559" s="49">
        <v>0.38</v>
      </c>
      <c r="G559" s="48" t="s">
        <v>1072</v>
      </c>
      <c r="H559" s="53" t="s">
        <v>1073</v>
      </c>
    </row>
    <row r="560" spans="1:8" hidden="1">
      <c r="A560" s="47" t="s">
        <v>1126</v>
      </c>
      <c r="B560" s="48"/>
      <c r="C560" s="48" t="s">
        <v>1127</v>
      </c>
      <c r="D560" s="48" t="s">
        <v>1126</v>
      </c>
      <c r="E560" s="48" t="s">
        <v>14</v>
      </c>
      <c r="F560" s="49">
        <v>0.43</v>
      </c>
      <c r="G560" s="48" t="s">
        <v>1072</v>
      </c>
      <c r="H560" s="53" t="s">
        <v>1073</v>
      </c>
    </row>
    <row r="561" spans="1:8" hidden="1">
      <c r="A561" s="47" t="s">
        <v>1128</v>
      </c>
      <c r="B561" s="48"/>
      <c r="C561" s="48" t="s">
        <v>1129</v>
      </c>
      <c r="D561" s="48" t="s">
        <v>1128</v>
      </c>
      <c r="E561" s="48" t="s">
        <v>14</v>
      </c>
      <c r="F561" s="49">
        <v>0.18</v>
      </c>
      <c r="G561" s="48" t="s">
        <v>1072</v>
      </c>
      <c r="H561" s="53" t="s">
        <v>1073</v>
      </c>
    </row>
    <row r="562" spans="1:8" hidden="1">
      <c r="A562" s="47" t="s">
        <v>1130</v>
      </c>
      <c r="B562" s="48"/>
      <c r="C562" s="48" t="s">
        <v>1131</v>
      </c>
      <c r="D562" s="48" t="s">
        <v>1130</v>
      </c>
      <c r="E562" s="48" t="s">
        <v>14</v>
      </c>
      <c r="F562" s="49">
        <v>5.8888888888888888E-3</v>
      </c>
      <c r="G562" s="48" t="s">
        <v>1072</v>
      </c>
      <c r="H562" s="53" t="s">
        <v>1073</v>
      </c>
    </row>
    <row r="563" spans="1:8" ht="28.8" hidden="1">
      <c r="A563" s="47" t="s">
        <v>1132</v>
      </c>
      <c r="B563" s="48"/>
      <c r="C563" s="48" t="s">
        <v>1133</v>
      </c>
      <c r="D563" s="48" t="s">
        <v>1132</v>
      </c>
      <c r="E563" s="48" t="s">
        <v>14</v>
      </c>
      <c r="F563" s="49">
        <v>0.85</v>
      </c>
      <c r="G563" s="48" t="s">
        <v>1072</v>
      </c>
      <c r="H563" s="53" t="s">
        <v>1073</v>
      </c>
    </row>
    <row r="564" spans="1:8" hidden="1">
      <c r="A564" s="47" t="s">
        <v>1134</v>
      </c>
      <c r="B564" s="48"/>
      <c r="C564" s="48" t="s">
        <v>1135</v>
      </c>
      <c r="D564" s="48" t="s">
        <v>1134</v>
      </c>
      <c r="E564" s="48" t="s">
        <v>14</v>
      </c>
      <c r="F564" s="49">
        <v>0.18</v>
      </c>
      <c r="G564" s="48" t="s">
        <v>1072</v>
      </c>
      <c r="H564" s="53" t="s">
        <v>1073</v>
      </c>
    </row>
    <row r="565" spans="1:8" hidden="1">
      <c r="A565" s="47" t="s">
        <v>1136</v>
      </c>
      <c r="B565" s="48"/>
      <c r="C565" s="48" t="s">
        <v>1137</v>
      </c>
      <c r="D565" s="48" t="s">
        <v>1136</v>
      </c>
      <c r="E565" s="48" t="s">
        <v>14</v>
      </c>
      <c r="F565" s="49">
        <v>0.35</v>
      </c>
      <c r="G565" s="48" t="s">
        <v>1072</v>
      </c>
      <c r="H565" s="53" t="s">
        <v>1073</v>
      </c>
    </row>
    <row r="566" spans="1:8" hidden="1">
      <c r="A566" s="47" t="s">
        <v>1138</v>
      </c>
      <c r="B566" s="48"/>
      <c r="C566" s="48" t="s">
        <v>1139</v>
      </c>
      <c r="D566" s="48" t="s">
        <v>1138</v>
      </c>
      <c r="E566" s="48" t="s">
        <v>14</v>
      </c>
      <c r="F566" s="49">
        <v>0.35</v>
      </c>
      <c r="G566" s="48" t="s">
        <v>1072</v>
      </c>
      <c r="H566" s="53" t="s">
        <v>1073</v>
      </c>
    </row>
    <row r="567" spans="1:8" hidden="1">
      <c r="A567" s="47" t="s">
        <v>1140</v>
      </c>
      <c r="B567" s="48"/>
      <c r="C567" s="48" t="s">
        <v>1141</v>
      </c>
      <c r="D567" s="48" t="s">
        <v>1140</v>
      </c>
      <c r="E567" s="48" t="s">
        <v>14</v>
      </c>
      <c r="F567" s="49">
        <v>0.31</v>
      </c>
      <c r="G567" s="48" t="s">
        <v>1072</v>
      </c>
      <c r="H567" s="53" t="s">
        <v>1073</v>
      </c>
    </row>
    <row r="568" spans="1:8" hidden="1">
      <c r="A568" s="47" t="s">
        <v>1142</v>
      </c>
      <c r="B568" s="48"/>
      <c r="C568" s="48" t="s">
        <v>1143</v>
      </c>
      <c r="D568" s="48" t="s">
        <v>1142</v>
      </c>
      <c r="E568" s="48" t="s">
        <v>14</v>
      </c>
      <c r="F568" s="49">
        <v>0.38</v>
      </c>
      <c r="G568" s="48" t="s">
        <v>1072</v>
      </c>
      <c r="H568" s="53" t="s">
        <v>1073</v>
      </c>
    </row>
    <row r="569" spans="1:8" hidden="1">
      <c r="A569" s="47" t="s">
        <v>1144</v>
      </c>
      <c r="B569" s="48"/>
      <c r="C569" s="48" t="s">
        <v>1145</v>
      </c>
      <c r="D569" s="48" t="s">
        <v>1144</v>
      </c>
      <c r="E569" s="48" t="s">
        <v>14</v>
      </c>
      <c r="F569" s="49">
        <v>0.31</v>
      </c>
      <c r="G569" s="48" t="s">
        <v>1072</v>
      </c>
      <c r="H569" s="53" t="s">
        <v>1073</v>
      </c>
    </row>
    <row r="570" spans="1:8" hidden="1">
      <c r="A570" s="47" t="s">
        <v>1146</v>
      </c>
      <c r="B570" s="48"/>
      <c r="C570" s="48" t="s">
        <v>1147</v>
      </c>
      <c r="D570" s="48" t="s">
        <v>1146</v>
      </c>
      <c r="E570" s="48" t="s">
        <v>14</v>
      </c>
      <c r="F570" s="49">
        <v>0.31</v>
      </c>
      <c r="G570" s="48" t="s">
        <v>1072</v>
      </c>
      <c r="H570" s="53" t="s">
        <v>1073</v>
      </c>
    </row>
    <row r="571" spans="1:8" hidden="1">
      <c r="A571" s="47" t="s">
        <v>1148</v>
      </c>
      <c r="B571" s="48"/>
      <c r="C571" s="48" t="s">
        <v>1149</v>
      </c>
      <c r="D571" s="48" t="s">
        <v>1148</v>
      </c>
      <c r="E571" s="48" t="s">
        <v>14</v>
      </c>
      <c r="F571" s="49">
        <v>0.26</v>
      </c>
      <c r="G571" s="48" t="s">
        <v>1072</v>
      </c>
      <c r="H571" s="53" t="s">
        <v>1073</v>
      </c>
    </row>
    <row r="572" spans="1:8" ht="28.9" hidden="1" customHeight="1">
      <c r="A572" s="47" t="s">
        <v>1150</v>
      </c>
      <c r="B572" s="48"/>
      <c r="C572" s="48" t="s">
        <v>1151</v>
      </c>
      <c r="D572" s="48" t="s">
        <v>1150</v>
      </c>
      <c r="E572" s="48" t="s">
        <v>14</v>
      </c>
      <c r="F572" s="49">
        <v>0.21</v>
      </c>
      <c r="G572" s="48" t="s">
        <v>1072</v>
      </c>
      <c r="H572" s="53" t="s">
        <v>1073</v>
      </c>
    </row>
    <row r="573" spans="1:8" ht="28.9" hidden="1" customHeight="1">
      <c r="A573" s="47" t="s">
        <v>1152</v>
      </c>
      <c r="B573" s="48"/>
      <c r="C573" s="48" t="s">
        <v>1153</v>
      </c>
      <c r="D573" s="48" t="s">
        <v>1152</v>
      </c>
      <c r="E573" s="48" t="s">
        <v>14</v>
      </c>
      <c r="F573" s="49">
        <v>0.73333333333333328</v>
      </c>
      <c r="G573" s="48" t="s">
        <v>1072</v>
      </c>
      <c r="H573" s="53" t="s">
        <v>1073</v>
      </c>
    </row>
    <row r="574" spans="1:8" ht="28.9" hidden="1" customHeight="1">
      <c r="A574" s="47" t="s">
        <v>1154</v>
      </c>
      <c r="B574" s="48"/>
      <c r="C574" s="48" t="s">
        <v>1155</v>
      </c>
      <c r="D574" s="48" t="s">
        <v>1154</v>
      </c>
      <c r="E574" s="48" t="s">
        <v>14</v>
      </c>
      <c r="F574" s="49">
        <v>0.5</v>
      </c>
      <c r="G574" s="48" t="s">
        <v>1072</v>
      </c>
      <c r="H574" s="53" t="s">
        <v>1073</v>
      </c>
    </row>
    <row r="575" spans="1:8" hidden="1">
      <c r="A575" s="47" t="s">
        <v>1156</v>
      </c>
      <c r="B575" s="48"/>
      <c r="C575" s="48" t="s">
        <v>1157</v>
      </c>
      <c r="D575" s="48" t="s">
        <v>1156</v>
      </c>
      <c r="E575" s="48" t="s">
        <v>14</v>
      </c>
      <c r="F575" s="49">
        <v>0.6333333333333333</v>
      </c>
      <c r="G575" s="48" t="s">
        <v>1072</v>
      </c>
      <c r="H575" s="53" t="s">
        <v>1073</v>
      </c>
    </row>
    <row r="576" spans="1:8" ht="28.9" hidden="1" customHeight="1">
      <c r="A576" s="47" t="s">
        <v>1158</v>
      </c>
      <c r="B576" s="48"/>
      <c r="C576" s="48" t="s">
        <v>1159</v>
      </c>
      <c r="D576" s="48" t="s">
        <v>1158</v>
      </c>
      <c r="E576" s="48" t="s">
        <v>14</v>
      </c>
      <c r="F576" s="49">
        <v>0.51666666666666672</v>
      </c>
      <c r="G576" s="48" t="s">
        <v>1072</v>
      </c>
      <c r="H576" s="53" t="s">
        <v>1073</v>
      </c>
    </row>
    <row r="577" spans="1:8" hidden="1">
      <c r="A577" s="47" t="s">
        <v>1160</v>
      </c>
      <c r="B577" s="48"/>
      <c r="C577" s="48" t="s">
        <v>1161</v>
      </c>
      <c r="D577" s="48" t="s">
        <v>1160</v>
      </c>
      <c r="E577" s="48" t="s">
        <v>14</v>
      </c>
      <c r="F577" s="49">
        <v>0.17</v>
      </c>
      <c r="G577" s="48" t="s">
        <v>1072</v>
      </c>
      <c r="H577" s="53" t="s">
        <v>1073</v>
      </c>
    </row>
    <row r="578" spans="1:8" hidden="1">
      <c r="A578" s="47" t="s">
        <v>1162</v>
      </c>
      <c r="B578" s="48"/>
      <c r="C578" s="48" t="s">
        <v>1163</v>
      </c>
      <c r="D578" s="48" t="s">
        <v>1162</v>
      </c>
      <c r="E578" s="48" t="s">
        <v>14</v>
      </c>
      <c r="F578" s="49">
        <v>0.75</v>
      </c>
      <c r="G578" s="48" t="s">
        <v>1072</v>
      </c>
      <c r="H578" s="53" t="s">
        <v>1073</v>
      </c>
    </row>
    <row r="579" spans="1:8" ht="28.8" hidden="1">
      <c r="A579" s="47" t="s">
        <v>1164</v>
      </c>
      <c r="B579" s="48"/>
      <c r="C579" s="48" t="s">
        <v>1165</v>
      </c>
      <c r="D579" s="48" t="s">
        <v>1164</v>
      </c>
      <c r="E579" s="48" t="s">
        <v>14</v>
      </c>
      <c r="F579" s="49">
        <v>0.8</v>
      </c>
      <c r="G579" s="48" t="s">
        <v>1072</v>
      </c>
      <c r="H579" s="53" t="s">
        <v>1073</v>
      </c>
    </row>
    <row r="580" spans="1:8" ht="28.9" hidden="1" customHeight="1">
      <c r="A580" s="47" t="s">
        <v>1166</v>
      </c>
      <c r="B580" s="48"/>
      <c r="C580" s="48" t="s">
        <v>1167</v>
      </c>
      <c r="D580" s="48" t="s">
        <v>1166</v>
      </c>
      <c r="E580" s="48" t="s">
        <v>14</v>
      </c>
      <c r="F580" s="49">
        <v>0.6</v>
      </c>
      <c r="G580" s="48" t="s">
        <v>1072</v>
      </c>
      <c r="H580" s="53" t="s">
        <v>1073</v>
      </c>
    </row>
    <row r="581" spans="1:8" hidden="1">
      <c r="A581" s="47" t="s">
        <v>1168</v>
      </c>
      <c r="B581" s="48"/>
      <c r="C581" s="48" t="s">
        <v>1169</v>
      </c>
      <c r="D581" s="48" t="s">
        <v>1168</v>
      </c>
      <c r="E581" s="48" t="s">
        <v>14</v>
      </c>
      <c r="F581" s="49">
        <v>0.8</v>
      </c>
      <c r="G581" s="48" t="s">
        <v>1072</v>
      </c>
      <c r="H581" s="53" t="s">
        <v>1073</v>
      </c>
    </row>
    <row r="582" spans="1:8" hidden="1">
      <c r="A582" s="47" t="s">
        <v>1170</v>
      </c>
      <c r="B582" s="48"/>
      <c r="C582" s="48" t="s">
        <v>1171</v>
      </c>
      <c r="D582" s="48" t="s">
        <v>1170</v>
      </c>
      <c r="E582" s="48" t="s">
        <v>14</v>
      </c>
      <c r="F582" s="49">
        <v>0.215</v>
      </c>
      <c r="G582" s="48" t="s">
        <v>1072</v>
      </c>
      <c r="H582" s="53" t="s">
        <v>1073</v>
      </c>
    </row>
    <row r="583" spans="1:8" hidden="1">
      <c r="A583" s="47" t="s">
        <v>1172</v>
      </c>
      <c r="B583" s="48"/>
      <c r="C583" s="48" t="s">
        <v>1173</v>
      </c>
      <c r="D583" s="48" t="s">
        <v>1172</v>
      </c>
      <c r="E583" s="48" t="s">
        <v>14</v>
      </c>
      <c r="F583" s="49">
        <v>0.75</v>
      </c>
      <c r="G583" s="48" t="s">
        <v>1072</v>
      </c>
      <c r="H583" s="53" t="s">
        <v>1073</v>
      </c>
    </row>
    <row r="584" spans="1:8" hidden="1">
      <c r="A584" s="47" t="s">
        <v>1174</v>
      </c>
      <c r="B584" s="48"/>
      <c r="C584" s="48" t="s">
        <v>1175</v>
      </c>
      <c r="D584" s="48" t="s">
        <v>1174</v>
      </c>
      <c r="E584" s="48" t="s">
        <v>14</v>
      </c>
      <c r="F584" s="49">
        <v>0.86</v>
      </c>
      <c r="G584" s="48" t="s">
        <v>1072</v>
      </c>
      <c r="H584" s="53" t="s">
        <v>1073</v>
      </c>
    </row>
    <row r="585" spans="1:8" hidden="1">
      <c r="A585" s="47" t="s">
        <v>1176</v>
      </c>
      <c r="B585" s="48"/>
      <c r="C585" s="48" t="s">
        <v>1177</v>
      </c>
      <c r="D585" s="48" t="s">
        <v>1176</v>
      </c>
      <c r="E585" s="48" t="s">
        <v>14</v>
      </c>
      <c r="F585" s="49">
        <v>2.0384615384615379</v>
      </c>
      <c r="G585" s="48" t="s">
        <v>1072</v>
      </c>
      <c r="H585" s="53" t="s">
        <v>1073</v>
      </c>
    </row>
    <row r="586" spans="1:8" hidden="1">
      <c r="A586" s="47" t="s">
        <v>1178</v>
      </c>
      <c r="B586" s="48"/>
      <c r="C586" s="48" t="s">
        <v>1179</v>
      </c>
      <c r="D586" s="48" t="s">
        <v>1178</v>
      </c>
      <c r="E586" s="48" t="s">
        <v>14</v>
      </c>
      <c r="F586" s="49">
        <v>0.57999999999999996</v>
      </c>
      <c r="G586" s="48" t="s">
        <v>1072</v>
      </c>
      <c r="H586" s="53" t="s">
        <v>1073</v>
      </c>
    </row>
    <row r="587" spans="1:8" hidden="1">
      <c r="A587" s="47" t="s">
        <v>1180</v>
      </c>
      <c r="B587" s="48"/>
      <c r="C587" s="48" t="s">
        <v>1181</v>
      </c>
      <c r="D587" s="48" t="s">
        <v>1180</v>
      </c>
      <c r="E587" s="48" t="s">
        <v>14</v>
      </c>
      <c r="F587" s="49">
        <v>1.719E-2</v>
      </c>
      <c r="G587" s="48" t="s">
        <v>1072</v>
      </c>
      <c r="H587" s="53" t="s">
        <v>1073</v>
      </c>
    </row>
    <row r="588" spans="1:8" hidden="1">
      <c r="A588" s="47" t="s">
        <v>1182</v>
      </c>
      <c r="B588" s="48"/>
      <c r="C588" s="48" t="s">
        <v>1183</v>
      </c>
      <c r="D588" s="48" t="s">
        <v>1182</v>
      </c>
      <c r="E588" s="48" t="s">
        <v>14</v>
      </c>
      <c r="F588" s="49">
        <v>5.4999999999999997E-3</v>
      </c>
      <c r="G588" s="48" t="s">
        <v>1072</v>
      </c>
      <c r="H588" s="53" t="s">
        <v>1073</v>
      </c>
    </row>
    <row r="589" spans="1:8" ht="28.9" hidden="1" customHeight="1">
      <c r="A589" s="47" t="s">
        <v>1184</v>
      </c>
      <c r="B589" s="48"/>
      <c r="C589" s="48" t="s">
        <v>1185</v>
      </c>
      <c r="D589" s="48" t="s">
        <v>1184</v>
      </c>
      <c r="E589" s="48" t="s">
        <v>14</v>
      </c>
      <c r="F589" s="49">
        <v>2.4E-2</v>
      </c>
      <c r="G589" s="48" t="s">
        <v>1072</v>
      </c>
      <c r="H589" s="53" t="s">
        <v>1073</v>
      </c>
    </row>
    <row r="590" spans="1:8" hidden="1">
      <c r="A590" s="47" t="s">
        <v>1186</v>
      </c>
      <c r="B590" s="48"/>
      <c r="C590" s="48" t="s">
        <v>1187</v>
      </c>
      <c r="D590" s="48" t="s">
        <v>1186</v>
      </c>
      <c r="E590" s="48" t="s">
        <v>14</v>
      </c>
      <c r="F590" s="49">
        <v>7.5999999999999998E-2</v>
      </c>
      <c r="G590" s="48" t="s">
        <v>1072</v>
      </c>
      <c r="H590" s="53" t="s">
        <v>1073</v>
      </c>
    </row>
    <row r="591" spans="1:8" hidden="1">
      <c r="A591" s="47" t="s">
        <v>1188</v>
      </c>
      <c r="B591" s="48"/>
      <c r="C591" s="48" t="s">
        <v>1189</v>
      </c>
      <c r="D591" s="48" t="s">
        <v>1188</v>
      </c>
      <c r="E591" s="48" t="s">
        <v>14</v>
      </c>
      <c r="F591" s="49">
        <v>7.0000000000000007E-2</v>
      </c>
      <c r="G591" s="48" t="s">
        <v>1072</v>
      </c>
      <c r="H591" s="53" t="s">
        <v>1073</v>
      </c>
    </row>
    <row r="592" spans="1:8" hidden="1">
      <c r="A592" s="47" t="s">
        <v>1190</v>
      </c>
      <c r="B592" s="48"/>
      <c r="C592" s="48" t="s">
        <v>1191</v>
      </c>
      <c r="D592" s="48" t="s">
        <v>1190</v>
      </c>
      <c r="E592" s="48" t="s">
        <v>14</v>
      </c>
      <c r="F592" s="49">
        <v>3.5000000000000003E-2</v>
      </c>
      <c r="G592" s="48" t="s">
        <v>1072</v>
      </c>
      <c r="H592" s="53" t="s">
        <v>1073</v>
      </c>
    </row>
    <row r="593" spans="1:8" hidden="1">
      <c r="A593" s="47" t="s">
        <v>1192</v>
      </c>
      <c r="B593" s="48"/>
      <c r="C593" s="48" t="s">
        <v>1193</v>
      </c>
      <c r="D593" s="48" t="s">
        <v>1192</v>
      </c>
      <c r="E593" s="48" t="s">
        <v>14</v>
      </c>
      <c r="F593" s="49">
        <v>7.4999999999999997E-2</v>
      </c>
      <c r="G593" s="48" t="s">
        <v>1072</v>
      </c>
      <c r="H593" s="53" t="s">
        <v>1073</v>
      </c>
    </row>
    <row r="594" spans="1:8" ht="28.9" hidden="1" customHeight="1">
      <c r="A594" s="47" t="s">
        <v>1194</v>
      </c>
      <c r="B594" s="48"/>
      <c r="C594" s="48" t="s">
        <v>1195</v>
      </c>
      <c r="D594" s="48" t="s">
        <v>1194</v>
      </c>
      <c r="E594" s="48" t="s">
        <v>14</v>
      </c>
      <c r="F594" s="49">
        <v>0.2</v>
      </c>
      <c r="G594" s="48" t="s">
        <v>1072</v>
      </c>
      <c r="H594" s="53" t="s">
        <v>1073</v>
      </c>
    </row>
    <row r="595" spans="1:8" ht="28.9" hidden="1" customHeight="1">
      <c r="A595" s="47" t="s">
        <v>1196</v>
      </c>
      <c r="B595" s="48"/>
      <c r="C595" s="48" t="s">
        <v>1197</v>
      </c>
      <c r="D595" s="48" t="s">
        <v>1196</v>
      </c>
      <c r="E595" s="48" t="s">
        <v>14</v>
      </c>
      <c r="F595" s="49">
        <v>0.23400000000000001</v>
      </c>
      <c r="G595" s="48" t="s">
        <v>1072</v>
      </c>
      <c r="H595" s="53" t="s">
        <v>1073</v>
      </c>
    </row>
    <row r="596" spans="1:8" ht="28.9" hidden="1" customHeight="1">
      <c r="A596" s="47" t="s">
        <v>1198</v>
      </c>
      <c r="B596" s="48"/>
      <c r="C596" s="48" t="s">
        <v>1199</v>
      </c>
      <c r="D596" s="48" t="s">
        <v>1198</v>
      </c>
      <c r="E596" s="48" t="s">
        <v>14</v>
      </c>
      <c r="F596" s="49">
        <v>0.34</v>
      </c>
      <c r="G596" s="48" t="s">
        <v>1072</v>
      </c>
      <c r="H596" s="53" t="s">
        <v>1073</v>
      </c>
    </row>
    <row r="597" spans="1:8" hidden="1">
      <c r="A597" s="47" t="s">
        <v>1200</v>
      </c>
      <c r="B597" s="48"/>
      <c r="C597" s="48" t="s">
        <v>1201</v>
      </c>
      <c r="D597" s="48" t="s">
        <v>1200</v>
      </c>
      <c r="E597" s="48" t="s">
        <v>14</v>
      </c>
      <c r="F597" s="49">
        <v>0.185</v>
      </c>
      <c r="G597" s="48" t="s">
        <v>1072</v>
      </c>
      <c r="H597" s="53" t="s">
        <v>1073</v>
      </c>
    </row>
    <row r="598" spans="1:8" hidden="1">
      <c r="A598" s="47" t="s">
        <v>1202</v>
      </c>
      <c r="B598" s="48"/>
      <c r="C598" s="48" t="s">
        <v>1203</v>
      </c>
      <c r="D598" s="48" t="s">
        <v>1202</v>
      </c>
      <c r="E598" s="48" t="s">
        <v>14</v>
      </c>
      <c r="F598" s="49">
        <v>7.0000000000000007E-2</v>
      </c>
      <c r="G598" s="48" t="s">
        <v>1072</v>
      </c>
      <c r="H598" s="53" t="s">
        <v>1073</v>
      </c>
    </row>
    <row r="599" spans="1:8" hidden="1">
      <c r="A599" s="47" t="s">
        <v>1204</v>
      </c>
      <c r="B599" s="48"/>
      <c r="C599" s="48" t="s">
        <v>1205</v>
      </c>
      <c r="D599" s="48" t="s">
        <v>1204</v>
      </c>
      <c r="E599" s="48" t="s">
        <v>14</v>
      </c>
      <c r="F599" s="49">
        <v>0.16500000000000001</v>
      </c>
      <c r="G599" s="48" t="s">
        <v>1072</v>
      </c>
      <c r="H599" s="53" t="s">
        <v>1073</v>
      </c>
    </row>
    <row r="600" spans="1:8" ht="28.8" hidden="1">
      <c r="A600" s="47" t="s">
        <v>1206</v>
      </c>
      <c r="B600" s="48"/>
      <c r="C600" s="48" t="s">
        <v>1207</v>
      </c>
      <c r="D600" s="48" t="s">
        <v>1206</v>
      </c>
      <c r="E600" s="48" t="s">
        <v>14</v>
      </c>
      <c r="F600" s="49">
        <v>0.77500000000000002</v>
      </c>
      <c r="G600" s="48" t="s">
        <v>1072</v>
      </c>
      <c r="H600" s="53" t="s">
        <v>1073</v>
      </c>
    </row>
    <row r="601" spans="1:8" ht="28.8" hidden="1">
      <c r="A601" s="47" t="s">
        <v>1208</v>
      </c>
      <c r="B601" s="48"/>
      <c r="C601" s="48" t="s">
        <v>1209</v>
      </c>
      <c r="D601" s="48" t="s">
        <v>1208</v>
      </c>
      <c r="E601" s="48" t="s">
        <v>14</v>
      </c>
      <c r="F601" s="49">
        <v>0.83199999999999996</v>
      </c>
      <c r="G601" s="48" t="s">
        <v>1072</v>
      </c>
      <c r="H601" s="53" t="s">
        <v>1073</v>
      </c>
    </row>
    <row r="602" spans="1:8" ht="28.8" hidden="1">
      <c r="A602" s="47" t="s">
        <v>1210</v>
      </c>
      <c r="B602" s="48"/>
      <c r="C602" s="48" t="s">
        <v>1211</v>
      </c>
      <c r="D602" s="48" t="s">
        <v>1210</v>
      </c>
      <c r="E602" s="48" t="s">
        <v>14</v>
      </c>
      <c r="F602" s="49">
        <v>0.34</v>
      </c>
      <c r="G602" s="48" t="s">
        <v>1072</v>
      </c>
      <c r="H602" s="53" t="s">
        <v>1073</v>
      </c>
    </row>
    <row r="603" spans="1:8" hidden="1">
      <c r="A603" s="47" t="s">
        <v>1212</v>
      </c>
      <c r="B603" s="48"/>
      <c r="C603" s="48" t="s">
        <v>1213</v>
      </c>
      <c r="D603" s="48" t="s">
        <v>1212</v>
      </c>
      <c r="E603" s="48" t="s">
        <v>14</v>
      </c>
      <c r="F603" s="49">
        <v>0.67200000000000004</v>
      </c>
      <c r="G603" s="48" t="s">
        <v>1072</v>
      </c>
      <c r="H603" s="53" t="s">
        <v>1073</v>
      </c>
    </row>
    <row r="604" spans="1:8" ht="28.9" hidden="1" customHeight="1">
      <c r="A604" s="47" t="s">
        <v>1214</v>
      </c>
      <c r="B604" s="48"/>
      <c r="C604" s="48" t="s">
        <v>1215</v>
      </c>
      <c r="D604" s="48" t="s">
        <v>1214</v>
      </c>
      <c r="E604" s="48" t="s">
        <v>14</v>
      </c>
      <c r="F604" s="49">
        <v>0.32</v>
      </c>
      <c r="G604" s="48" t="s">
        <v>1072</v>
      </c>
      <c r="H604" s="53" t="s">
        <v>1073</v>
      </c>
    </row>
    <row r="605" spans="1:8" hidden="1">
      <c r="A605" s="47" t="s">
        <v>1216</v>
      </c>
      <c r="B605" s="48"/>
      <c r="C605" s="48" t="s">
        <v>1217</v>
      </c>
      <c r="D605" s="48" t="s">
        <v>1216</v>
      </c>
      <c r="E605" s="48" t="s">
        <v>14</v>
      </c>
      <c r="F605" s="49">
        <v>0.28999999999999998</v>
      </c>
      <c r="G605" s="48" t="s">
        <v>1072</v>
      </c>
      <c r="H605" s="53" t="s">
        <v>1073</v>
      </c>
    </row>
    <row r="606" spans="1:8" hidden="1">
      <c r="A606" s="47" t="s">
        <v>1218</v>
      </c>
      <c r="B606" s="48"/>
      <c r="C606" s="48" t="s">
        <v>1219</v>
      </c>
      <c r="D606" s="48" t="s">
        <v>1218</v>
      </c>
      <c r="E606" s="48" t="s">
        <v>14</v>
      </c>
      <c r="F606" s="49">
        <v>0.21</v>
      </c>
      <c r="G606" s="48" t="s">
        <v>1072</v>
      </c>
      <c r="H606" s="53" t="s">
        <v>1073</v>
      </c>
    </row>
    <row r="607" spans="1:8" hidden="1">
      <c r="A607" s="47" t="s">
        <v>1220</v>
      </c>
      <c r="B607" s="48"/>
      <c r="C607" s="48" t="s">
        <v>1221</v>
      </c>
      <c r="D607" s="48" t="s">
        <v>1220</v>
      </c>
      <c r="E607" s="48" t="s">
        <v>14</v>
      </c>
      <c r="F607" s="49">
        <v>0.28000000000000003</v>
      </c>
      <c r="G607" s="48" t="s">
        <v>1072</v>
      </c>
      <c r="H607" s="53" t="s">
        <v>1073</v>
      </c>
    </row>
    <row r="608" spans="1:8" hidden="1">
      <c r="A608" s="47" t="s">
        <v>1222</v>
      </c>
      <c r="B608" s="48"/>
      <c r="C608" s="48" t="s">
        <v>1223</v>
      </c>
      <c r="D608" s="48" t="s">
        <v>1222</v>
      </c>
      <c r="E608" s="48" t="s">
        <v>14</v>
      </c>
      <c r="F608" s="49">
        <v>0.2</v>
      </c>
      <c r="G608" s="48" t="s">
        <v>1072</v>
      </c>
      <c r="H608" s="53" t="s">
        <v>1073</v>
      </c>
    </row>
    <row r="609" spans="1:8" ht="28.9" hidden="1" customHeight="1">
      <c r="A609" s="47" t="s">
        <v>1224</v>
      </c>
      <c r="B609" s="48"/>
      <c r="C609" s="48" t="s">
        <v>1225</v>
      </c>
      <c r="D609" s="48" t="s">
        <v>1224</v>
      </c>
      <c r="E609" s="48" t="s">
        <v>14</v>
      </c>
      <c r="F609" s="49">
        <v>0.9</v>
      </c>
      <c r="G609" s="48" t="s">
        <v>1072</v>
      </c>
      <c r="H609" s="53" t="s">
        <v>1073</v>
      </c>
    </row>
    <row r="610" spans="1:8" ht="28.9" hidden="1" customHeight="1">
      <c r="A610" s="47" t="s">
        <v>1226</v>
      </c>
      <c r="B610" s="48"/>
      <c r="C610" s="48" t="s">
        <v>1227</v>
      </c>
      <c r="D610" s="48" t="s">
        <v>1226</v>
      </c>
      <c r="E610" s="48" t="s">
        <v>14</v>
      </c>
      <c r="F610" s="49">
        <v>0.224</v>
      </c>
      <c r="G610" s="48" t="s">
        <v>1072</v>
      </c>
      <c r="H610" s="53" t="s">
        <v>1073</v>
      </c>
    </row>
    <row r="611" spans="1:8" hidden="1">
      <c r="A611" s="47" t="s">
        <v>1228</v>
      </c>
      <c r="B611" s="48"/>
      <c r="C611" s="48" t="s">
        <v>1229</v>
      </c>
      <c r="D611" s="48" t="s">
        <v>1228</v>
      </c>
      <c r="E611" s="48" t="s">
        <v>14</v>
      </c>
      <c r="F611" s="49">
        <v>0.26</v>
      </c>
      <c r="G611" s="48" t="s">
        <v>1072</v>
      </c>
      <c r="H611" s="53" t="s">
        <v>1073</v>
      </c>
    </row>
    <row r="612" spans="1:8" hidden="1">
      <c r="A612" s="47" t="s">
        <v>1230</v>
      </c>
      <c r="B612" s="48"/>
      <c r="C612" s="48" t="s">
        <v>1231</v>
      </c>
      <c r="D612" s="48" t="s">
        <v>1230</v>
      </c>
      <c r="E612" s="48" t="s">
        <v>14</v>
      </c>
      <c r="F612" s="49">
        <v>0.39200000000000002</v>
      </c>
      <c r="G612" s="48" t="s">
        <v>1072</v>
      </c>
      <c r="H612" s="53" t="s">
        <v>1073</v>
      </c>
    </row>
    <row r="613" spans="1:8" hidden="1">
      <c r="A613" s="47" t="s">
        <v>1232</v>
      </c>
      <c r="B613" s="48"/>
      <c r="C613" s="48" t="s">
        <v>1233</v>
      </c>
      <c r="D613" s="48" t="s">
        <v>1232</v>
      </c>
      <c r="E613" s="48" t="s">
        <v>14</v>
      </c>
      <c r="F613" s="49">
        <v>0.27</v>
      </c>
      <c r="G613" s="48" t="s">
        <v>1072</v>
      </c>
      <c r="H613" s="53" t="s">
        <v>1073</v>
      </c>
    </row>
    <row r="614" spans="1:8" ht="28.9" hidden="1" customHeight="1">
      <c r="A614" s="47" t="s">
        <v>1234</v>
      </c>
      <c r="B614" s="48"/>
      <c r="C614" s="48" t="s">
        <v>1235</v>
      </c>
      <c r="D614" s="48" t="s">
        <v>1234</v>
      </c>
      <c r="E614" s="48" t="s">
        <v>14</v>
      </c>
      <c r="F614" s="49">
        <v>0.224</v>
      </c>
      <c r="G614" s="48" t="s">
        <v>1072</v>
      </c>
      <c r="H614" s="53" t="s">
        <v>1073</v>
      </c>
    </row>
    <row r="615" spans="1:8" ht="28.9" hidden="1" customHeight="1">
      <c r="A615" s="47" t="s">
        <v>1236</v>
      </c>
      <c r="B615" s="48"/>
      <c r="C615" s="48" t="s">
        <v>1237</v>
      </c>
      <c r="D615" s="48" t="s">
        <v>1236</v>
      </c>
      <c r="E615" s="48" t="s">
        <v>14</v>
      </c>
      <c r="F615" s="49">
        <v>0.25</v>
      </c>
      <c r="G615" s="48" t="s">
        <v>1072</v>
      </c>
      <c r="H615" s="53" t="s">
        <v>1073</v>
      </c>
    </row>
    <row r="616" spans="1:8" ht="28.9" hidden="1" customHeight="1">
      <c r="A616" s="47" t="s">
        <v>1238</v>
      </c>
      <c r="B616" s="48"/>
      <c r="C616" s="48" t="s">
        <v>1239</v>
      </c>
      <c r="D616" s="48" t="s">
        <v>1238</v>
      </c>
      <c r="E616" s="48" t="s">
        <v>14</v>
      </c>
      <c r="F616" s="49">
        <v>0.35</v>
      </c>
      <c r="G616" s="48" t="s">
        <v>1072</v>
      </c>
      <c r="H616" s="53" t="s">
        <v>1073</v>
      </c>
    </row>
    <row r="617" spans="1:8" ht="28.9" hidden="1" customHeight="1">
      <c r="A617" s="47" t="s">
        <v>1240</v>
      </c>
      <c r="B617" s="48"/>
      <c r="C617" s="48" t="s">
        <v>1241</v>
      </c>
      <c r="D617" s="48" t="s">
        <v>1240</v>
      </c>
      <c r="E617" s="48" t="s">
        <v>14</v>
      </c>
      <c r="F617" s="49">
        <v>0.155</v>
      </c>
      <c r="G617" s="48" t="s">
        <v>1072</v>
      </c>
      <c r="H617" s="53" t="s">
        <v>1073</v>
      </c>
    </row>
    <row r="618" spans="1:8" ht="28.9" hidden="1" customHeight="1">
      <c r="A618" s="47" t="s">
        <v>1242</v>
      </c>
      <c r="B618" s="48"/>
      <c r="C618" s="48" t="s">
        <v>1243</v>
      </c>
      <c r="D618" s="48" t="s">
        <v>1242</v>
      </c>
      <c r="E618" s="48" t="s">
        <v>14</v>
      </c>
      <c r="F618" s="49">
        <v>0.21249999999999999</v>
      </c>
      <c r="G618" s="48" t="s">
        <v>1072</v>
      </c>
      <c r="H618" s="53" t="s">
        <v>1073</v>
      </c>
    </row>
    <row r="619" spans="1:8" ht="28.9" hidden="1" customHeight="1">
      <c r="A619" s="47" t="s">
        <v>1244</v>
      </c>
      <c r="B619" s="48"/>
      <c r="C619" s="48" t="s">
        <v>1245</v>
      </c>
      <c r="D619" s="48" t="s">
        <v>1244</v>
      </c>
      <c r="E619" s="48" t="s">
        <v>14</v>
      </c>
      <c r="F619" s="49">
        <v>0.21249999999999999</v>
      </c>
      <c r="G619" s="48" t="s">
        <v>1072</v>
      </c>
      <c r="H619" s="53" t="s">
        <v>1073</v>
      </c>
    </row>
    <row r="620" spans="1:8" ht="28.9" hidden="1" customHeight="1">
      <c r="A620" s="47" t="s">
        <v>1246</v>
      </c>
      <c r="B620" s="48"/>
      <c r="C620" s="48" t="s">
        <v>1247</v>
      </c>
      <c r="D620" s="48" t="s">
        <v>1246</v>
      </c>
      <c r="E620" s="48"/>
      <c r="F620" s="49">
        <v>0.53333333333333333</v>
      </c>
      <c r="G620" s="48" t="s">
        <v>1072</v>
      </c>
      <c r="H620" s="53" t="s">
        <v>1073</v>
      </c>
    </row>
    <row r="621" spans="1:8" ht="28.9" hidden="1" customHeight="1">
      <c r="A621" s="47" t="s">
        <v>1248</v>
      </c>
      <c r="B621" s="48"/>
      <c r="C621" s="48" t="s">
        <v>1249</v>
      </c>
      <c r="D621" s="48" t="s">
        <v>1248</v>
      </c>
      <c r="E621" s="48" t="s">
        <v>14</v>
      </c>
      <c r="F621" s="49">
        <v>0.66666666666666663</v>
      </c>
      <c r="G621" s="48" t="s">
        <v>1072</v>
      </c>
      <c r="H621" s="53" t="s">
        <v>1073</v>
      </c>
    </row>
    <row r="622" spans="1:8" ht="28.9" hidden="1" customHeight="1">
      <c r="A622" s="47" t="s">
        <v>1250</v>
      </c>
      <c r="B622" s="48"/>
      <c r="C622" s="48" t="s">
        <v>1251</v>
      </c>
      <c r="D622" s="48" t="s">
        <v>1250</v>
      </c>
      <c r="E622" s="48" t="s">
        <v>14</v>
      </c>
      <c r="F622" s="49">
        <v>0.57999999999999996</v>
      </c>
      <c r="G622" s="48" t="s">
        <v>1072</v>
      </c>
      <c r="H622" s="53" t="s">
        <v>1073</v>
      </c>
    </row>
    <row r="623" spans="1:8" ht="28.9" hidden="1" customHeight="1">
      <c r="A623" s="47" t="s">
        <v>1252</v>
      </c>
      <c r="B623" s="48"/>
      <c r="C623" s="48" t="s">
        <v>1253</v>
      </c>
      <c r="D623" s="48" t="s">
        <v>1252</v>
      </c>
      <c r="E623" s="48" t="s">
        <v>14</v>
      </c>
      <c r="F623" s="49">
        <v>0.87</v>
      </c>
      <c r="G623" s="48" t="s">
        <v>1072</v>
      </c>
      <c r="H623" s="53" t="s">
        <v>1073</v>
      </c>
    </row>
    <row r="624" spans="1:8" ht="28.8" hidden="1">
      <c r="A624" s="47" t="s">
        <v>1254</v>
      </c>
      <c r="B624" s="48"/>
      <c r="C624" s="48" t="s">
        <v>1255</v>
      </c>
      <c r="D624" s="48" t="s">
        <v>1254</v>
      </c>
      <c r="E624" s="48" t="s">
        <v>14</v>
      </c>
      <c r="F624" s="49">
        <v>1.166666666666667</v>
      </c>
      <c r="G624" s="48" t="s">
        <v>1072</v>
      </c>
      <c r="H624" s="53" t="s">
        <v>1073</v>
      </c>
    </row>
    <row r="625" spans="1:8" ht="28.8" hidden="1">
      <c r="A625" s="47" t="s">
        <v>1256</v>
      </c>
      <c r="B625" s="48"/>
      <c r="C625" s="48" t="s">
        <v>1257</v>
      </c>
      <c r="D625" s="48" t="s">
        <v>1256</v>
      </c>
      <c r="E625" s="48" t="s">
        <v>14</v>
      </c>
      <c r="F625" s="49">
        <v>0.65</v>
      </c>
      <c r="G625" s="48" t="s">
        <v>1072</v>
      </c>
      <c r="H625" s="53" t="s">
        <v>1073</v>
      </c>
    </row>
    <row r="626" spans="1:8" ht="28.8" hidden="1">
      <c r="A626" s="47" t="s">
        <v>1258</v>
      </c>
      <c r="B626" s="48"/>
      <c r="C626" s="48" t="s">
        <v>1259</v>
      </c>
      <c r="D626" s="48" t="s">
        <v>1258</v>
      </c>
      <c r="E626" s="48" t="s">
        <v>14</v>
      </c>
      <c r="F626" s="49">
        <v>0.8666666666666667</v>
      </c>
      <c r="G626" s="48" t="s">
        <v>1072</v>
      </c>
      <c r="H626" s="53" t="s">
        <v>1073</v>
      </c>
    </row>
    <row r="627" spans="1:8" ht="28.8" hidden="1">
      <c r="A627" s="47" t="s">
        <v>1260</v>
      </c>
      <c r="B627" s="48"/>
      <c r="C627" s="48" t="s">
        <v>1261</v>
      </c>
      <c r="D627" s="48" t="s">
        <v>1260</v>
      </c>
      <c r="E627" s="48" t="s">
        <v>14</v>
      </c>
      <c r="F627" s="49">
        <v>0.434</v>
      </c>
      <c r="G627" s="48" t="s">
        <v>1072</v>
      </c>
      <c r="H627" s="53" t="s">
        <v>1073</v>
      </c>
    </row>
    <row r="628" spans="1:8" ht="28.8" hidden="1">
      <c r="A628" s="47" t="s">
        <v>1262</v>
      </c>
      <c r="B628" s="48"/>
      <c r="C628" s="48" t="s">
        <v>1263</v>
      </c>
      <c r="D628" s="48" t="s">
        <v>1262</v>
      </c>
      <c r="E628" s="48" t="s">
        <v>14</v>
      </c>
      <c r="F628" s="49">
        <v>3.8</v>
      </c>
      <c r="G628" s="48" t="s">
        <v>1072</v>
      </c>
      <c r="H628" s="53" t="s">
        <v>1073</v>
      </c>
    </row>
    <row r="629" spans="1:8" ht="28.8" hidden="1">
      <c r="A629" s="47" t="s">
        <v>1264</v>
      </c>
      <c r="B629" s="48"/>
      <c r="C629" s="48" t="s">
        <v>1265</v>
      </c>
      <c r="D629" s="48" t="s">
        <v>1264</v>
      </c>
      <c r="E629" s="48" t="s">
        <v>14</v>
      </c>
      <c r="F629" s="49">
        <v>1.85</v>
      </c>
      <c r="G629" s="48" t="s">
        <v>1072</v>
      </c>
      <c r="H629" s="53" t="s">
        <v>1073</v>
      </c>
    </row>
    <row r="630" spans="1:8" hidden="1">
      <c r="A630" s="47" t="s">
        <v>1266</v>
      </c>
      <c r="B630" s="48"/>
      <c r="C630" s="48" t="s">
        <v>1267</v>
      </c>
      <c r="D630" s="48" t="s">
        <v>1266</v>
      </c>
      <c r="E630" s="48" t="s">
        <v>14</v>
      </c>
      <c r="F630" s="49">
        <v>1.1951041666666671</v>
      </c>
      <c r="G630" s="48" t="s">
        <v>1072</v>
      </c>
      <c r="H630" s="53" t="s">
        <v>1073</v>
      </c>
    </row>
    <row r="631" spans="1:8" hidden="1">
      <c r="A631" s="47" t="s">
        <v>1268</v>
      </c>
      <c r="B631" s="48"/>
      <c r="C631" s="48" t="s">
        <v>1269</v>
      </c>
      <c r="D631" s="48" t="s">
        <v>1268</v>
      </c>
      <c r="E631" s="48" t="s">
        <v>14</v>
      </c>
      <c r="F631" s="49">
        <v>0.17499999999999999</v>
      </c>
      <c r="G631" s="48" t="s">
        <v>1072</v>
      </c>
      <c r="H631" s="53" t="s">
        <v>1073</v>
      </c>
    </row>
    <row r="632" spans="1:8" hidden="1">
      <c r="A632" s="47" t="s">
        <v>1270</v>
      </c>
      <c r="B632" s="48"/>
      <c r="C632" s="48" t="s">
        <v>1271</v>
      </c>
      <c r="D632" s="48" t="s">
        <v>1270</v>
      </c>
      <c r="E632" s="48" t="s">
        <v>14</v>
      </c>
      <c r="F632" s="49">
        <v>0.37</v>
      </c>
      <c r="G632" s="48" t="s">
        <v>1072</v>
      </c>
      <c r="H632" s="53" t="s">
        <v>1073</v>
      </c>
    </row>
    <row r="633" spans="1:8" hidden="1">
      <c r="A633" s="47" t="s">
        <v>1272</v>
      </c>
      <c r="B633" s="48"/>
      <c r="C633" s="48" t="s">
        <v>1273</v>
      </c>
      <c r="D633" s="48" t="s">
        <v>1272</v>
      </c>
      <c r="E633" s="48" t="s">
        <v>14</v>
      </c>
      <c r="F633" s="49">
        <v>0.44</v>
      </c>
      <c r="G633" s="48" t="s">
        <v>1072</v>
      </c>
      <c r="H633" s="53" t="s">
        <v>1073</v>
      </c>
    </row>
    <row r="634" spans="1:8" hidden="1">
      <c r="A634" s="47" t="s">
        <v>1274</v>
      </c>
      <c r="B634" s="48"/>
      <c r="C634" s="48" t="s">
        <v>1275</v>
      </c>
      <c r="D634" s="48" t="s">
        <v>1274</v>
      </c>
      <c r="E634" s="48" t="s">
        <v>14</v>
      </c>
      <c r="F634" s="49">
        <v>3.1428571428571428</v>
      </c>
      <c r="G634" s="48" t="s">
        <v>1072</v>
      </c>
      <c r="H634" s="53" t="s">
        <v>1073</v>
      </c>
    </row>
    <row r="635" spans="1:8" hidden="1">
      <c r="A635" s="47" t="s">
        <v>1276</v>
      </c>
      <c r="B635" s="48"/>
      <c r="C635" s="48" t="s">
        <v>1277</v>
      </c>
      <c r="D635" s="48" t="s">
        <v>1276</v>
      </c>
      <c r="E635" s="48" t="s">
        <v>14</v>
      </c>
      <c r="F635" s="49">
        <v>2.5714285714285721</v>
      </c>
      <c r="G635" s="48" t="s">
        <v>1072</v>
      </c>
      <c r="H635" s="53" t="s">
        <v>1073</v>
      </c>
    </row>
    <row r="636" spans="1:8" hidden="1">
      <c r="A636" s="47" t="s">
        <v>1278</v>
      </c>
      <c r="B636" s="48"/>
      <c r="C636" s="48" t="s">
        <v>1279</v>
      </c>
      <c r="D636" s="48" t="s">
        <v>1278</v>
      </c>
      <c r="E636" s="48" t="s">
        <v>14</v>
      </c>
      <c r="F636" s="49">
        <v>1.319444444444444</v>
      </c>
      <c r="G636" s="48" t="s">
        <v>1072</v>
      </c>
      <c r="H636" s="53" t="s">
        <v>1073</v>
      </c>
    </row>
    <row r="637" spans="1:8" hidden="1">
      <c r="A637" s="47" t="s">
        <v>1280</v>
      </c>
      <c r="B637" s="48"/>
      <c r="C637" s="48" t="s">
        <v>1281</v>
      </c>
      <c r="D637" s="48" t="s">
        <v>1280</v>
      </c>
      <c r="E637" s="48" t="s">
        <v>14</v>
      </c>
      <c r="F637" s="49">
        <v>0.27333333333333332</v>
      </c>
      <c r="G637" s="48" t="s">
        <v>1072</v>
      </c>
      <c r="H637" s="53" t="s">
        <v>1073</v>
      </c>
    </row>
    <row r="638" spans="1:8" hidden="1">
      <c r="A638" s="47" t="s">
        <v>1282</v>
      </c>
      <c r="B638" s="48"/>
      <c r="C638" s="48" t="s">
        <v>1283</v>
      </c>
      <c r="D638" s="48" t="s">
        <v>1282</v>
      </c>
      <c r="E638" s="48" t="s">
        <v>14</v>
      </c>
      <c r="F638" s="49">
        <v>0.108</v>
      </c>
      <c r="G638" s="48" t="s">
        <v>1072</v>
      </c>
      <c r="H638" s="53" t="s">
        <v>1073</v>
      </c>
    </row>
    <row r="639" spans="1:8" hidden="1">
      <c r="A639" s="47" t="s">
        <v>1284</v>
      </c>
      <c r="B639" s="48"/>
      <c r="C639" s="48" t="s">
        <v>1285</v>
      </c>
      <c r="D639" s="48" t="s">
        <v>1284</v>
      </c>
      <c r="E639" s="48" t="s">
        <v>14</v>
      </c>
      <c r="F639" s="49">
        <v>3.5000000000000003E-2</v>
      </c>
      <c r="G639" s="48" t="s">
        <v>1072</v>
      </c>
      <c r="H639" s="53" t="s">
        <v>1073</v>
      </c>
    </row>
    <row r="640" spans="1:8" hidden="1">
      <c r="A640" s="47" t="s">
        <v>1286</v>
      </c>
      <c r="B640" s="48"/>
      <c r="C640" s="48" t="s">
        <v>1287</v>
      </c>
      <c r="D640" s="48" t="s">
        <v>1286</v>
      </c>
      <c r="E640" s="48" t="s">
        <v>14</v>
      </c>
      <c r="F640" s="49">
        <v>7.0000000000000007E-2</v>
      </c>
      <c r="G640" s="48" t="s">
        <v>1072</v>
      </c>
      <c r="H640" s="53" t="s">
        <v>1073</v>
      </c>
    </row>
    <row r="641" spans="1:8" hidden="1">
      <c r="A641" s="47" t="s">
        <v>1288</v>
      </c>
      <c r="B641" s="48"/>
      <c r="C641" s="48" t="s">
        <v>1289</v>
      </c>
      <c r="D641" s="48" t="s">
        <v>1288</v>
      </c>
      <c r="E641" s="48" t="s">
        <v>14</v>
      </c>
      <c r="F641" s="49">
        <v>0.03</v>
      </c>
      <c r="G641" s="48" t="s">
        <v>1072</v>
      </c>
      <c r="H641" s="53" t="s">
        <v>1073</v>
      </c>
    </row>
    <row r="642" spans="1:8" hidden="1">
      <c r="A642" s="47" t="s">
        <v>1290</v>
      </c>
      <c r="B642" s="48"/>
      <c r="C642" s="48" t="s">
        <v>1291</v>
      </c>
      <c r="D642" s="48" t="s">
        <v>1290</v>
      </c>
      <c r="E642" s="48" t="s">
        <v>14</v>
      </c>
      <c r="F642" s="49">
        <v>0.08</v>
      </c>
      <c r="G642" s="48" t="s">
        <v>1072</v>
      </c>
      <c r="H642" s="53" t="s">
        <v>1073</v>
      </c>
    </row>
    <row r="643" spans="1:8" hidden="1">
      <c r="A643" s="47" t="s">
        <v>1292</v>
      </c>
      <c r="B643" s="48"/>
      <c r="C643" s="48" t="s">
        <v>1293</v>
      </c>
      <c r="D643" s="48" t="s">
        <v>1292</v>
      </c>
      <c r="E643" s="48" t="s">
        <v>14</v>
      </c>
      <c r="F643" s="49">
        <v>3.5999999999999997E-2</v>
      </c>
      <c r="G643" s="48" t="s">
        <v>1072</v>
      </c>
      <c r="H643" s="53" t="s">
        <v>1073</v>
      </c>
    </row>
    <row r="644" spans="1:8" hidden="1">
      <c r="A644" s="47" t="s">
        <v>1294</v>
      </c>
      <c r="B644" s="48"/>
      <c r="C644" s="48" t="s">
        <v>1295</v>
      </c>
      <c r="D644" s="48" t="s">
        <v>1294</v>
      </c>
      <c r="E644" s="48" t="s">
        <v>14</v>
      </c>
      <c r="F644" s="49">
        <v>7.0000000000000007E-2</v>
      </c>
      <c r="G644" s="48" t="s">
        <v>1072</v>
      </c>
      <c r="H644" s="53" t="s">
        <v>1073</v>
      </c>
    </row>
    <row r="645" spans="1:8" hidden="1">
      <c r="A645" s="47" t="s">
        <v>1296</v>
      </c>
      <c r="B645" s="48"/>
      <c r="C645" s="48" t="s">
        <v>1297</v>
      </c>
      <c r="D645" s="48" t="s">
        <v>1296</v>
      </c>
      <c r="E645" s="48" t="s">
        <v>14</v>
      </c>
      <c r="F645" s="49">
        <v>2.3E-2</v>
      </c>
      <c r="G645" s="48" t="s">
        <v>1072</v>
      </c>
      <c r="H645" s="53" t="s">
        <v>1073</v>
      </c>
    </row>
    <row r="646" spans="1:8" hidden="1">
      <c r="A646" s="47" t="s">
        <v>1298</v>
      </c>
      <c r="B646" s="48"/>
      <c r="C646" s="48" t="s">
        <v>1299</v>
      </c>
      <c r="D646" s="48" t="s">
        <v>1298</v>
      </c>
      <c r="E646" s="48" t="s">
        <v>14</v>
      </c>
      <c r="F646" s="49">
        <v>2.8000000000000001E-2</v>
      </c>
      <c r="G646" s="48" t="s">
        <v>1072</v>
      </c>
      <c r="H646" s="53" t="s">
        <v>1073</v>
      </c>
    </row>
    <row r="647" spans="1:8" hidden="1">
      <c r="A647" s="47" t="s">
        <v>1300</v>
      </c>
      <c r="B647" s="48"/>
      <c r="C647" s="48" t="s">
        <v>1301</v>
      </c>
      <c r="D647" s="48" t="s">
        <v>1300</v>
      </c>
      <c r="E647" s="48" t="s">
        <v>14</v>
      </c>
      <c r="F647" s="49">
        <v>7.5999999999999998E-2</v>
      </c>
      <c r="G647" s="48" t="s">
        <v>1072</v>
      </c>
      <c r="H647" s="53" t="s">
        <v>1073</v>
      </c>
    </row>
    <row r="648" spans="1:8" hidden="1">
      <c r="A648" s="47" t="s">
        <v>1302</v>
      </c>
      <c r="B648" s="48"/>
      <c r="C648" s="48" t="s">
        <v>1303</v>
      </c>
      <c r="D648" s="48" t="s">
        <v>1302</v>
      </c>
      <c r="E648" s="48" t="s">
        <v>14</v>
      </c>
      <c r="F648" s="49">
        <v>7.0000000000000007E-2</v>
      </c>
      <c r="G648" s="48" t="s">
        <v>1072</v>
      </c>
      <c r="H648" s="53" t="s">
        <v>1073</v>
      </c>
    </row>
    <row r="649" spans="1:8" hidden="1">
      <c r="A649" s="47" t="s">
        <v>1304</v>
      </c>
      <c r="B649" s="48"/>
      <c r="C649" s="48" t="s">
        <v>1305</v>
      </c>
      <c r="D649" s="48" t="s">
        <v>1304</v>
      </c>
      <c r="E649" s="48" t="s">
        <v>14</v>
      </c>
      <c r="F649" s="49">
        <v>7.5999999999999998E-2</v>
      </c>
      <c r="G649" s="48" t="s">
        <v>1072</v>
      </c>
      <c r="H649" s="53" t="s">
        <v>1073</v>
      </c>
    </row>
    <row r="650" spans="1:8" hidden="1">
      <c r="A650" s="47" t="s">
        <v>1306</v>
      </c>
      <c r="B650" s="48"/>
      <c r="C650" s="48" t="s">
        <v>1307</v>
      </c>
      <c r="D650" s="48" t="s">
        <v>1306</v>
      </c>
      <c r="E650" s="48" t="s">
        <v>14</v>
      </c>
      <c r="F650" s="49">
        <v>3.4500000000000003E-2</v>
      </c>
      <c r="G650" s="48" t="s">
        <v>1072</v>
      </c>
      <c r="H650" s="53" t="s">
        <v>1073</v>
      </c>
    </row>
    <row r="651" spans="1:8" hidden="1">
      <c r="A651" s="47" t="s">
        <v>1308</v>
      </c>
      <c r="B651" s="48"/>
      <c r="C651" s="48" t="s">
        <v>1309</v>
      </c>
      <c r="D651" s="48" t="s">
        <v>1308</v>
      </c>
      <c r="E651" s="48" t="s">
        <v>14</v>
      </c>
      <c r="F651" s="49">
        <v>3.4500000000000003E-2</v>
      </c>
      <c r="G651" s="48" t="s">
        <v>1072</v>
      </c>
      <c r="H651" s="53" t="s">
        <v>1073</v>
      </c>
    </row>
    <row r="652" spans="1:8" hidden="1">
      <c r="A652" s="47" t="s">
        <v>1310</v>
      </c>
      <c r="B652" s="48"/>
      <c r="C652" s="48" t="s">
        <v>1311</v>
      </c>
      <c r="D652" s="48" t="s">
        <v>1310</v>
      </c>
      <c r="E652" s="48" t="s">
        <v>14</v>
      </c>
      <c r="F652" s="49">
        <v>7.0000000000000007E-2</v>
      </c>
      <c r="G652" s="48" t="s">
        <v>1072</v>
      </c>
      <c r="H652" s="53" t="s">
        <v>1073</v>
      </c>
    </row>
    <row r="653" spans="1:8" hidden="1">
      <c r="A653" s="47" t="s">
        <v>1312</v>
      </c>
      <c r="B653" s="48"/>
      <c r="C653" s="48" t="s">
        <v>1313</v>
      </c>
      <c r="D653" s="48" t="s">
        <v>1312</v>
      </c>
      <c r="E653" s="48" t="s">
        <v>14</v>
      </c>
      <c r="F653" s="49">
        <v>7.0000000000000007E-2</v>
      </c>
      <c r="G653" s="48" t="s">
        <v>1072</v>
      </c>
      <c r="H653" s="53" t="s">
        <v>1073</v>
      </c>
    </row>
    <row r="654" spans="1:8" hidden="1">
      <c r="A654" s="47" t="s">
        <v>1314</v>
      </c>
      <c r="B654" s="48"/>
      <c r="C654" s="48" t="s">
        <v>1315</v>
      </c>
      <c r="D654" s="48" t="s">
        <v>1314</v>
      </c>
      <c r="E654" s="48" t="s">
        <v>14</v>
      </c>
      <c r="F654" s="49">
        <v>0.05</v>
      </c>
      <c r="G654" s="48" t="s">
        <v>1072</v>
      </c>
      <c r="H654" s="53" t="s">
        <v>1073</v>
      </c>
    </row>
    <row r="655" spans="1:8" hidden="1">
      <c r="A655" s="47" t="s">
        <v>1316</v>
      </c>
      <c r="B655" s="48"/>
      <c r="C655" s="48" t="s">
        <v>1317</v>
      </c>
      <c r="D655" s="48" t="s">
        <v>1316</v>
      </c>
      <c r="E655" s="48" t="s">
        <v>14</v>
      </c>
      <c r="F655" s="49">
        <v>2.7820000000000001E-2</v>
      </c>
      <c r="G655" s="48" t="s">
        <v>1072</v>
      </c>
      <c r="H655" s="53" t="s">
        <v>1073</v>
      </c>
    </row>
    <row r="656" spans="1:8" hidden="1">
      <c r="A656" s="47" t="s">
        <v>1318</v>
      </c>
      <c r="B656" s="48"/>
      <c r="C656" s="48" t="s">
        <v>1319</v>
      </c>
      <c r="D656" s="48" t="s">
        <v>1318</v>
      </c>
      <c r="E656" s="48" t="s">
        <v>14</v>
      </c>
      <c r="F656" s="49">
        <v>7.3899999999999999E-3</v>
      </c>
      <c r="G656" s="48" t="s">
        <v>1072</v>
      </c>
      <c r="H656" s="53" t="s">
        <v>1073</v>
      </c>
    </row>
    <row r="657" spans="1:8" hidden="1">
      <c r="A657" s="47" t="s">
        <v>1320</v>
      </c>
      <c r="B657" s="48"/>
      <c r="C657" s="48" t="s">
        <v>1321</v>
      </c>
      <c r="D657" s="48" t="s">
        <v>1320</v>
      </c>
      <c r="E657" s="48" t="s">
        <v>14</v>
      </c>
      <c r="F657" s="49">
        <v>7.3899999999999999E-3</v>
      </c>
      <c r="G657" s="48" t="s">
        <v>1072</v>
      </c>
      <c r="H657" s="53" t="s">
        <v>1073</v>
      </c>
    </row>
    <row r="658" spans="1:8" hidden="1">
      <c r="A658" s="47" t="s">
        <v>1322</v>
      </c>
      <c r="B658" s="48"/>
      <c r="C658" s="48" t="s">
        <v>1323</v>
      </c>
      <c r="D658" s="48" t="s">
        <v>1322</v>
      </c>
      <c r="E658" s="48" t="s">
        <v>14</v>
      </c>
      <c r="F658" s="49">
        <v>0.2</v>
      </c>
      <c r="G658" s="48" t="s">
        <v>1072</v>
      </c>
      <c r="H658" s="53" t="s">
        <v>1073</v>
      </c>
    </row>
    <row r="659" spans="1:8" hidden="1">
      <c r="A659" s="47" t="s">
        <v>1324</v>
      </c>
      <c r="B659" s="48"/>
      <c r="C659" s="48" t="s">
        <v>1325</v>
      </c>
      <c r="D659" s="48" t="s">
        <v>1324</v>
      </c>
      <c r="E659" s="48" t="s">
        <v>14</v>
      </c>
      <c r="F659" s="49">
        <v>0.2</v>
      </c>
      <c r="G659" s="48" t="s">
        <v>1072</v>
      </c>
      <c r="H659" s="53" t="s">
        <v>1073</v>
      </c>
    </row>
    <row r="660" spans="1:8" hidden="1">
      <c r="A660" s="47" t="s">
        <v>1326</v>
      </c>
      <c r="B660" s="48"/>
      <c r="C660" s="48" t="s">
        <v>1327</v>
      </c>
      <c r="D660" s="48" t="s">
        <v>1326</v>
      </c>
      <c r="E660" s="48" t="s">
        <v>14</v>
      </c>
      <c r="F660" s="49">
        <v>0.2</v>
      </c>
      <c r="G660" s="48" t="s">
        <v>1072</v>
      </c>
      <c r="H660" s="53" t="s">
        <v>1073</v>
      </c>
    </row>
    <row r="661" spans="1:8" hidden="1">
      <c r="A661" s="47" t="s">
        <v>1328</v>
      </c>
      <c r="B661" s="48"/>
      <c r="C661" s="48" t="s">
        <v>1329</v>
      </c>
      <c r="D661" s="48" t="s">
        <v>1328</v>
      </c>
      <c r="E661" s="48" t="s">
        <v>14</v>
      </c>
      <c r="F661" s="49">
        <v>0.09</v>
      </c>
      <c r="G661" s="48" t="s">
        <v>1072</v>
      </c>
      <c r="H661" s="53" t="s">
        <v>1073</v>
      </c>
    </row>
    <row r="662" spans="1:8" hidden="1">
      <c r="A662" s="47" t="s">
        <v>1330</v>
      </c>
      <c r="B662" s="48"/>
      <c r="C662" s="48" t="s">
        <v>1331</v>
      </c>
      <c r="D662" s="48" t="s">
        <v>1330</v>
      </c>
      <c r="E662" s="48" t="s">
        <v>14</v>
      </c>
      <c r="F662" s="49">
        <v>0.15</v>
      </c>
      <c r="G662" s="48" t="s">
        <v>1072</v>
      </c>
      <c r="H662" s="53" t="s">
        <v>1073</v>
      </c>
    </row>
    <row r="663" spans="1:8" ht="28.9" hidden="1" customHeight="1">
      <c r="A663" s="47" t="s">
        <v>1332</v>
      </c>
      <c r="B663" s="48"/>
      <c r="C663" s="48" t="s">
        <v>1333</v>
      </c>
      <c r="D663" s="48" t="s">
        <v>1332</v>
      </c>
      <c r="E663" s="48" t="s">
        <v>14</v>
      </c>
      <c r="F663" s="49">
        <v>0.15</v>
      </c>
      <c r="G663" s="48" t="s">
        <v>1072</v>
      </c>
      <c r="H663" s="53" t="s">
        <v>1073</v>
      </c>
    </row>
    <row r="664" spans="1:8" ht="28.9" hidden="1" customHeight="1">
      <c r="A664" s="47" t="s">
        <v>1334</v>
      </c>
      <c r="B664" s="48"/>
      <c r="C664" s="48" t="s">
        <v>1335</v>
      </c>
      <c r="D664" s="48" t="s">
        <v>1334</v>
      </c>
      <c r="E664" s="48" t="s">
        <v>14</v>
      </c>
      <c r="F664" s="49">
        <v>0.4</v>
      </c>
      <c r="G664" s="48" t="s">
        <v>1072</v>
      </c>
      <c r="H664" s="53" t="s">
        <v>1073</v>
      </c>
    </row>
    <row r="665" spans="1:8" ht="28.9" hidden="1" customHeight="1">
      <c r="A665" s="47" t="s">
        <v>1336</v>
      </c>
      <c r="B665" s="48"/>
      <c r="C665" s="48" t="s">
        <v>1337</v>
      </c>
      <c r="D665" s="48" t="s">
        <v>1336</v>
      </c>
      <c r="E665" s="48" t="s">
        <v>14</v>
      </c>
      <c r="F665" s="49">
        <v>0.2</v>
      </c>
      <c r="G665" s="48" t="s">
        <v>1072</v>
      </c>
      <c r="H665" s="53" t="s">
        <v>1073</v>
      </c>
    </row>
    <row r="666" spans="1:8" hidden="1">
      <c r="A666" s="47" t="s">
        <v>1338</v>
      </c>
      <c r="B666" s="48"/>
      <c r="C666" s="48" t="s">
        <v>1339</v>
      </c>
      <c r="D666" s="48" t="s">
        <v>1338</v>
      </c>
      <c r="E666" s="48" t="s">
        <v>14</v>
      </c>
      <c r="F666" s="49">
        <v>1.6E-2</v>
      </c>
      <c r="G666" s="48" t="s">
        <v>1072</v>
      </c>
      <c r="H666" s="53" t="s">
        <v>1073</v>
      </c>
    </row>
    <row r="667" spans="1:8" hidden="1">
      <c r="A667" s="47" t="s">
        <v>1340</v>
      </c>
      <c r="B667" s="48"/>
      <c r="C667" s="48" t="s">
        <v>1341</v>
      </c>
      <c r="D667" s="48" t="s">
        <v>1340</v>
      </c>
      <c r="E667" s="48" t="s">
        <v>14</v>
      </c>
      <c r="F667" s="49">
        <v>0.11</v>
      </c>
      <c r="G667" s="48" t="s">
        <v>1072</v>
      </c>
      <c r="H667" s="53" t="s">
        <v>1073</v>
      </c>
    </row>
    <row r="668" spans="1:8" hidden="1">
      <c r="A668" s="47" t="s">
        <v>1342</v>
      </c>
      <c r="B668" s="48"/>
      <c r="C668" s="48" t="s">
        <v>1343</v>
      </c>
      <c r="D668" s="48" t="s">
        <v>1342</v>
      </c>
      <c r="E668" s="48" t="s">
        <v>14</v>
      </c>
      <c r="F668" s="49">
        <v>0.36</v>
      </c>
      <c r="G668" s="48" t="s">
        <v>1072</v>
      </c>
      <c r="H668" s="53" t="s">
        <v>1073</v>
      </c>
    </row>
    <row r="669" spans="1:8" ht="28.9" hidden="1" customHeight="1">
      <c r="A669" s="47" t="s">
        <v>1344</v>
      </c>
      <c r="B669" s="48"/>
      <c r="C669" s="48" t="s">
        <v>1345</v>
      </c>
      <c r="D669" s="48" t="s">
        <v>1344</v>
      </c>
      <c r="E669" s="48" t="s">
        <v>14</v>
      </c>
      <c r="F669" s="49">
        <v>0.57999999999999996</v>
      </c>
      <c r="G669" s="48" t="s">
        <v>1072</v>
      </c>
      <c r="H669" s="53" t="s">
        <v>1073</v>
      </c>
    </row>
    <row r="670" spans="1:8" ht="28.8" hidden="1">
      <c r="A670" s="47" t="s">
        <v>1346</v>
      </c>
      <c r="B670" s="48"/>
      <c r="C670" s="48" t="s">
        <v>1347</v>
      </c>
      <c r="D670" s="48" t="s">
        <v>1346</v>
      </c>
      <c r="E670" s="48" t="s">
        <v>14</v>
      </c>
      <c r="F670" s="49">
        <v>0.65</v>
      </c>
      <c r="G670" s="48" t="s">
        <v>1072</v>
      </c>
      <c r="H670" s="53" t="s">
        <v>1073</v>
      </c>
    </row>
    <row r="671" spans="1:8" ht="28.8" hidden="1">
      <c r="A671" s="47" t="s">
        <v>1348</v>
      </c>
      <c r="B671" s="48"/>
      <c r="C671" s="48" t="s">
        <v>1349</v>
      </c>
      <c r="D671" s="48" t="s">
        <v>1348</v>
      </c>
      <c r="E671" s="48" t="s">
        <v>14</v>
      </c>
      <c r="F671" s="49">
        <v>0.8</v>
      </c>
      <c r="G671" s="48" t="s">
        <v>1072</v>
      </c>
      <c r="H671" s="53" t="s">
        <v>1073</v>
      </c>
    </row>
    <row r="672" spans="1:8" hidden="1">
      <c r="A672" s="47" t="s">
        <v>1350</v>
      </c>
      <c r="B672" s="48"/>
      <c r="C672" s="48" t="s">
        <v>1351</v>
      </c>
      <c r="D672" s="48" t="s">
        <v>1350</v>
      </c>
      <c r="E672" s="48" t="s">
        <v>14</v>
      </c>
      <c r="F672" s="49">
        <v>0.187</v>
      </c>
      <c r="G672" s="48" t="s">
        <v>1072</v>
      </c>
      <c r="H672" s="53" t="s">
        <v>1073</v>
      </c>
    </row>
    <row r="673" spans="1:8" hidden="1">
      <c r="A673" s="47" t="s">
        <v>1352</v>
      </c>
      <c r="B673" s="48"/>
      <c r="C673" s="48" t="s">
        <v>1353</v>
      </c>
      <c r="D673" s="48" t="s">
        <v>1352</v>
      </c>
      <c r="E673" s="48" t="s">
        <v>14</v>
      </c>
      <c r="F673" s="49">
        <v>0.3</v>
      </c>
      <c r="G673" s="48" t="s">
        <v>1072</v>
      </c>
      <c r="H673" s="53" t="s">
        <v>1073</v>
      </c>
    </row>
    <row r="674" spans="1:8" hidden="1">
      <c r="A674" s="47" t="s">
        <v>1354</v>
      </c>
      <c r="B674" s="48"/>
      <c r="C674" s="48" t="s">
        <v>1355</v>
      </c>
      <c r="D674" s="48" t="s">
        <v>1354</v>
      </c>
      <c r="E674" s="48" t="s">
        <v>14</v>
      </c>
      <c r="F674" s="49">
        <v>0.3</v>
      </c>
      <c r="G674" s="48" t="s">
        <v>1072</v>
      </c>
      <c r="H674" s="53" t="s">
        <v>1073</v>
      </c>
    </row>
    <row r="675" spans="1:8" ht="28.8" hidden="1">
      <c r="A675" s="47" t="s">
        <v>1356</v>
      </c>
      <c r="B675" s="48"/>
      <c r="C675" s="48" t="s">
        <v>1357</v>
      </c>
      <c r="D675" s="48" t="s">
        <v>1356</v>
      </c>
      <c r="E675" s="48" t="s">
        <v>14</v>
      </c>
      <c r="F675" s="49">
        <v>0.43333333333333329</v>
      </c>
      <c r="G675" s="48" t="s">
        <v>1072</v>
      </c>
      <c r="H675" s="53" t="s">
        <v>1073</v>
      </c>
    </row>
    <row r="676" spans="1:8" hidden="1">
      <c r="A676" s="47" t="s">
        <v>1358</v>
      </c>
      <c r="B676" s="48"/>
      <c r="C676" s="48" t="s">
        <v>1359</v>
      </c>
      <c r="D676" s="48" t="s">
        <v>1358</v>
      </c>
      <c r="E676" s="48" t="s">
        <v>14</v>
      </c>
      <c r="F676" s="49">
        <v>0.31666666666666671</v>
      </c>
      <c r="G676" s="48" t="s">
        <v>1072</v>
      </c>
      <c r="H676" s="53" t="s">
        <v>1073</v>
      </c>
    </row>
    <row r="677" spans="1:8" hidden="1">
      <c r="A677" s="47" t="s">
        <v>1360</v>
      </c>
      <c r="B677" s="48"/>
      <c r="C677" s="48" t="s">
        <v>1361</v>
      </c>
      <c r="D677" s="48" t="s">
        <v>1360</v>
      </c>
      <c r="E677" s="48" t="s">
        <v>14</v>
      </c>
      <c r="F677" s="49">
        <v>0.31666666666666671</v>
      </c>
      <c r="G677" s="48" t="s">
        <v>1072</v>
      </c>
      <c r="H677" s="53" t="s">
        <v>1073</v>
      </c>
    </row>
    <row r="678" spans="1:8" hidden="1">
      <c r="A678" s="47" t="s">
        <v>1362</v>
      </c>
      <c r="B678" s="48"/>
      <c r="C678" s="48" t="s">
        <v>1363</v>
      </c>
      <c r="D678" s="48" t="s">
        <v>1362</v>
      </c>
      <c r="E678" s="48" t="s">
        <v>14</v>
      </c>
      <c r="F678" s="49">
        <v>0.23333333333333331</v>
      </c>
      <c r="G678" s="48" t="s">
        <v>1072</v>
      </c>
      <c r="H678" s="53" t="s">
        <v>1073</v>
      </c>
    </row>
    <row r="679" spans="1:8" hidden="1">
      <c r="A679" s="47" t="s">
        <v>1364</v>
      </c>
      <c r="B679" s="48"/>
      <c r="C679" s="48" t="s">
        <v>1365</v>
      </c>
      <c r="D679" s="48" t="s">
        <v>1364</v>
      </c>
      <c r="E679" s="48" t="s">
        <v>14</v>
      </c>
      <c r="F679" s="49">
        <v>0.29666666666666669</v>
      </c>
      <c r="G679" s="48" t="s">
        <v>1072</v>
      </c>
      <c r="H679" s="53" t="s">
        <v>1073</v>
      </c>
    </row>
    <row r="680" spans="1:8" hidden="1">
      <c r="A680" s="47" t="s">
        <v>1366</v>
      </c>
      <c r="B680" s="48"/>
      <c r="C680" s="48" t="s">
        <v>1367</v>
      </c>
      <c r="D680" s="48" t="s">
        <v>1366</v>
      </c>
      <c r="E680" s="48" t="s">
        <v>14</v>
      </c>
      <c r="F680" s="49">
        <v>0.17</v>
      </c>
      <c r="G680" s="48" t="s">
        <v>1072</v>
      </c>
      <c r="H680" s="53" t="s">
        <v>1073</v>
      </c>
    </row>
    <row r="681" spans="1:8" hidden="1">
      <c r="A681" s="47" t="s">
        <v>1368</v>
      </c>
      <c r="B681" s="48"/>
      <c r="C681" s="48" t="s">
        <v>1369</v>
      </c>
      <c r="D681" s="48" t="s">
        <v>1368</v>
      </c>
      <c r="E681" s="48" t="s">
        <v>14</v>
      </c>
      <c r="F681" s="49">
        <v>0.41666666666666669</v>
      </c>
      <c r="G681" s="48" t="s">
        <v>1072</v>
      </c>
      <c r="H681" s="53" t="s">
        <v>1073</v>
      </c>
    </row>
    <row r="682" spans="1:8" ht="28.9" hidden="1" customHeight="1">
      <c r="A682" s="47" t="s">
        <v>1370</v>
      </c>
      <c r="B682" s="48"/>
      <c r="C682" s="48" t="s">
        <v>1371</v>
      </c>
      <c r="D682" s="48" t="s">
        <v>1370</v>
      </c>
      <c r="E682" s="48" t="s">
        <v>14</v>
      </c>
      <c r="F682" s="49">
        <v>0.43333333333333329</v>
      </c>
      <c r="G682" s="48" t="s">
        <v>1072</v>
      </c>
      <c r="H682" s="53" t="s">
        <v>1073</v>
      </c>
    </row>
    <row r="683" spans="1:8" hidden="1">
      <c r="A683" s="47" t="s">
        <v>1372</v>
      </c>
      <c r="B683" s="48"/>
      <c r="C683" s="48" t="s">
        <v>1373</v>
      </c>
      <c r="D683" s="48" t="s">
        <v>1372</v>
      </c>
      <c r="E683" s="48" t="s">
        <v>14</v>
      </c>
      <c r="F683" s="49">
        <v>0.39600000000000002</v>
      </c>
      <c r="G683" s="48" t="s">
        <v>1072</v>
      </c>
      <c r="H683" s="53" t="s">
        <v>1073</v>
      </c>
    </row>
    <row r="684" spans="1:8" hidden="1">
      <c r="A684" s="47" t="s">
        <v>1374</v>
      </c>
      <c r="B684" s="48"/>
      <c r="C684" s="48" t="s">
        <v>1375</v>
      </c>
      <c r="D684" s="48" t="s">
        <v>1374</v>
      </c>
      <c r="E684" s="48" t="s">
        <v>14</v>
      </c>
      <c r="F684" s="49">
        <v>0.5</v>
      </c>
      <c r="G684" s="48" t="s">
        <v>1072</v>
      </c>
      <c r="H684" s="53" t="s">
        <v>1073</v>
      </c>
    </row>
    <row r="685" spans="1:8" hidden="1">
      <c r="A685" s="47" t="s">
        <v>1376</v>
      </c>
      <c r="B685" s="48"/>
      <c r="C685" s="48" t="s">
        <v>1377</v>
      </c>
      <c r="D685" s="48" t="s">
        <v>1376</v>
      </c>
      <c r="E685" s="48" t="s">
        <v>14</v>
      </c>
      <c r="F685" s="49">
        <v>0.5</v>
      </c>
      <c r="G685" s="48" t="s">
        <v>1072</v>
      </c>
      <c r="H685" s="53" t="s">
        <v>1073</v>
      </c>
    </row>
    <row r="686" spans="1:8" hidden="1">
      <c r="A686" s="47" t="s">
        <v>1378</v>
      </c>
      <c r="B686" s="48"/>
      <c r="C686" s="48" t="s">
        <v>1379</v>
      </c>
      <c r="D686" s="48" t="s">
        <v>1378</v>
      </c>
      <c r="E686" s="48" t="s">
        <v>14</v>
      </c>
      <c r="F686" s="49">
        <v>0.44</v>
      </c>
      <c r="G686" s="48" t="s">
        <v>1072</v>
      </c>
      <c r="H686" s="53" t="s">
        <v>1073</v>
      </c>
    </row>
    <row r="687" spans="1:8" hidden="1">
      <c r="A687" s="47" t="s">
        <v>1380</v>
      </c>
      <c r="B687" s="48"/>
      <c r="C687" s="48" t="s">
        <v>1381</v>
      </c>
      <c r="D687" s="48" t="s">
        <v>1380</v>
      </c>
      <c r="E687" s="48" t="s">
        <v>14</v>
      </c>
      <c r="F687" s="49">
        <v>0.5</v>
      </c>
      <c r="G687" s="48" t="s">
        <v>1072</v>
      </c>
      <c r="H687" s="53" t="s">
        <v>1073</v>
      </c>
    </row>
    <row r="688" spans="1:8" ht="28.8" hidden="1">
      <c r="A688" s="47" t="s">
        <v>1382</v>
      </c>
      <c r="B688" s="48"/>
      <c r="C688" s="48" t="s">
        <v>1383</v>
      </c>
      <c r="D688" s="48" t="s">
        <v>1382</v>
      </c>
      <c r="E688" s="48" t="s">
        <v>14</v>
      </c>
      <c r="F688" s="49">
        <v>0.34</v>
      </c>
      <c r="G688" s="48" t="s">
        <v>1072</v>
      </c>
      <c r="H688" s="53" t="s">
        <v>1073</v>
      </c>
    </row>
    <row r="689" spans="1:8" hidden="1">
      <c r="A689" s="47" t="s">
        <v>1384</v>
      </c>
      <c r="B689" s="48"/>
      <c r="C689" s="48" t="s">
        <v>1385</v>
      </c>
      <c r="D689" s="48" t="s">
        <v>1384</v>
      </c>
      <c r="E689" s="48" t="s">
        <v>14</v>
      </c>
      <c r="F689" s="49">
        <v>0.32800000000000001</v>
      </c>
      <c r="G689" s="48" t="s">
        <v>1072</v>
      </c>
      <c r="H689" s="53" t="s">
        <v>1073</v>
      </c>
    </row>
    <row r="690" spans="1:8" hidden="1">
      <c r="A690" s="47" t="s">
        <v>1386</v>
      </c>
      <c r="B690" s="48"/>
      <c r="C690" s="48" t="s">
        <v>1387</v>
      </c>
      <c r="D690" s="48" t="s">
        <v>1386</v>
      </c>
      <c r="E690" s="48" t="s">
        <v>14</v>
      </c>
      <c r="F690" s="49">
        <v>9.5000000000000001E-2</v>
      </c>
      <c r="G690" s="48" t="s">
        <v>1072</v>
      </c>
      <c r="H690" s="53" t="s">
        <v>1073</v>
      </c>
    </row>
    <row r="691" spans="1:8" hidden="1">
      <c r="A691" s="47" t="s">
        <v>1388</v>
      </c>
      <c r="B691" s="48"/>
      <c r="C691" s="48" t="s">
        <v>1389</v>
      </c>
      <c r="D691" s="48" t="s">
        <v>1388</v>
      </c>
      <c r="E691" s="48" t="s">
        <v>14</v>
      </c>
      <c r="F691" s="49">
        <v>0.05</v>
      </c>
      <c r="G691" s="48" t="s">
        <v>1072</v>
      </c>
      <c r="H691" s="53" t="s">
        <v>1073</v>
      </c>
    </row>
    <row r="692" spans="1:8" hidden="1">
      <c r="A692" s="47" t="s">
        <v>1390</v>
      </c>
      <c r="B692" s="48"/>
      <c r="C692" s="48" t="s">
        <v>1391</v>
      </c>
      <c r="D692" s="48" t="s">
        <v>1390</v>
      </c>
      <c r="E692" s="48" t="s">
        <v>14</v>
      </c>
      <c r="F692" s="49">
        <v>0.17599999999999999</v>
      </c>
      <c r="G692" s="48" t="s">
        <v>1072</v>
      </c>
      <c r="H692" s="53" t="s">
        <v>1073</v>
      </c>
    </row>
    <row r="693" spans="1:8" hidden="1">
      <c r="A693" s="47" t="s">
        <v>1392</v>
      </c>
      <c r="B693" s="48"/>
      <c r="C693" s="48" t="s">
        <v>1393</v>
      </c>
      <c r="D693" s="48" t="s">
        <v>1392</v>
      </c>
      <c r="E693" s="48" t="s">
        <v>14</v>
      </c>
      <c r="F693" s="49">
        <v>0.08</v>
      </c>
      <c r="G693" s="48" t="s">
        <v>1072</v>
      </c>
      <c r="H693" s="53" t="s">
        <v>1073</v>
      </c>
    </row>
    <row r="694" spans="1:8" hidden="1">
      <c r="A694" s="47" t="s">
        <v>1394</v>
      </c>
      <c r="B694" s="48"/>
      <c r="C694" s="48" t="s">
        <v>1395</v>
      </c>
      <c r="D694" s="48" t="s">
        <v>1394</v>
      </c>
      <c r="E694" s="48" t="s">
        <v>14</v>
      </c>
      <c r="F694" s="49">
        <v>0.08</v>
      </c>
      <c r="G694" s="48" t="s">
        <v>1072</v>
      </c>
      <c r="H694" s="53" t="s">
        <v>1073</v>
      </c>
    </row>
    <row r="695" spans="1:8" hidden="1">
      <c r="A695" s="47" t="s">
        <v>1396</v>
      </c>
      <c r="B695" s="48"/>
      <c r="C695" s="48" t="s">
        <v>1397</v>
      </c>
      <c r="D695" s="48" t="s">
        <v>1396</v>
      </c>
      <c r="E695" s="48" t="s">
        <v>14</v>
      </c>
      <c r="F695" s="49">
        <v>0.08</v>
      </c>
      <c r="G695" s="48" t="s">
        <v>1072</v>
      </c>
      <c r="H695" s="53" t="s">
        <v>1073</v>
      </c>
    </row>
    <row r="696" spans="1:8">
      <c r="A696" s="59"/>
      <c r="B696" s="59"/>
      <c r="C696" s="59"/>
      <c r="D696" s="59"/>
      <c r="E696" s="59"/>
      <c r="F696" s="60"/>
      <c r="G696" s="59"/>
      <c r="H696" s="37"/>
    </row>
    <row r="697" spans="1:8">
      <c r="A697" s="59"/>
      <c r="B697" s="59"/>
      <c r="C697" s="59"/>
      <c r="D697" s="59"/>
      <c r="E697" s="59"/>
      <c r="F697" s="60"/>
      <c r="G697" s="59"/>
      <c r="H697" s="37"/>
    </row>
    <row r="698" spans="1:8">
      <c r="A698" s="59"/>
      <c r="B698" s="59"/>
      <c r="C698" s="59"/>
      <c r="D698" s="59"/>
      <c r="E698" s="59"/>
      <c r="F698" s="60"/>
      <c r="G698" s="59"/>
      <c r="H698" s="37"/>
    </row>
    <row r="699" spans="1:8">
      <c r="A699" s="59"/>
      <c r="B699" s="59"/>
      <c r="C699" s="59"/>
      <c r="D699" s="59"/>
      <c r="E699" s="59"/>
      <c r="F699" s="60"/>
      <c r="G699" s="59"/>
      <c r="H699" s="37"/>
    </row>
    <row r="700" spans="1:8">
      <c r="A700" s="59"/>
      <c r="B700" s="59"/>
      <c r="C700" s="59"/>
      <c r="D700" s="59"/>
      <c r="E700" s="59"/>
      <c r="F700" s="60"/>
      <c r="G700" s="59"/>
      <c r="H700" s="37"/>
    </row>
    <row r="701" spans="1:8">
      <c r="A701" s="59"/>
      <c r="B701" s="59"/>
      <c r="C701" s="59"/>
      <c r="D701" s="59"/>
      <c r="E701" s="59"/>
      <c r="F701" s="60"/>
      <c r="G701" s="59"/>
      <c r="H701" s="37"/>
    </row>
    <row r="702" spans="1:8">
      <c r="A702" s="59"/>
      <c r="B702" s="59"/>
      <c r="C702" s="59"/>
      <c r="D702" s="59"/>
      <c r="E702" s="59"/>
      <c r="F702" s="60"/>
      <c r="G702" s="59"/>
      <c r="H702" s="37"/>
    </row>
    <row r="703" spans="1:8">
      <c r="A703" s="59"/>
      <c r="B703" s="59"/>
      <c r="C703" s="59"/>
      <c r="D703" s="59"/>
      <c r="E703" s="59"/>
      <c r="F703" s="60"/>
      <c r="G703" s="59"/>
      <c r="H703" s="37"/>
    </row>
    <row r="704" spans="1:8">
      <c r="A704" s="59"/>
      <c r="B704" s="59"/>
      <c r="C704" s="59"/>
      <c r="D704" s="59"/>
      <c r="E704" s="59"/>
      <c r="F704" s="60"/>
      <c r="G704" s="59"/>
      <c r="H704" s="37"/>
    </row>
    <row r="705" spans="1:8">
      <c r="A705" s="59"/>
      <c r="B705" s="59"/>
      <c r="C705" s="59"/>
      <c r="D705" s="59"/>
      <c r="E705" s="59"/>
      <c r="F705" s="60"/>
      <c r="G705" s="59"/>
      <c r="H705" s="37"/>
    </row>
    <row r="706" spans="1:8">
      <c r="A706" s="59"/>
      <c r="B706" s="59"/>
      <c r="C706" s="59"/>
      <c r="D706" s="59"/>
      <c r="E706" s="59"/>
      <c r="F706" s="60"/>
      <c r="G706" s="59"/>
      <c r="H706" s="37"/>
    </row>
    <row r="707" spans="1:8">
      <c r="A707" s="59"/>
      <c r="B707" s="59"/>
      <c r="C707" s="59"/>
      <c r="D707" s="59"/>
      <c r="E707" s="59"/>
      <c r="F707" s="60"/>
      <c r="G707" s="59"/>
      <c r="H707" s="37"/>
    </row>
    <row r="708" spans="1:8">
      <c r="A708" s="59"/>
      <c r="B708" s="59"/>
      <c r="C708" s="59"/>
      <c r="D708" s="59"/>
      <c r="E708" s="59"/>
      <c r="F708" s="60"/>
      <c r="G708" s="59"/>
      <c r="H708" s="37"/>
    </row>
    <row r="709" spans="1:8">
      <c r="A709" s="59"/>
      <c r="B709" s="59"/>
      <c r="C709" s="59"/>
      <c r="D709" s="59"/>
      <c r="E709" s="59"/>
      <c r="F709" s="60"/>
      <c r="G709" s="59"/>
      <c r="H709" s="37"/>
    </row>
    <row r="710" spans="1:8">
      <c r="A710" s="59"/>
      <c r="B710" s="59"/>
      <c r="C710" s="59"/>
      <c r="D710" s="59"/>
      <c r="E710" s="59"/>
      <c r="F710" s="60"/>
      <c r="G710" s="59"/>
      <c r="H710" s="37"/>
    </row>
    <row r="711" spans="1:8">
      <c r="A711" s="59"/>
      <c r="B711" s="59"/>
      <c r="C711" s="59"/>
      <c r="D711" s="59"/>
      <c r="E711" s="59"/>
      <c r="F711" s="60"/>
      <c r="G711" s="59"/>
      <c r="H711" s="37"/>
    </row>
    <row r="712" spans="1:8">
      <c r="A712" s="59"/>
      <c r="B712" s="59"/>
      <c r="C712" s="59"/>
      <c r="D712" s="59"/>
      <c r="E712" s="59"/>
      <c r="F712" s="60"/>
      <c r="G712" s="59"/>
      <c r="H712" s="37"/>
    </row>
    <row r="713" spans="1:8">
      <c r="A713" s="59"/>
      <c r="B713" s="59"/>
      <c r="C713" s="59"/>
      <c r="D713" s="59"/>
      <c r="E713" s="59"/>
      <c r="F713" s="60"/>
      <c r="G713" s="59"/>
      <c r="H713" s="37"/>
    </row>
    <row r="714" spans="1:8">
      <c r="A714" s="59"/>
      <c r="B714" s="59"/>
      <c r="C714" s="59"/>
      <c r="D714" s="59"/>
      <c r="E714" s="59"/>
      <c r="F714" s="60"/>
      <c r="G714" s="59"/>
      <c r="H714" s="37"/>
    </row>
    <row r="715" spans="1:8">
      <c r="A715" s="59"/>
      <c r="B715" s="59"/>
      <c r="C715" s="59"/>
      <c r="D715" s="59"/>
      <c r="E715" s="59"/>
      <c r="F715" s="60"/>
      <c r="G715" s="59"/>
      <c r="H715" s="37"/>
    </row>
    <row r="716" spans="1:8">
      <c r="A716" s="59"/>
      <c r="B716" s="59"/>
      <c r="C716" s="59"/>
      <c r="D716" s="59"/>
      <c r="E716" s="59"/>
      <c r="F716" s="60"/>
      <c r="G716" s="59"/>
      <c r="H716" s="37"/>
    </row>
    <row r="717" spans="1:8">
      <c r="A717" s="59"/>
      <c r="B717" s="59"/>
      <c r="C717" s="59"/>
      <c r="D717" s="59"/>
      <c r="E717" s="59"/>
      <c r="F717" s="60"/>
      <c r="G717" s="59"/>
      <c r="H717" s="37"/>
    </row>
    <row r="718" spans="1:8">
      <c r="A718" s="59"/>
      <c r="B718" s="59"/>
      <c r="C718" s="59"/>
      <c r="D718" s="59"/>
      <c r="E718" s="59"/>
      <c r="F718" s="60"/>
      <c r="G718" s="59"/>
      <c r="H718" s="37"/>
    </row>
    <row r="719" spans="1:8">
      <c r="A719" s="59"/>
      <c r="B719" s="59"/>
      <c r="C719" s="59"/>
      <c r="D719" s="59"/>
      <c r="E719" s="59"/>
      <c r="F719" s="60"/>
      <c r="G719" s="59"/>
      <c r="H719" s="37"/>
    </row>
    <row r="720" spans="1:8">
      <c r="A720" s="59"/>
      <c r="B720" s="59"/>
      <c r="C720" s="59"/>
      <c r="D720" s="59"/>
      <c r="E720" s="59"/>
      <c r="F720" s="60"/>
      <c r="G720" s="59"/>
      <c r="H720" s="37"/>
    </row>
    <row r="721" spans="1:8">
      <c r="A721" s="59"/>
      <c r="B721" s="59"/>
      <c r="C721" s="59"/>
      <c r="D721" s="59"/>
      <c r="E721" s="59"/>
      <c r="F721" s="60"/>
      <c r="G721" s="59"/>
      <c r="H721" s="37"/>
    </row>
    <row r="722" spans="1:8">
      <c r="A722" s="59"/>
      <c r="B722" s="59"/>
      <c r="C722" s="59"/>
      <c r="D722" s="59"/>
      <c r="E722" s="59"/>
      <c r="F722" s="60"/>
      <c r="G722" s="59"/>
      <c r="H722" s="37"/>
    </row>
    <row r="723" spans="1:8">
      <c r="A723" s="59"/>
      <c r="B723" s="59"/>
      <c r="C723" s="59"/>
      <c r="D723" s="59"/>
      <c r="E723" s="59"/>
      <c r="F723" s="60"/>
      <c r="G723" s="59"/>
      <c r="H723" s="37"/>
    </row>
    <row r="724" spans="1:8">
      <c r="A724" s="59"/>
      <c r="B724" s="59"/>
      <c r="C724" s="59"/>
      <c r="D724" s="59"/>
      <c r="E724" s="59"/>
      <c r="F724" s="60"/>
      <c r="G724" s="59"/>
      <c r="H724" s="37"/>
    </row>
    <row r="725" spans="1:8">
      <c r="A725" s="59"/>
      <c r="B725" s="59"/>
      <c r="C725" s="59"/>
      <c r="D725" s="59"/>
      <c r="E725" s="59"/>
      <c r="F725" s="60"/>
      <c r="G725" s="59"/>
      <c r="H725" s="37"/>
    </row>
    <row r="726" spans="1:8">
      <c r="A726" s="59"/>
      <c r="B726" s="59"/>
      <c r="C726" s="59"/>
      <c r="D726" s="59"/>
      <c r="E726" s="59"/>
      <c r="F726" s="60"/>
      <c r="G726" s="59"/>
      <c r="H726" s="37"/>
    </row>
    <row r="727" spans="1:8">
      <c r="A727" s="59"/>
      <c r="B727" s="59"/>
      <c r="C727" s="59"/>
      <c r="D727" s="59"/>
      <c r="E727" s="59"/>
      <c r="F727" s="60"/>
      <c r="G727" s="59"/>
      <c r="H727" s="37"/>
    </row>
    <row r="728" spans="1:8">
      <c r="A728" s="59"/>
      <c r="B728" s="59"/>
      <c r="C728" s="59"/>
      <c r="D728" s="59"/>
      <c r="E728" s="59"/>
      <c r="F728" s="60"/>
      <c r="G728" s="59"/>
      <c r="H728" s="37"/>
    </row>
    <row r="729" spans="1:8">
      <c r="A729" s="59"/>
      <c r="B729" s="59"/>
      <c r="C729" s="59"/>
      <c r="D729" s="59"/>
      <c r="E729" s="59"/>
      <c r="F729" s="60"/>
      <c r="G729" s="59"/>
      <c r="H729" s="37"/>
    </row>
    <row r="730" spans="1:8">
      <c r="A730" s="59"/>
      <c r="B730" s="59"/>
      <c r="C730" s="59"/>
      <c r="D730" s="59"/>
      <c r="E730" s="59"/>
      <c r="F730" s="60"/>
      <c r="G730" s="59"/>
      <c r="H730" s="37"/>
    </row>
    <row r="731" spans="1:8">
      <c r="A731" s="59"/>
      <c r="B731" s="59"/>
      <c r="C731" s="59"/>
      <c r="D731" s="59"/>
      <c r="E731" s="59"/>
      <c r="F731" s="60"/>
      <c r="G731" s="59"/>
      <c r="H731" s="37"/>
    </row>
    <row r="732" spans="1:8">
      <c r="A732" s="59"/>
      <c r="B732" s="59"/>
      <c r="C732" s="59"/>
      <c r="D732" s="59"/>
      <c r="E732" s="59"/>
      <c r="F732" s="60"/>
      <c r="G732" s="59"/>
      <c r="H732" s="37"/>
    </row>
    <row r="733" spans="1:8">
      <c r="A733" s="59"/>
      <c r="B733" s="59"/>
      <c r="C733" s="59"/>
      <c r="D733" s="59"/>
      <c r="E733" s="59"/>
      <c r="F733" s="60"/>
      <c r="G733" s="59"/>
      <c r="H733" s="37"/>
    </row>
    <row r="734" spans="1:8">
      <c r="A734" s="59"/>
      <c r="B734" s="59"/>
      <c r="C734" s="59"/>
      <c r="D734" s="59"/>
      <c r="E734" s="59"/>
      <c r="F734" s="60"/>
      <c r="G734" s="59"/>
      <c r="H734" s="37"/>
    </row>
    <row r="735" spans="1:8">
      <c r="A735" s="59"/>
      <c r="B735" s="59"/>
      <c r="C735" s="59"/>
      <c r="D735" s="59"/>
      <c r="E735" s="59"/>
      <c r="F735" s="60"/>
      <c r="G735" s="59"/>
      <c r="H735" s="37"/>
    </row>
    <row r="736" spans="1:8">
      <c r="A736" s="59"/>
      <c r="B736" s="59"/>
      <c r="C736" s="59"/>
      <c r="D736" s="59"/>
      <c r="E736" s="59"/>
      <c r="F736" s="60"/>
      <c r="G736" s="59"/>
      <c r="H736" s="37"/>
    </row>
    <row r="737" spans="1:8">
      <c r="A737" s="59"/>
      <c r="B737" s="59"/>
      <c r="C737" s="59"/>
      <c r="D737" s="59"/>
      <c r="E737" s="59"/>
      <c r="F737" s="60"/>
      <c r="G737" s="59"/>
      <c r="H737" s="37"/>
    </row>
    <row r="738" spans="1:8">
      <c r="A738" s="59"/>
      <c r="B738" s="59"/>
      <c r="C738" s="59"/>
      <c r="D738" s="59"/>
      <c r="E738" s="59"/>
      <c r="F738" s="60"/>
      <c r="G738" s="59"/>
      <c r="H738" s="37"/>
    </row>
    <row r="739" spans="1:8">
      <c r="A739" s="59"/>
      <c r="B739" s="59"/>
      <c r="C739" s="59"/>
      <c r="D739" s="59"/>
      <c r="E739" s="59"/>
      <c r="F739" s="60"/>
      <c r="G739" s="59"/>
      <c r="H739" s="37"/>
    </row>
    <row r="740" spans="1:8">
      <c r="A740" s="59"/>
      <c r="B740" s="59"/>
      <c r="C740" s="59"/>
      <c r="D740" s="59"/>
      <c r="E740" s="59"/>
      <c r="F740" s="60"/>
      <c r="G740" s="59"/>
      <c r="H740" s="37"/>
    </row>
    <row r="741" spans="1:8">
      <c r="A741" s="59"/>
      <c r="B741" s="59"/>
      <c r="C741" s="59"/>
      <c r="D741" s="59"/>
      <c r="E741" s="59"/>
      <c r="F741" s="60"/>
      <c r="G741" s="59"/>
      <c r="H741" s="37"/>
    </row>
    <row r="742" spans="1:8">
      <c r="A742" s="59"/>
      <c r="B742" s="59"/>
      <c r="C742" s="59"/>
      <c r="D742" s="59"/>
      <c r="E742" s="59"/>
      <c r="F742" s="60"/>
      <c r="G742" s="59"/>
      <c r="H742" s="37"/>
    </row>
    <row r="743" spans="1:8">
      <c r="A743" s="59"/>
      <c r="B743" s="59"/>
      <c r="C743" s="59"/>
      <c r="D743" s="59"/>
      <c r="E743" s="59"/>
      <c r="F743" s="60"/>
      <c r="G743" s="59"/>
      <c r="H743" s="37"/>
    </row>
    <row r="744" spans="1:8">
      <c r="A744" s="59"/>
      <c r="B744" s="59"/>
      <c r="C744" s="59"/>
      <c r="D744" s="59"/>
      <c r="E744" s="59"/>
      <c r="F744" s="60"/>
      <c r="G744" s="59"/>
      <c r="H744" s="37"/>
    </row>
    <row r="745" spans="1:8">
      <c r="A745" s="59"/>
      <c r="B745" s="59"/>
      <c r="C745" s="59"/>
      <c r="D745" s="59"/>
      <c r="E745" s="59"/>
      <c r="F745" s="60"/>
      <c r="G745" s="59"/>
      <c r="H745" s="37"/>
    </row>
    <row r="746" spans="1:8">
      <c r="A746" s="59"/>
      <c r="B746" s="59"/>
      <c r="C746" s="59"/>
      <c r="D746" s="59"/>
      <c r="E746" s="59"/>
      <c r="F746" s="60"/>
      <c r="G746" s="59"/>
      <c r="H746" s="37"/>
    </row>
    <row r="747" spans="1:8">
      <c r="A747" s="59"/>
      <c r="B747" s="59"/>
      <c r="C747" s="59"/>
      <c r="D747" s="59"/>
      <c r="E747" s="59"/>
      <c r="F747" s="60"/>
      <c r="G747" s="59"/>
      <c r="H747" s="37"/>
    </row>
    <row r="748" spans="1:8">
      <c r="A748" s="59"/>
      <c r="B748" s="59"/>
      <c r="C748" s="59"/>
      <c r="D748" s="59"/>
      <c r="E748" s="59"/>
      <c r="F748" s="60"/>
      <c r="G748" s="59"/>
      <c r="H748" s="37"/>
    </row>
    <row r="749" spans="1:8">
      <c r="A749" s="59"/>
      <c r="B749" s="59"/>
      <c r="C749" s="59"/>
      <c r="D749" s="59"/>
      <c r="E749" s="59"/>
      <c r="F749" s="60"/>
      <c r="G749" s="59"/>
      <c r="H749" s="37"/>
    </row>
    <row r="750" spans="1:8">
      <c r="A750" s="59"/>
      <c r="B750" s="59"/>
      <c r="C750" s="59"/>
      <c r="D750" s="59"/>
      <c r="E750" s="59"/>
      <c r="F750" s="60"/>
      <c r="G750" s="59"/>
      <c r="H750" s="37"/>
    </row>
    <row r="751" spans="1:8">
      <c r="A751" s="59"/>
      <c r="B751" s="59"/>
      <c r="C751" s="59"/>
      <c r="D751" s="59"/>
      <c r="E751" s="59"/>
      <c r="F751" s="60"/>
      <c r="G751" s="59"/>
      <c r="H751" s="37"/>
    </row>
    <row r="752" spans="1:8">
      <c r="A752" s="59"/>
      <c r="B752" s="59"/>
      <c r="C752" s="59"/>
      <c r="D752" s="59"/>
      <c r="E752" s="59"/>
      <c r="F752" s="60"/>
      <c r="G752" s="59"/>
      <c r="H752" s="37"/>
    </row>
    <row r="753" spans="1:8">
      <c r="A753" s="59"/>
      <c r="B753" s="59"/>
      <c r="C753" s="59"/>
      <c r="D753" s="59"/>
      <c r="E753" s="59"/>
      <c r="F753" s="60"/>
      <c r="G753" s="59"/>
      <c r="H753" s="37"/>
    </row>
    <row r="754" spans="1:8">
      <c r="A754" s="59"/>
      <c r="B754" s="59"/>
      <c r="C754" s="59"/>
      <c r="D754" s="59"/>
      <c r="E754" s="59"/>
      <c r="F754" s="60"/>
      <c r="G754" s="59"/>
      <c r="H754" s="37"/>
    </row>
    <row r="755" spans="1:8">
      <c r="A755" s="59"/>
      <c r="B755" s="59"/>
      <c r="C755" s="59"/>
      <c r="D755" s="59"/>
      <c r="E755" s="59"/>
      <c r="F755" s="60"/>
      <c r="G755" s="59"/>
      <c r="H755" s="37"/>
    </row>
    <row r="756" spans="1:8">
      <c r="A756" s="59"/>
      <c r="B756" s="59"/>
      <c r="C756" s="59"/>
      <c r="D756" s="59"/>
      <c r="E756" s="59"/>
      <c r="F756" s="60"/>
      <c r="G756" s="59"/>
      <c r="H756" s="37"/>
    </row>
    <row r="757" spans="1:8">
      <c r="A757" s="59"/>
      <c r="B757" s="59"/>
      <c r="C757" s="59"/>
      <c r="D757" s="59"/>
      <c r="E757" s="59"/>
      <c r="F757" s="60"/>
      <c r="G757" s="59"/>
      <c r="H757" s="37"/>
    </row>
    <row r="758" spans="1:8">
      <c r="A758" s="59"/>
      <c r="B758" s="59"/>
      <c r="C758" s="59"/>
      <c r="D758" s="59"/>
      <c r="E758" s="59"/>
      <c r="F758" s="60"/>
      <c r="G758" s="59"/>
      <c r="H758" s="37"/>
    </row>
    <row r="759" spans="1:8">
      <c r="A759" s="59"/>
      <c r="B759" s="59"/>
      <c r="C759" s="59"/>
      <c r="D759" s="59"/>
      <c r="E759" s="59"/>
      <c r="F759" s="60"/>
      <c r="G759" s="59"/>
      <c r="H759" s="37"/>
    </row>
    <row r="760" spans="1:8">
      <c r="A760" s="59"/>
      <c r="B760" s="59"/>
      <c r="C760" s="59"/>
      <c r="D760" s="59"/>
      <c r="E760" s="59"/>
      <c r="F760" s="60"/>
      <c r="G760" s="59"/>
      <c r="H760" s="37"/>
    </row>
    <row r="761" spans="1:8">
      <c r="A761" s="59"/>
      <c r="B761" s="59"/>
      <c r="C761" s="59"/>
      <c r="D761" s="59"/>
      <c r="E761" s="59"/>
      <c r="F761" s="60"/>
      <c r="G761" s="59"/>
      <c r="H761" s="37"/>
    </row>
    <row r="762" spans="1:8">
      <c r="A762" s="59"/>
      <c r="B762" s="59"/>
      <c r="C762" s="59"/>
      <c r="D762" s="59"/>
      <c r="E762" s="59"/>
      <c r="F762" s="60"/>
      <c r="G762" s="59"/>
      <c r="H762" s="37"/>
    </row>
    <row r="763" spans="1:8">
      <c r="A763" s="59"/>
      <c r="B763" s="59"/>
      <c r="C763" s="59"/>
      <c r="D763" s="59"/>
      <c r="E763" s="59"/>
      <c r="F763" s="60"/>
      <c r="G763" s="59"/>
      <c r="H763" s="37"/>
    </row>
    <row r="764" spans="1:8">
      <c r="A764" s="59"/>
      <c r="B764" s="59"/>
      <c r="C764" s="59"/>
      <c r="D764" s="59"/>
      <c r="E764" s="59"/>
      <c r="F764" s="60"/>
      <c r="G764" s="59"/>
      <c r="H764" s="37"/>
    </row>
    <row r="765" spans="1:8">
      <c r="A765" s="59"/>
      <c r="B765" s="59"/>
      <c r="C765" s="59"/>
      <c r="D765" s="59"/>
      <c r="E765" s="59"/>
      <c r="F765" s="60"/>
      <c r="G765" s="59"/>
      <c r="H765" s="37"/>
    </row>
    <row r="766" spans="1:8">
      <c r="A766" s="59"/>
      <c r="B766" s="59"/>
      <c r="C766" s="59"/>
      <c r="D766" s="59"/>
      <c r="E766" s="59"/>
      <c r="F766" s="60"/>
      <c r="G766" s="59"/>
      <c r="H766" s="37"/>
    </row>
    <row r="767" spans="1:8">
      <c r="A767" s="59"/>
      <c r="B767" s="59"/>
      <c r="C767" s="59"/>
      <c r="D767" s="59"/>
      <c r="E767" s="59"/>
      <c r="F767" s="60"/>
      <c r="G767" s="59"/>
      <c r="H767" s="37"/>
    </row>
    <row r="768" spans="1:8">
      <c r="A768" s="59"/>
      <c r="B768" s="59"/>
      <c r="C768" s="59"/>
      <c r="D768" s="59"/>
      <c r="E768" s="59"/>
      <c r="F768" s="60"/>
      <c r="G768" s="59"/>
      <c r="H768" s="37"/>
    </row>
    <row r="769" spans="1:8">
      <c r="A769" s="59"/>
      <c r="B769" s="59"/>
      <c r="C769" s="59"/>
      <c r="D769" s="59"/>
      <c r="E769" s="59"/>
      <c r="F769" s="60"/>
      <c r="G769" s="59"/>
      <c r="H769" s="37"/>
    </row>
    <row r="770" spans="1:8">
      <c r="A770" s="59"/>
      <c r="B770" s="59"/>
      <c r="C770" s="59"/>
      <c r="D770" s="59"/>
      <c r="E770" s="59"/>
      <c r="F770" s="60"/>
      <c r="G770" s="59"/>
      <c r="H770" s="37"/>
    </row>
    <row r="771" spans="1:8">
      <c r="A771" s="59"/>
      <c r="B771" s="59"/>
      <c r="C771" s="59"/>
      <c r="D771" s="59"/>
      <c r="E771" s="59"/>
      <c r="F771" s="60"/>
      <c r="G771" s="59"/>
      <c r="H771" s="37"/>
    </row>
    <row r="772" spans="1:8">
      <c r="A772" s="59"/>
      <c r="B772" s="59"/>
      <c r="C772" s="59"/>
      <c r="D772" s="59"/>
      <c r="E772" s="59"/>
      <c r="F772" s="60"/>
      <c r="G772" s="59"/>
      <c r="H772" s="37"/>
    </row>
    <row r="773" spans="1:8">
      <c r="A773" s="59"/>
      <c r="B773" s="59"/>
      <c r="C773" s="59"/>
      <c r="D773" s="59"/>
      <c r="E773" s="59"/>
      <c r="F773" s="60"/>
      <c r="G773" s="59"/>
      <c r="H773" s="37"/>
    </row>
    <row r="774" spans="1:8">
      <c r="A774" s="59"/>
      <c r="B774" s="59"/>
      <c r="C774" s="59"/>
      <c r="D774" s="59"/>
      <c r="E774" s="59"/>
      <c r="F774" s="60"/>
      <c r="G774" s="59"/>
      <c r="H774" s="37"/>
    </row>
    <row r="775" spans="1:8">
      <c r="A775" s="59"/>
      <c r="B775" s="59"/>
      <c r="C775" s="59"/>
      <c r="D775" s="59"/>
      <c r="E775" s="59"/>
      <c r="F775" s="60"/>
      <c r="G775" s="59"/>
      <c r="H775" s="37"/>
    </row>
    <row r="776" spans="1:8">
      <c r="A776" s="59"/>
      <c r="B776" s="59"/>
      <c r="C776" s="59"/>
      <c r="D776" s="59"/>
      <c r="E776" s="59"/>
      <c r="F776" s="60"/>
      <c r="G776" s="59"/>
      <c r="H776" s="37"/>
    </row>
    <row r="777" spans="1:8">
      <c r="A777" s="59"/>
      <c r="B777" s="59"/>
      <c r="C777" s="59"/>
      <c r="D777" s="59"/>
      <c r="E777" s="59"/>
      <c r="F777" s="60"/>
      <c r="G777" s="59"/>
      <c r="H777" s="37"/>
    </row>
    <row r="778" spans="1:8">
      <c r="A778" s="59"/>
      <c r="B778" s="59"/>
      <c r="C778" s="59"/>
      <c r="D778" s="59"/>
      <c r="E778" s="59"/>
      <c r="F778" s="60"/>
      <c r="G778" s="59"/>
      <c r="H778" s="37"/>
    </row>
    <row r="779" spans="1:8">
      <c r="A779" s="59"/>
      <c r="B779" s="59"/>
      <c r="C779" s="59"/>
      <c r="D779" s="59"/>
      <c r="E779" s="59"/>
      <c r="F779" s="60"/>
      <c r="G779" s="59"/>
      <c r="H779" s="37"/>
    </row>
    <row r="780" spans="1:8">
      <c r="A780" s="59"/>
      <c r="B780" s="59"/>
      <c r="C780" s="59"/>
      <c r="D780" s="59"/>
      <c r="E780" s="59"/>
      <c r="F780" s="60"/>
      <c r="G780" s="59"/>
      <c r="H780" s="37"/>
    </row>
    <row r="781" spans="1:8">
      <c r="A781" s="59"/>
      <c r="B781" s="59"/>
      <c r="C781" s="59"/>
      <c r="D781" s="59"/>
      <c r="E781" s="59"/>
      <c r="F781" s="60"/>
      <c r="G781" s="59"/>
      <c r="H781" s="37"/>
    </row>
    <row r="782" spans="1:8">
      <c r="A782" s="59"/>
      <c r="B782" s="59"/>
      <c r="C782" s="59"/>
      <c r="D782" s="59"/>
      <c r="E782" s="59"/>
      <c r="F782" s="60"/>
      <c r="G782" s="59"/>
      <c r="H782" s="37"/>
    </row>
    <row r="783" spans="1:8">
      <c r="A783" s="59"/>
      <c r="B783" s="59"/>
      <c r="C783" s="59"/>
      <c r="D783" s="59"/>
      <c r="E783" s="59"/>
      <c r="F783" s="60"/>
      <c r="G783" s="59"/>
      <c r="H783" s="37"/>
    </row>
    <row r="784" spans="1:8">
      <c r="A784" s="59"/>
      <c r="B784" s="59"/>
      <c r="C784" s="59"/>
      <c r="D784" s="59"/>
      <c r="E784" s="59"/>
      <c r="F784" s="60"/>
      <c r="G784" s="59"/>
      <c r="H784" s="37"/>
    </row>
    <row r="785" spans="1:8">
      <c r="A785" s="59"/>
      <c r="B785" s="59"/>
      <c r="C785" s="59"/>
      <c r="D785" s="59"/>
      <c r="E785" s="59"/>
      <c r="F785" s="60"/>
      <c r="G785" s="59"/>
      <c r="H785" s="37"/>
    </row>
    <row r="786" spans="1:8">
      <c r="A786" s="59"/>
      <c r="B786" s="59"/>
      <c r="C786" s="59"/>
      <c r="D786" s="59"/>
      <c r="E786" s="59"/>
      <c r="F786" s="60"/>
      <c r="G786" s="59"/>
      <c r="H786" s="37"/>
    </row>
    <row r="787" spans="1:8">
      <c r="A787" s="59"/>
      <c r="B787" s="59"/>
      <c r="C787" s="59"/>
      <c r="D787" s="59"/>
      <c r="E787" s="59"/>
      <c r="F787" s="60"/>
      <c r="G787" s="59"/>
      <c r="H787" s="37"/>
    </row>
    <row r="788" spans="1:8">
      <c r="A788" s="59"/>
      <c r="B788" s="59"/>
      <c r="C788" s="59"/>
      <c r="D788" s="59"/>
      <c r="E788" s="59"/>
      <c r="F788" s="60"/>
      <c r="G788" s="59"/>
      <c r="H788" s="37"/>
    </row>
    <row r="789" spans="1:8">
      <c r="A789" s="59"/>
      <c r="B789" s="59"/>
      <c r="C789" s="59"/>
      <c r="D789" s="59"/>
      <c r="E789" s="59"/>
      <c r="F789" s="60"/>
      <c r="G789" s="59"/>
      <c r="H789" s="37"/>
    </row>
    <row r="790" spans="1:8">
      <c r="A790" s="59"/>
      <c r="B790" s="59"/>
      <c r="C790" s="59"/>
      <c r="D790" s="59"/>
      <c r="E790" s="59"/>
      <c r="F790" s="60"/>
      <c r="G790" s="59"/>
      <c r="H790" s="37"/>
    </row>
    <row r="791" spans="1:8">
      <c r="A791" s="59"/>
      <c r="B791" s="59"/>
      <c r="C791" s="59"/>
      <c r="D791" s="59"/>
      <c r="E791" s="59"/>
      <c r="F791" s="60"/>
      <c r="G791" s="59"/>
      <c r="H791" s="37"/>
    </row>
    <row r="792" spans="1:8">
      <c r="A792" s="59"/>
      <c r="B792" s="59"/>
      <c r="C792" s="59"/>
      <c r="D792" s="59"/>
      <c r="E792" s="59"/>
      <c r="F792" s="60"/>
      <c r="G792" s="59"/>
      <c r="H792" s="37"/>
    </row>
    <row r="793" spans="1:8">
      <c r="A793" s="59"/>
      <c r="B793" s="59"/>
      <c r="C793" s="59"/>
      <c r="D793" s="59"/>
      <c r="E793" s="59"/>
      <c r="F793" s="60"/>
      <c r="G793" s="59"/>
      <c r="H793" s="37"/>
    </row>
    <row r="794" spans="1:8">
      <c r="A794" s="59"/>
      <c r="B794" s="59"/>
      <c r="C794" s="59"/>
      <c r="D794" s="59"/>
      <c r="E794" s="59"/>
      <c r="F794" s="60"/>
      <c r="G794" s="59"/>
      <c r="H794" s="37"/>
    </row>
    <row r="795" spans="1:8">
      <c r="A795" s="59"/>
      <c r="B795" s="59"/>
      <c r="C795" s="59"/>
      <c r="D795" s="59"/>
      <c r="E795" s="59"/>
      <c r="F795" s="60"/>
      <c r="G795" s="59"/>
      <c r="H795" s="37"/>
    </row>
    <row r="796" spans="1:8">
      <c r="A796" s="59"/>
      <c r="B796" s="59"/>
      <c r="C796" s="59"/>
      <c r="D796" s="59"/>
      <c r="E796" s="59"/>
      <c r="F796" s="60"/>
      <c r="G796" s="59"/>
      <c r="H796" s="37"/>
    </row>
    <row r="797" spans="1:8">
      <c r="A797" s="59"/>
      <c r="B797" s="59"/>
      <c r="C797" s="59"/>
      <c r="D797" s="59"/>
      <c r="E797" s="59"/>
      <c r="F797" s="60"/>
      <c r="G797" s="59"/>
      <c r="H797" s="37"/>
    </row>
    <row r="798" spans="1:8">
      <c r="A798" s="59"/>
      <c r="B798" s="59"/>
      <c r="C798" s="59"/>
      <c r="D798" s="59"/>
      <c r="E798" s="59"/>
      <c r="F798" s="60"/>
      <c r="G798" s="59"/>
      <c r="H798" s="37"/>
    </row>
    <row r="799" spans="1:8">
      <c r="A799" s="59"/>
      <c r="B799" s="59"/>
      <c r="C799" s="59"/>
      <c r="D799" s="59"/>
      <c r="E799" s="59"/>
      <c r="F799" s="60"/>
      <c r="G799" s="59"/>
      <c r="H799" s="37"/>
    </row>
    <row r="800" spans="1:8">
      <c r="A800" s="59"/>
      <c r="B800" s="59"/>
      <c r="C800" s="59"/>
      <c r="D800" s="59"/>
      <c r="E800" s="59"/>
      <c r="F800" s="60"/>
      <c r="G800" s="59"/>
      <c r="H800" s="37"/>
    </row>
    <row r="801" spans="1:8">
      <c r="A801" s="59"/>
      <c r="B801" s="59"/>
      <c r="C801" s="59"/>
      <c r="D801" s="59"/>
      <c r="E801" s="59"/>
      <c r="F801" s="60"/>
      <c r="G801" s="59"/>
      <c r="H801" s="37"/>
    </row>
    <row r="802" spans="1:8">
      <c r="A802" s="59"/>
      <c r="B802" s="59"/>
      <c r="C802" s="59"/>
      <c r="D802" s="59"/>
      <c r="E802" s="59"/>
      <c r="F802" s="60"/>
      <c r="G802" s="59"/>
      <c r="H802" s="37"/>
    </row>
    <row r="803" spans="1:8">
      <c r="A803" s="59"/>
      <c r="B803" s="59"/>
      <c r="C803" s="59"/>
      <c r="D803" s="59"/>
      <c r="E803" s="59"/>
      <c r="F803" s="60"/>
      <c r="G803" s="59"/>
      <c r="H803" s="37"/>
    </row>
    <row r="804" spans="1:8">
      <c r="A804" s="59"/>
      <c r="B804" s="59"/>
      <c r="C804" s="59"/>
      <c r="D804" s="59"/>
      <c r="E804" s="59"/>
      <c r="F804" s="60"/>
      <c r="G804" s="59"/>
      <c r="H804" s="37"/>
    </row>
    <row r="805" spans="1:8">
      <c r="A805" s="59"/>
      <c r="B805" s="59"/>
      <c r="C805" s="59"/>
      <c r="D805" s="59"/>
      <c r="E805" s="59"/>
      <c r="F805" s="60"/>
      <c r="G805" s="59"/>
      <c r="H805" s="37"/>
    </row>
    <row r="806" spans="1:8">
      <c r="A806" s="59"/>
      <c r="B806" s="59"/>
      <c r="C806" s="59"/>
      <c r="D806" s="59"/>
      <c r="E806" s="59"/>
      <c r="F806" s="60"/>
      <c r="G806" s="59"/>
      <c r="H806" s="37"/>
    </row>
    <row r="807" spans="1:8">
      <c r="A807" s="59"/>
      <c r="B807" s="59"/>
      <c r="C807" s="59"/>
      <c r="D807" s="59"/>
      <c r="E807" s="59"/>
      <c r="F807" s="60"/>
      <c r="G807" s="59"/>
      <c r="H807" s="37"/>
    </row>
    <row r="808" spans="1:8">
      <c r="A808" s="59"/>
      <c r="B808" s="59"/>
      <c r="C808" s="59"/>
      <c r="D808" s="59"/>
      <c r="E808" s="59"/>
      <c r="F808" s="60"/>
      <c r="G808" s="59"/>
      <c r="H808" s="37"/>
    </row>
    <row r="809" spans="1:8">
      <c r="A809" s="59"/>
      <c r="B809" s="59"/>
      <c r="C809" s="59"/>
      <c r="D809" s="59"/>
      <c r="E809" s="59"/>
      <c r="F809" s="60"/>
      <c r="G809" s="59"/>
      <c r="H809" s="37"/>
    </row>
    <row r="810" spans="1:8">
      <c r="A810" s="59"/>
      <c r="B810" s="59"/>
      <c r="C810" s="59"/>
      <c r="D810" s="59"/>
      <c r="E810" s="59"/>
      <c r="F810" s="60"/>
      <c r="G810" s="59"/>
      <c r="H810" s="37"/>
    </row>
    <row r="811" spans="1:8">
      <c r="A811" s="59"/>
      <c r="B811" s="59"/>
      <c r="C811" s="59"/>
      <c r="D811" s="59"/>
      <c r="E811" s="59"/>
      <c r="F811" s="60"/>
      <c r="G811" s="59"/>
      <c r="H811" s="37"/>
    </row>
    <row r="812" spans="1:8">
      <c r="A812" s="59"/>
      <c r="B812" s="59"/>
      <c r="C812" s="59"/>
      <c r="D812" s="59"/>
      <c r="E812" s="59"/>
      <c r="F812" s="60"/>
      <c r="G812" s="59"/>
      <c r="H812" s="37"/>
    </row>
    <row r="813" spans="1:8">
      <c r="A813" s="59"/>
      <c r="B813" s="59"/>
      <c r="C813" s="59"/>
      <c r="D813" s="59"/>
      <c r="E813" s="59"/>
      <c r="F813" s="60"/>
      <c r="G813" s="59"/>
      <c r="H813" s="37"/>
    </row>
    <row r="814" spans="1:8">
      <c r="A814" s="59"/>
      <c r="B814" s="59"/>
      <c r="C814" s="59"/>
      <c r="D814" s="59"/>
      <c r="E814" s="59"/>
      <c r="F814" s="60"/>
      <c r="G814" s="59"/>
      <c r="H814" s="37"/>
    </row>
    <row r="815" spans="1:8">
      <c r="A815" s="59"/>
      <c r="B815" s="59"/>
      <c r="C815" s="59"/>
      <c r="D815" s="59"/>
      <c r="E815" s="59"/>
      <c r="F815" s="60"/>
      <c r="G815" s="59"/>
      <c r="H815" s="37"/>
    </row>
    <row r="816" spans="1:8">
      <c r="A816" s="59"/>
      <c r="B816" s="59"/>
      <c r="C816" s="59"/>
      <c r="D816" s="59"/>
      <c r="E816" s="59"/>
      <c r="F816" s="60"/>
      <c r="G816" s="59"/>
      <c r="H816" s="37"/>
    </row>
    <row r="817" spans="1:8">
      <c r="A817" s="59"/>
      <c r="B817" s="59"/>
      <c r="C817" s="59"/>
      <c r="D817" s="59"/>
      <c r="E817" s="59"/>
      <c r="F817" s="60"/>
      <c r="G817" s="59"/>
      <c r="H817" s="37"/>
    </row>
    <row r="818" spans="1:8">
      <c r="A818" s="59"/>
      <c r="B818" s="59"/>
      <c r="C818" s="59"/>
      <c r="D818" s="59"/>
      <c r="E818" s="59"/>
      <c r="F818" s="60"/>
      <c r="G818" s="59"/>
      <c r="H818" s="37"/>
    </row>
    <row r="819" spans="1:8">
      <c r="A819" s="59"/>
      <c r="B819" s="59"/>
      <c r="C819" s="59"/>
      <c r="D819" s="59"/>
      <c r="E819" s="59"/>
      <c r="F819" s="60"/>
      <c r="G819" s="59"/>
      <c r="H819" s="37"/>
    </row>
    <row r="820" spans="1:8">
      <c r="A820" s="59"/>
      <c r="B820" s="59"/>
      <c r="C820" s="59"/>
      <c r="D820" s="59"/>
      <c r="E820" s="59"/>
      <c r="F820" s="60"/>
      <c r="G820" s="59"/>
      <c r="H820" s="37"/>
    </row>
    <row r="821" spans="1:8">
      <c r="A821" s="59"/>
      <c r="B821" s="59"/>
      <c r="C821" s="59"/>
      <c r="D821" s="59"/>
      <c r="E821" s="59"/>
      <c r="F821" s="60"/>
      <c r="G821" s="59"/>
      <c r="H821" s="37"/>
    </row>
    <row r="822" spans="1:8">
      <c r="A822" s="59"/>
      <c r="B822" s="59"/>
      <c r="C822" s="59"/>
      <c r="D822" s="59"/>
      <c r="E822" s="59"/>
      <c r="F822" s="60"/>
      <c r="G822" s="59"/>
      <c r="H822" s="37"/>
    </row>
    <row r="823" spans="1:8">
      <c r="A823" s="59"/>
      <c r="B823" s="59"/>
      <c r="C823" s="59"/>
      <c r="D823" s="59"/>
      <c r="E823" s="59"/>
      <c r="F823" s="60"/>
      <c r="G823" s="59"/>
      <c r="H823" s="37"/>
    </row>
    <row r="824" spans="1:8">
      <c r="A824" s="59"/>
      <c r="B824" s="59"/>
      <c r="C824" s="59"/>
      <c r="D824" s="59"/>
      <c r="E824" s="59"/>
      <c r="F824" s="60"/>
      <c r="G824" s="59"/>
      <c r="H824" s="37"/>
    </row>
    <row r="825" spans="1:8">
      <c r="A825" s="59"/>
      <c r="B825" s="59"/>
      <c r="C825" s="59"/>
      <c r="D825" s="59"/>
      <c r="E825" s="59"/>
      <c r="F825" s="60"/>
      <c r="G825" s="59"/>
      <c r="H825" s="37"/>
    </row>
    <row r="826" spans="1:8">
      <c r="A826" s="59"/>
      <c r="B826" s="59"/>
      <c r="C826" s="59"/>
      <c r="D826" s="59"/>
      <c r="E826" s="59"/>
      <c r="F826" s="60"/>
      <c r="G826" s="59"/>
      <c r="H826" s="37"/>
    </row>
    <row r="827" spans="1:8">
      <c r="A827" s="59"/>
      <c r="B827" s="59"/>
      <c r="C827" s="59"/>
      <c r="D827" s="59"/>
      <c r="E827" s="59"/>
      <c r="F827" s="60"/>
      <c r="G827" s="59"/>
      <c r="H827" s="37"/>
    </row>
    <row r="828" spans="1:8">
      <c r="A828" s="59"/>
      <c r="B828" s="59"/>
      <c r="C828" s="59"/>
      <c r="D828" s="59"/>
      <c r="E828" s="59"/>
      <c r="F828" s="60"/>
      <c r="G828" s="59"/>
      <c r="H828" s="37"/>
    </row>
    <row r="829" spans="1:8">
      <c r="A829" s="59"/>
      <c r="B829" s="59"/>
      <c r="C829" s="59"/>
      <c r="D829" s="59"/>
      <c r="E829" s="59"/>
      <c r="F829" s="60"/>
      <c r="G829" s="59"/>
      <c r="H829" s="37"/>
    </row>
    <row r="830" spans="1:8">
      <c r="A830" s="59"/>
      <c r="B830" s="59"/>
      <c r="C830" s="59"/>
      <c r="D830" s="59"/>
      <c r="E830" s="59"/>
      <c r="F830" s="60"/>
      <c r="G830" s="59"/>
      <c r="H830" s="37"/>
    </row>
    <row r="831" spans="1:8">
      <c r="A831" s="59"/>
      <c r="B831" s="59"/>
      <c r="C831" s="59"/>
      <c r="D831" s="59"/>
      <c r="E831" s="59"/>
      <c r="F831" s="60"/>
      <c r="G831" s="59"/>
      <c r="H831" s="37"/>
    </row>
    <row r="832" spans="1:8">
      <c r="A832" s="59"/>
      <c r="B832" s="59"/>
      <c r="C832" s="59"/>
      <c r="D832" s="59"/>
      <c r="E832" s="59"/>
      <c r="F832" s="60"/>
      <c r="G832" s="59"/>
      <c r="H832" s="37"/>
    </row>
    <row r="833" spans="1:8">
      <c r="A833" s="59"/>
      <c r="B833" s="59"/>
      <c r="C833" s="59"/>
      <c r="D833" s="59"/>
      <c r="E833" s="59"/>
      <c r="F833" s="60"/>
      <c r="G833" s="59"/>
      <c r="H833" s="37"/>
    </row>
    <row r="834" spans="1:8">
      <c r="A834" s="59"/>
      <c r="B834" s="59"/>
      <c r="C834" s="59"/>
      <c r="D834" s="59"/>
      <c r="E834" s="59"/>
      <c r="F834" s="60"/>
      <c r="G834" s="59"/>
      <c r="H834" s="37"/>
    </row>
    <row r="835" spans="1:8">
      <c r="A835" s="59"/>
      <c r="B835" s="59"/>
      <c r="C835" s="59"/>
      <c r="D835" s="59"/>
      <c r="E835" s="59"/>
      <c r="F835" s="60"/>
      <c r="G835" s="59"/>
      <c r="H835" s="37"/>
    </row>
    <row r="836" spans="1:8">
      <c r="A836" s="59"/>
      <c r="B836" s="59"/>
      <c r="C836" s="59"/>
      <c r="D836" s="59"/>
      <c r="E836" s="59"/>
      <c r="F836" s="60"/>
      <c r="G836" s="59"/>
      <c r="H836" s="37"/>
    </row>
    <row r="837" spans="1:8">
      <c r="A837" s="59"/>
      <c r="B837" s="59"/>
      <c r="C837" s="59"/>
      <c r="D837" s="59"/>
      <c r="E837" s="59"/>
      <c r="F837" s="60"/>
      <c r="G837" s="59"/>
      <c r="H837" s="37"/>
    </row>
    <row r="838" spans="1:8">
      <c r="A838" s="59"/>
      <c r="B838" s="59"/>
      <c r="C838" s="59"/>
      <c r="D838" s="59"/>
      <c r="E838" s="59"/>
      <c r="F838" s="60"/>
      <c r="G838" s="59"/>
      <c r="H838" s="37"/>
    </row>
    <row r="839" spans="1:8">
      <c r="A839" s="59"/>
      <c r="B839" s="59"/>
      <c r="C839" s="59"/>
      <c r="D839" s="59"/>
      <c r="E839" s="59"/>
      <c r="F839" s="60"/>
      <c r="G839" s="59"/>
      <c r="H839" s="37"/>
    </row>
    <row r="840" spans="1:8">
      <c r="A840" s="59"/>
      <c r="B840" s="59"/>
      <c r="C840" s="59"/>
      <c r="D840" s="59"/>
      <c r="E840" s="59"/>
      <c r="F840" s="60"/>
      <c r="G840" s="59"/>
      <c r="H840" s="37"/>
    </row>
    <row r="841" spans="1:8">
      <c r="A841" s="59"/>
      <c r="B841" s="59"/>
      <c r="C841" s="59"/>
      <c r="D841" s="59"/>
      <c r="E841" s="59"/>
      <c r="F841" s="60"/>
      <c r="G841" s="59"/>
      <c r="H841" s="37"/>
    </row>
    <row r="842" spans="1:8">
      <c r="A842" s="59"/>
      <c r="B842" s="59"/>
      <c r="C842" s="59"/>
      <c r="D842" s="59"/>
      <c r="E842" s="59"/>
      <c r="F842" s="60"/>
      <c r="G842" s="59"/>
      <c r="H842" s="37"/>
    </row>
    <row r="843" spans="1:8">
      <c r="A843" s="59"/>
      <c r="B843" s="59"/>
      <c r="C843" s="59"/>
      <c r="D843" s="59"/>
      <c r="E843" s="59"/>
      <c r="F843" s="60"/>
      <c r="G843" s="59"/>
      <c r="H843" s="37"/>
    </row>
    <row r="844" spans="1:8">
      <c r="A844" s="59"/>
      <c r="B844" s="59"/>
      <c r="C844" s="59"/>
      <c r="D844" s="59"/>
      <c r="E844" s="59"/>
      <c r="F844" s="60"/>
      <c r="G844" s="59"/>
      <c r="H844" s="37"/>
    </row>
    <row r="845" spans="1:8">
      <c r="A845" s="59"/>
      <c r="B845" s="59"/>
      <c r="C845" s="59"/>
      <c r="D845" s="59"/>
      <c r="E845" s="59"/>
      <c r="F845" s="60"/>
      <c r="G845" s="59"/>
      <c r="H845" s="37"/>
    </row>
    <row r="846" spans="1:8">
      <c r="A846" s="59"/>
      <c r="B846" s="59"/>
      <c r="C846" s="59"/>
      <c r="D846" s="59"/>
      <c r="E846" s="59"/>
      <c r="F846" s="60"/>
      <c r="G846" s="59"/>
      <c r="H846" s="37"/>
    </row>
    <row r="847" spans="1:8">
      <c r="A847" s="59"/>
      <c r="B847" s="59"/>
      <c r="C847" s="59"/>
      <c r="D847" s="59"/>
      <c r="E847" s="59"/>
      <c r="F847" s="60"/>
      <c r="G847" s="59"/>
      <c r="H847" s="37"/>
    </row>
    <row r="848" spans="1:8">
      <c r="A848" s="59"/>
      <c r="B848" s="59"/>
      <c r="C848" s="59"/>
      <c r="D848" s="59"/>
      <c r="E848" s="59"/>
      <c r="F848" s="60"/>
      <c r="G848" s="59"/>
      <c r="H848" s="37"/>
    </row>
    <row r="849" spans="1:8">
      <c r="A849" s="59"/>
      <c r="B849" s="59"/>
      <c r="C849" s="59"/>
      <c r="D849" s="59"/>
      <c r="E849" s="59"/>
      <c r="F849" s="60"/>
      <c r="G849" s="59"/>
      <c r="H849" s="37"/>
    </row>
    <row r="850" spans="1:8">
      <c r="A850" s="59"/>
      <c r="B850" s="59"/>
      <c r="C850" s="59"/>
      <c r="D850" s="59"/>
      <c r="E850" s="59"/>
      <c r="F850" s="60"/>
      <c r="G850" s="59"/>
      <c r="H850" s="37"/>
    </row>
    <row r="851" spans="1:8">
      <c r="A851" s="59"/>
      <c r="B851" s="59"/>
      <c r="C851" s="59"/>
      <c r="D851" s="59"/>
      <c r="E851" s="59"/>
      <c r="F851" s="60"/>
      <c r="G851" s="59"/>
      <c r="H851" s="37"/>
    </row>
    <row r="852" spans="1:8">
      <c r="A852" s="59"/>
      <c r="B852" s="59"/>
      <c r="C852" s="59"/>
      <c r="D852" s="59"/>
      <c r="E852" s="59"/>
      <c r="F852" s="60"/>
      <c r="G852" s="59"/>
      <c r="H852" s="37"/>
    </row>
    <row r="853" spans="1:8">
      <c r="A853" s="59"/>
      <c r="B853" s="59"/>
      <c r="C853" s="59"/>
      <c r="D853" s="59"/>
      <c r="E853" s="59"/>
      <c r="F853" s="60"/>
      <c r="G853" s="59"/>
      <c r="H853" s="37"/>
    </row>
    <row r="854" spans="1:8">
      <c r="A854" s="59"/>
      <c r="B854" s="59"/>
      <c r="C854" s="59"/>
      <c r="D854" s="59"/>
      <c r="E854" s="59"/>
      <c r="F854" s="60"/>
      <c r="G854" s="59"/>
      <c r="H854" s="37"/>
    </row>
    <row r="855" spans="1:8">
      <c r="A855" s="59"/>
      <c r="B855" s="59"/>
      <c r="C855" s="59"/>
      <c r="D855" s="59"/>
      <c r="E855" s="59"/>
      <c r="F855" s="60"/>
      <c r="G855" s="59"/>
      <c r="H855" s="37"/>
    </row>
    <row r="856" spans="1:8">
      <c r="A856" s="59"/>
      <c r="B856" s="59"/>
      <c r="C856" s="59"/>
      <c r="D856" s="59"/>
      <c r="E856" s="59"/>
      <c r="F856" s="60"/>
      <c r="G856" s="59"/>
      <c r="H856" s="37"/>
    </row>
    <row r="857" spans="1:8">
      <c r="A857" s="59"/>
      <c r="B857" s="59"/>
      <c r="C857" s="59"/>
      <c r="D857" s="59"/>
      <c r="E857" s="59"/>
      <c r="F857" s="60"/>
      <c r="G857" s="59"/>
      <c r="H857" s="37"/>
    </row>
    <row r="858" spans="1:8">
      <c r="A858" s="59"/>
      <c r="B858" s="59"/>
      <c r="C858" s="59"/>
      <c r="D858" s="59"/>
      <c r="E858" s="59"/>
      <c r="F858" s="60"/>
      <c r="G858" s="59"/>
      <c r="H858" s="37"/>
    </row>
    <row r="859" spans="1:8">
      <c r="A859" s="59"/>
      <c r="B859" s="59"/>
      <c r="C859" s="59"/>
      <c r="D859" s="59"/>
      <c r="E859" s="59"/>
      <c r="F859" s="60"/>
      <c r="G859" s="59"/>
      <c r="H859" s="37"/>
    </row>
    <row r="860" spans="1:8">
      <c r="A860" s="59"/>
      <c r="B860" s="59"/>
      <c r="C860" s="59"/>
      <c r="D860" s="59"/>
      <c r="E860" s="59"/>
      <c r="F860" s="60"/>
      <c r="G860" s="59"/>
      <c r="H860" s="37"/>
    </row>
    <row r="861" spans="1:8">
      <c r="A861" s="59"/>
      <c r="B861" s="59"/>
      <c r="C861" s="59"/>
      <c r="D861" s="59"/>
      <c r="E861" s="59"/>
      <c r="F861" s="60"/>
      <c r="G861" s="59"/>
      <c r="H861" s="37"/>
    </row>
    <row r="862" spans="1:8">
      <c r="A862" s="59"/>
      <c r="B862" s="59"/>
      <c r="C862" s="59"/>
      <c r="D862" s="59"/>
      <c r="E862" s="59"/>
      <c r="F862" s="60"/>
      <c r="G862" s="59"/>
      <c r="H862" s="37"/>
    </row>
    <row r="863" spans="1:8">
      <c r="A863" s="59"/>
      <c r="B863" s="59"/>
      <c r="C863" s="59"/>
      <c r="D863" s="59"/>
      <c r="E863" s="59"/>
      <c r="F863" s="60"/>
      <c r="G863" s="59"/>
      <c r="H863" s="37"/>
    </row>
    <row r="864" spans="1:8">
      <c r="A864" s="59"/>
      <c r="B864" s="59"/>
      <c r="C864" s="59"/>
      <c r="D864" s="59"/>
      <c r="E864" s="59"/>
      <c r="F864" s="60"/>
      <c r="G864" s="59"/>
      <c r="H864" s="37"/>
    </row>
    <row r="865" spans="1:8">
      <c r="A865" s="59"/>
      <c r="B865" s="59"/>
      <c r="C865" s="59"/>
      <c r="D865" s="59"/>
      <c r="E865" s="59"/>
      <c r="F865" s="60"/>
      <c r="G865" s="59"/>
      <c r="H865" s="37"/>
    </row>
    <row r="866" spans="1:8">
      <c r="A866" s="59"/>
      <c r="B866" s="59"/>
      <c r="C866" s="59"/>
      <c r="D866" s="59"/>
      <c r="E866" s="59"/>
      <c r="F866" s="60"/>
      <c r="G866" s="59"/>
      <c r="H866" s="37"/>
    </row>
    <row r="867" spans="1:8">
      <c r="A867" s="59"/>
      <c r="B867" s="59"/>
      <c r="C867" s="59"/>
      <c r="D867" s="59"/>
      <c r="E867" s="59"/>
      <c r="F867" s="60"/>
      <c r="G867" s="59"/>
      <c r="H867" s="37"/>
    </row>
    <row r="868" spans="1:8">
      <c r="A868" s="59"/>
      <c r="B868" s="59"/>
      <c r="C868" s="59"/>
      <c r="D868" s="59"/>
      <c r="E868" s="59"/>
      <c r="F868" s="60"/>
      <c r="G868" s="59"/>
      <c r="H868" s="37"/>
    </row>
    <row r="869" spans="1:8">
      <c r="A869" s="59"/>
      <c r="B869" s="59"/>
      <c r="C869" s="59"/>
      <c r="D869" s="59"/>
      <c r="E869" s="59"/>
      <c r="F869" s="60"/>
      <c r="G869" s="59"/>
      <c r="H869" s="37"/>
    </row>
    <row r="870" spans="1:8">
      <c r="A870" s="59"/>
      <c r="B870" s="59"/>
      <c r="C870" s="59"/>
      <c r="D870" s="59"/>
      <c r="E870" s="59"/>
      <c r="F870" s="60"/>
      <c r="G870" s="59"/>
      <c r="H870" s="37"/>
    </row>
    <row r="871" spans="1:8">
      <c r="A871" s="59"/>
      <c r="B871" s="59"/>
      <c r="C871" s="59"/>
      <c r="D871" s="59"/>
      <c r="E871" s="59"/>
      <c r="F871" s="60"/>
      <c r="G871" s="59"/>
      <c r="H871" s="37"/>
    </row>
    <row r="872" spans="1:8">
      <c r="A872" s="59"/>
      <c r="B872" s="59"/>
      <c r="C872" s="59"/>
      <c r="D872" s="59"/>
      <c r="E872" s="59"/>
      <c r="F872" s="60"/>
      <c r="G872" s="59"/>
      <c r="H872" s="37"/>
    </row>
    <row r="873" spans="1:8">
      <c r="A873" s="59"/>
      <c r="B873" s="59"/>
      <c r="C873" s="59"/>
      <c r="D873" s="59"/>
      <c r="E873" s="59"/>
      <c r="F873" s="60"/>
      <c r="G873" s="59"/>
      <c r="H873" s="37"/>
    </row>
    <row r="874" spans="1:8">
      <c r="A874" s="59"/>
      <c r="B874" s="59"/>
      <c r="C874" s="59"/>
      <c r="D874" s="59"/>
      <c r="E874" s="59"/>
      <c r="F874" s="60"/>
      <c r="G874" s="59"/>
      <c r="H874" s="37"/>
    </row>
    <row r="875" spans="1:8">
      <c r="A875" s="59"/>
      <c r="B875" s="59"/>
      <c r="C875" s="59"/>
      <c r="D875" s="59"/>
      <c r="E875" s="59"/>
      <c r="F875" s="60"/>
      <c r="G875" s="59"/>
      <c r="H875" s="37"/>
    </row>
    <row r="876" spans="1:8">
      <c r="A876" s="59"/>
      <c r="B876" s="59"/>
      <c r="C876" s="59"/>
      <c r="D876" s="59"/>
      <c r="E876" s="59"/>
      <c r="F876" s="60"/>
      <c r="G876" s="59"/>
      <c r="H876" s="37"/>
    </row>
    <row r="877" spans="1:8">
      <c r="A877" s="59"/>
      <c r="B877" s="59"/>
      <c r="C877" s="59"/>
      <c r="D877" s="59"/>
      <c r="E877" s="59"/>
      <c r="F877" s="60"/>
      <c r="G877" s="59"/>
      <c r="H877" s="37"/>
    </row>
    <row r="878" spans="1:8">
      <c r="A878" s="59"/>
      <c r="B878" s="59"/>
      <c r="C878" s="59"/>
      <c r="D878" s="59"/>
      <c r="E878" s="59"/>
      <c r="F878" s="60"/>
      <c r="G878" s="59"/>
      <c r="H878" s="37"/>
    </row>
    <row r="879" spans="1:8">
      <c r="A879" s="59"/>
      <c r="B879" s="59"/>
      <c r="C879" s="59"/>
      <c r="D879" s="59"/>
      <c r="E879" s="59"/>
      <c r="F879" s="60"/>
      <c r="G879" s="59"/>
      <c r="H879" s="37"/>
    </row>
    <row r="880" spans="1:8">
      <c r="A880" s="59"/>
      <c r="B880" s="59"/>
      <c r="C880" s="59"/>
      <c r="D880" s="59"/>
      <c r="E880" s="59"/>
      <c r="F880" s="60"/>
      <c r="G880" s="59"/>
      <c r="H880" s="37"/>
    </row>
    <row r="881" spans="1:8">
      <c r="A881" s="59"/>
      <c r="B881" s="59"/>
      <c r="C881" s="59"/>
      <c r="D881" s="59"/>
      <c r="E881" s="59"/>
      <c r="F881" s="60"/>
      <c r="G881" s="59"/>
      <c r="H881" s="37"/>
    </row>
    <row r="882" spans="1:8">
      <c r="A882" s="59"/>
      <c r="B882" s="59"/>
      <c r="C882" s="59"/>
      <c r="D882" s="59"/>
      <c r="E882" s="59"/>
      <c r="F882" s="60"/>
      <c r="G882" s="59"/>
      <c r="H882" s="37"/>
    </row>
    <row r="883" spans="1:8">
      <c r="A883" s="59"/>
      <c r="B883" s="59"/>
      <c r="C883" s="59"/>
      <c r="D883" s="59"/>
      <c r="E883" s="59"/>
      <c r="F883" s="60"/>
      <c r="G883" s="59"/>
      <c r="H883" s="37"/>
    </row>
    <row r="884" spans="1:8">
      <c r="A884" s="59"/>
      <c r="B884" s="59"/>
      <c r="C884" s="59"/>
      <c r="D884" s="59"/>
      <c r="E884" s="59"/>
      <c r="F884" s="60"/>
      <c r="G884" s="59"/>
      <c r="H884" s="37"/>
    </row>
    <row r="885" spans="1:8">
      <c r="A885" s="59"/>
      <c r="B885" s="59"/>
      <c r="C885" s="59"/>
      <c r="D885" s="59"/>
      <c r="E885" s="59"/>
      <c r="F885" s="60"/>
      <c r="G885" s="59"/>
      <c r="H885" s="37"/>
    </row>
    <row r="886" spans="1:8">
      <c r="A886" s="59"/>
      <c r="B886" s="59"/>
      <c r="C886" s="59"/>
      <c r="D886" s="59"/>
      <c r="E886" s="59"/>
      <c r="F886" s="60"/>
      <c r="G886" s="59"/>
      <c r="H886" s="37"/>
    </row>
    <row r="887" spans="1:8">
      <c r="A887" s="59"/>
      <c r="B887" s="59"/>
      <c r="C887" s="59"/>
      <c r="D887" s="59"/>
      <c r="E887" s="59"/>
      <c r="F887" s="60"/>
      <c r="G887" s="59"/>
      <c r="H887" s="37"/>
    </row>
    <row r="888" spans="1:8">
      <c r="A888" s="59"/>
      <c r="B888" s="59"/>
      <c r="C888" s="59"/>
      <c r="D888" s="59"/>
      <c r="E888" s="59"/>
      <c r="F888" s="60"/>
      <c r="G888" s="59"/>
      <c r="H888" s="37"/>
    </row>
    <row r="889" spans="1:8">
      <c r="A889" s="59"/>
      <c r="B889" s="59"/>
      <c r="C889" s="59"/>
      <c r="D889" s="59"/>
      <c r="E889" s="59"/>
      <c r="F889" s="60"/>
      <c r="G889" s="59"/>
      <c r="H889" s="37"/>
    </row>
    <row r="890" spans="1:8">
      <c r="A890" s="59"/>
      <c r="B890" s="59"/>
      <c r="C890" s="59"/>
      <c r="D890" s="59"/>
      <c r="E890" s="59"/>
      <c r="F890" s="60"/>
      <c r="G890" s="59"/>
      <c r="H890" s="37"/>
    </row>
    <row r="891" spans="1:8">
      <c r="A891" s="59"/>
      <c r="B891" s="59"/>
      <c r="C891" s="59"/>
      <c r="D891" s="59"/>
      <c r="E891" s="59"/>
      <c r="F891" s="60"/>
      <c r="G891" s="59"/>
      <c r="H891" s="37"/>
    </row>
    <row r="892" spans="1:8">
      <c r="A892" s="59"/>
      <c r="B892" s="59"/>
      <c r="C892" s="59"/>
      <c r="D892" s="59"/>
      <c r="E892" s="59"/>
      <c r="F892" s="60"/>
      <c r="G892" s="59"/>
      <c r="H892" s="37"/>
    </row>
    <row r="893" spans="1:8">
      <c r="A893" s="59"/>
      <c r="B893" s="59"/>
      <c r="C893" s="59"/>
      <c r="D893" s="59"/>
      <c r="E893" s="59"/>
      <c r="F893" s="60"/>
      <c r="G893" s="59"/>
      <c r="H893" s="37"/>
    </row>
    <row r="894" spans="1:8">
      <c r="A894" s="59"/>
      <c r="B894" s="59"/>
      <c r="C894" s="59"/>
      <c r="D894" s="59"/>
      <c r="E894" s="59"/>
      <c r="F894" s="60"/>
      <c r="G894" s="59"/>
      <c r="H894" s="37"/>
    </row>
    <row r="895" spans="1:8">
      <c r="A895" s="59"/>
      <c r="B895" s="59"/>
      <c r="C895" s="59"/>
      <c r="D895" s="59"/>
      <c r="E895" s="59"/>
      <c r="F895" s="60"/>
      <c r="G895" s="59"/>
      <c r="H895" s="37"/>
    </row>
    <row r="896" spans="1:8">
      <c r="A896" s="59"/>
      <c r="B896" s="59"/>
      <c r="C896" s="59"/>
      <c r="D896" s="59"/>
      <c r="E896" s="59"/>
      <c r="F896" s="60"/>
      <c r="G896" s="59"/>
      <c r="H896" s="37"/>
    </row>
    <row r="897" spans="1:8">
      <c r="A897" s="59"/>
      <c r="B897" s="59"/>
      <c r="C897" s="59"/>
      <c r="D897" s="59"/>
      <c r="E897" s="59"/>
      <c r="F897" s="60"/>
      <c r="G897" s="59"/>
      <c r="H897" s="37"/>
    </row>
    <row r="898" spans="1:8">
      <c r="A898" s="59"/>
      <c r="B898" s="59"/>
      <c r="C898" s="59"/>
      <c r="D898" s="59"/>
      <c r="E898" s="59"/>
      <c r="F898" s="60"/>
      <c r="G898" s="59"/>
      <c r="H898" s="37"/>
    </row>
    <row r="899" spans="1:8">
      <c r="A899" s="59"/>
      <c r="B899" s="59"/>
      <c r="C899" s="59"/>
      <c r="D899" s="59"/>
      <c r="E899" s="59"/>
      <c r="F899" s="60"/>
      <c r="G899" s="59"/>
      <c r="H899" s="37"/>
    </row>
    <row r="900" spans="1:8">
      <c r="A900" s="59"/>
      <c r="B900" s="59"/>
      <c r="C900" s="59"/>
      <c r="D900" s="59"/>
      <c r="E900" s="59"/>
      <c r="F900" s="60"/>
      <c r="G900" s="59"/>
      <c r="H900" s="37"/>
    </row>
    <row r="901" spans="1:8">
      <c r="A901" s="59"/>
      <c r="B901" s="59"/>
      <c r="C901" s="59"/>
      <c r="D901" s="59"/>
      <c r="E901" s="59"/>
      <c r="F901" s="60"/>
      <c r="G901" s="59"/>
      <c r="H901" s="37"/>
    </row>
    <row r="902" spans="1:8">
      <c r="A902" s="59"/>
      <c r="B902" s="59"/>
      <c r="C902" s="59"/>
      <c r="D902" s="59"/>
      <c r="E902" s="59"/>
      <c r="F902" s="60"/>
      <c r="G902" s="59"/>
      <c r="H902" s="37"/>
    </row>
    <row r="903" spans="1:8">
      <c r="A903" s="59"/>
      <c r="B903" s="59"/>
      <c r="C903" s="59"/>
      <c r="D903" s="59"/>
      <c r="E903" s="59"/>
      <c r="F903" s="60"/>
      <c r="G903" s="59"/>
      <c r="H903" s="37"/>
    </row>
    <row r="904" spans="1:8">
      <c r="A904" s="59"/>
      <c r="B904" s="59"/>
      <c r="C904" s="59"/>
      <c r="D904" s="59"/>
      <c r="E904" s="59"/>
      <c r="F904" s="60"/>
      <c r="G904" s="59"/>
      <c r="H904" s="37"/>
    </row>
    <row r="905" spans="1:8">
      <c r="A905" s="59"/>
      <c r="B905" s="59"/>
      <c r="C905" s="59"/>
      <c r="D905" s="59"/>
      <c r="E905" s="59"/>
      <c r="F905" s="60"/>
      <c r="G905" s="59"/>
      <c r="H905" s="37"/>
    </row>
    <row r="906" spans="1:8">
      <c r="A906" s="59"/>
      <c r="B906" s="59"/>
      <c r="C906" s="59"/>
      <c r="D906" s="59"/>
      <c r="E906" s="59"/>
      <c r="F906" s="60"/>
      <c r="G906" s="59"/>
      <c r="H906" s="37"/>
    </row>
    <row r="907" spans="1:8">
      <c r="A907" s="59"/>
      <c r="B907" s="59"/>
      <c r="C907" s="59"/>
      <c r="D907" s="59"/>
      <c r="E907" s="59"/>
      <c r="F907" s="60"/>
      <c r="G907" s="59"/>
      <c r="H907" s="37"/>
    </row>
    <row r="908" spans="1:8">
      <c r="A908" s="59"/>
      <c r="B908" s="59"/>
      <c r="C908" s="59"/>
      <c r="D908" s="59"/>
      <c r="E908" s="59"/>
      <c r="F908" s="60"/>
      <c r="G908" s="59"/>
      <c r="H908" s="37"/>
    </row>
    <row r="909" spans="1:8">
      <c r="A909" s="59"/>
      <c r="B909" s="59"/>
      <c r="C909" s="59"/>
      <c r="D909" s="59"/>
      <c r="E909" s="59"/>
      <c r="F909" s="60"/>
      <c r="G909" s="59"/>
      <c r="H909" s="37"/>
    </row>
    <row r="910" spans="1:8">
      <c r="A910" s="59"/>
      <c r="B910" s="59"/>
      <c r="C910" s="59"/>
      <c r="D910" s="59"/>
      <c r="E910" s="59"/>
      <c r="F910" s="60"/>
      <c r="G910" s="59"/>
      <c r="H910" s="37"/>
    </row>
    <row r="911" spans="1:8">
      <c r="A911" s="59"/>
      <c r="B911" s="59"/>
      <c r="C911" s="59"/>
      <c r="D911" s="59"/>
      <c r="E911" s="59"/>
      <c r="F911" s="60"/>
      <c r="G911" s="59"/>
      <c r="H911" s="37"/>
    </row>
    <row r="912" spans="1:8">
      <c r="A912" s="59"/>
      <c r="B912" s="59"/>
      <c r="C912" s="59"/>
      <c r="D912" s="59"/>
      <c r="E912" s="59"/>
      <c r="F912" s="60"/>
      <c r="G912" s="59"/>
      <c r="H912" s="37"/>
    </row>
    <row r="913" spans="1:8">
      <c r="A913" s="59"/>
      <c r="B913" s="59"/>
      <c r="C913" s="59"/>
      <c r="D913" s="59"/>
      <c r="E913" s="59"/>
      <c r="F913" s="60"/>
      <c r="G913" s="59"/>
      <c r="H913" s="37"/>
    </row>
    <row r="914" spans="1:8">
      <c r="A914" s="59"/>
      <c r="B914" s="59"/>
      <c r="C914" s="59"/>
      <c r="D914" s="59"/>
      <c r="E914" s="59"/>
      <c r="F914" s="60"/>
      <c r="G914" s="59"/>
      <c r="H914" s="37"/>
    </row>
    <row r="915" spans="1:8">
      <c r="A915" s="59"/>
      <c r="B915" s="59"/>
      <c r="C915" s="59"/>
      <c r="D915" s="59"/>
      <c r="E915" s="59"/>
      <c r="F915" s="60"/>
      <c r="G915" s="59"/>
      <c r="H915" s="37"/>
    </row>
    <row r="916" spans="1:8">
      <c r="A916" s="59"/>
      <c r="B916" s="59"/>
      <c r="C916" s="59"/>
      <c r="D916" s="59"/>
      <c r="E916" s="59"/>
      <c r="F916" s="60"/>
      <c r="G916" s="59"/>
      <c r="H916" s="37"/>
    </row>
    <row r="917" spans="1:8">
      <c r="A917" s="59"/>
      <c r="B917" s="59"/>
      <c r="C917" s="59"/>
      <c r="D917" s="59"/>
      <c r="E917" s="59"/>
      <c r="F917" s="60"/>
      <c r="G917" s="59"/>
      <c r="H917" s="37"/>
    </row>
    <row r="918" spans="1:8">
      <c r="A918" s="59"/>
      <c r="B918" s="59"/>
      <c r="C918" s="59"/>
      <c r="D918" s="59"/>
      <c r="E918" s="59"/>
      <c r="F918" s="60"/>
      <c r="G918" s="59"/>
      <c r="H918" s="37"/>
    </row>
    <row r="919" spans="1:8">
      <c r="A919" s="59"/>
      <c r="B919" s="59"/>
      <c r="C919" s="59"/>
      <c r="D919" s="59"/>
      <c r="E919" s="59"/>
      <c r="F919" s="60"/>
      <c r="G919" s="59"/>
      <c r="H919" s="37"/>
    </row>
    <row r="920" spans="1:8">
      <c r="A920" s="59"/>
      <c r="B920" s="59"/>
      <c r="C920" s="59"/>
      <c r="D920" s="59"/>
      <c r="E920" s="59"/>
      <c r="F920" s="60"/>
      <c r="G920" s="59"/>
      <c r="H920" s="37"/>
    </row>
    <row r="921" spans="1:8">
      <c r="A921" s="59"/>
      <c r="B921" s="59"/>
      <c r="C921" s="59"/>
      <c r="D921" s="59"/>
      <c r="E921" s="59"/>
      <c r="F921" s="60"/>
      <c r="G921" s="59"/>
      <c r="H921" s="37"/>
    </row>
    <row r="922" spans="1:8">
      <c r="A922" s="59"/>
      <c r="B922" s="59"/>
      <c r="C922" s="59"/>
      <c r="D922" s="59"/>
      <c r="E922" s="59"/>
      <c r="F922" s="60"/>
      <c r="G922" s="59"/>
      <c r="H922" s="37"/>
    </row>
    <row r="923" spans="1:8">
      <c r="A923" s="59"/>
      <c r="B923" s="59"/>
      <c r="C923" s="59"/>
      <c r="D923" s="59"/>
      <c r="E923" s="59"/>
      <c r="F923" s="60"/>
      <c r="G923" s="59"/>
      <c r="H923" s="37"/>
    </row>
    <row r="924" spans="1:8">
      <c r="A924" s="59"/>
      <c r="B924" s="59"/>
      <c r="C924" s="59"/>
      <c r="D924" s="59"/>
      <c r="E924" s="59"/>
      <c r="F924" s="60"/>
      <c r="G924" s="59"/>
      <c r="H924" s="37"/>
    </row>
    <row r="925" spans="1:8">
      <c r="A925" s="59"/>
      <c r="B925" s="59"/>
      <c r="C925" s="59"/>
      <c r="D925" s="59"/>
      <c r="E925" s="59"/>
      <c r="F925" s="60"/>
      <c r="G925" s="59"/>
      <c r="H925" s="37"/>
    </row>
    <row r="926" spans="1:8">
      <c r="A926" s="59"/>
      <c r="B926" s="59"/>
      <c r="C926" s="59"/>
      <c r="D926" s="59"/>
      <c r="E926" s="59"/>
      <c r="F926" s="60"/>
      <c r="G926" s="59"/>
      <c r="H926" s="37"/>
    </row>
    <row r="927" spans="1:8">
      <c r="A927" s="59"/>
      <c r="B927" s="59"/>
      <c r="C927" s="59"/>
      <c r="D927" s="59"/>
      <c r="E927" s="59"/>
      <c r="F927" s="60"/>
      <c r="G927" s="59"/>
      <c r="H927" s="37"/>
    </row>
    <row r="928" spans="1:8">
      <c r="A928" s="59"/>
      <c r="B928" s="59"/>
      <c r="C928" s="59"/>
      <c r="D928" s="59"/>
      <c r="E928" s="59"/>
      <c r="F928" s="60"/>
      <c r="G928" s="59"/>
      <c r="H928" s="37"/>
    </row>
    <row r="929" spans="1:8">
      <c r="A929" s="59"/>
      <c r="B929" s="59"/>
      <c r="C929" s="59"/>
      <c r="D929" s="59"/>
      <c r="E929" s="59"/>
      <c r="F929" s="60"/>
      <c r="G929" s="59"/>
      <c r="H929" s="37"/>
    </row>
    <row r="930" spans="1:8">
      <c r="A930" s="59"/>
      <c r="B930" s="59"/>
      <c r="C930" s="59"/>
      <c r="D930" s="59"/>
      <c r="E930" s="59"/>
      <c r="F930" s="60"/>
      <c r="G930" s="59"/>
      <c r="H930" s="37"/>
    </row>
    <row r="931" spans="1:8">
      <c r="A931" s="59"/>
      <c r="B931" s="59"/>
      <c r="C931" s="59"/>
      <c r="D931" s="59"/>
      <c r="E931" s="59"/>
      <c r="F931" s="60"/>
      <c r="G931" s="59"/>
      <c r="H931" s="37"/>
    </row>
    <row r="932" spans="1:8">
      <c r="A932" s="59"/>
      <c r="B932" s="59"/>
      <c r="C932" s="59"/>
      <c r="D932" s="59"/>
      <c r="E932" s="59"/>
      <c r="F932" s="60"/>
      <c r="G932" s="59"/>
      <c r="H932" s="37"/>
    </row>
    <row r="933" spans="1:8">
      <c r="A933" s="59"/>
      <c r="B933" s="59"/>
      <c r="C933" s="59"/>
      <c r="D933" s="59"/>
      <c r="E933" s="59"/>
      <c r="F933" s="60"/>
      <c r="G933" s="59"/>
      <c r="H933" s="37"/>
    </row>
    <row r="934" spans="1:8">
      <c r="A934" s="59"/>
      <c r="B934" s="59"/>
      <c r="C934" s="59"/>
      <c r="D934" s="59"/>
      <c r="E934" s="59"/>
      <c r="F934" s="60"/>
      <c r="G934" s="59"/>
      <c r="H934" s="37"/>
    </row>
    <row r="935" spans="1:8">
      <c r="A935" s="59"/>
      <c r="B935" s="59"/>
      <c r="C935" s="59"/>
      <c r="D935" s="59"/>
      <c r="E935" s="59"/>
      <c r="F935" s="60"/>
      <c r="G935" s="59"/>
      <c r="H935" s="37"/>
    </row>
    <row r="936" spans="1:8">
      <c r="A936" s="59"/>
      <c r="B936" s="59"/>
      <c r="C936" s="59"/>
      <c r="D936" s="59"/>
      <c r="E936" s="59"/>
      <c r="F936" s="60"/>
      <c r="G936" s="59"/>
      <c r="H936" s="37"/>
    </row>
    <row r="937" spans="1:8">
      <c r="A937" s="59"/>
      <c r="B937" s="59"/>
      <c r="C937" s="59"/>
      <c r="D937" s="59"/>
      <c r="E937" s="59"/>
      <c r="F937" s="60"/>
      <c r="G937" s="59"/>
      <c r="H937" s="37"/>
    </row>
    <row r="938" spans="1:8">
      <c r="A938" s="59"/>
      <c r="B938" s="59"/>
      <c r="C938" s="59"/>
      <c r="D938" s="59"/>
      <c r="E938" s="59"/>
      <c r="F938" s="60"/>
      <c r="G938" s="59"/>
      <c r="H938" s="37"/>
    </row>
    <row r="939" spans="1:8">
      <c r="A939" s="59"/>
      <c r="B939" s="59"/>
      <c r="C939" s="59"/>
      <c r="D939" s="59"/>
      <c r="E939" s="59"/>
      <c r="F939" s="60"/>
      <c r="G939" s="59"/>
      <c r="H939" s="37"/>
    </row>
    <row r="940" spans="1:8">
      <c r="A940" s="59"/>
      <c r="B940" s="59"/>
      <c r="C940" s="59"/>
      <c r="D940" s="59"/>
      <c r="E940" s="59"/>
      <c r="F940" s="60"/>
      <c r="G940" s="59"/>
      <c r="H940" s="37"/>
    </row>
    <row r="941" spans="1:8">
      <c r="A941" s="59"/>
      <c r="B941" s="59"/>
      <c r="C941" s="59"/>
      <c r="D941" s="59"/>
      <c r="E941" s="59"/>
      <c r="F941" s="60"/>
      <c r="G941" s="59"/>
      <c r="H941" s="37"/>
    </row>
    <row r="942" spans="1:8">
      <c r="A942" s="59"/>
      <c r="B942" s="59"/>
      <c r="C942" s="59"/>
      <c r="D942" s="59"/>
      <c r="E942" s="59"/>
      <c r="F942" s="60"/>
      <c r="G942" s="59"/>
      <c r="H942" s="37"/>
    </row>
    <row r="943" spans="1:8">
      <c r="A943" s="59"/>
      <c r="B943" s="59"/>
      <c r="C943" s="59"/>
      <c r="D943" s="59"/>
      <c r="E943" s="59"/>
      <c r="F943" s="60"/>
      <c r="G943" s="59"/>
      <c r="H943" s="37"/>
    </row>
    <row r="944" spans="1:8">
      <c r="A944" s="59"/>
      <c r="B944" s="59"/>
      <c r="C944" s="59"/>
      <c r="D944" s="59"/>
      <c r="E944" s="59"/>
      <c r="F944" s="60"/>
      <c r="G944" s="59"/>
      <c r="H944" s="37"/>
    </row>
    <row r="945" spans="1:8">
      <c r="A945" s="59"/>
      <c r="B945" s="59"/>
      <c r="C945" s="59"/>
      <c r="D945" s="59"/>
      <c r="E945" s="59"/>
      <c r="F945" s="60"/>
      <c r="G945" s="59"/>
      <c r="H945" s="37"/>
    </row>
    <row r="946" spans="1:8">
      <c r="A946" s="59"/>
      <c r="B946" s="59"/>
      <c r="C946" s="59"/>
      <c r="D946" s="59"/>
      <c r="E946" s="59"/>
      <c r="F946" s="60"/>
      <c r="G946" s="59"/>
      <c r="H946" s="37"/>
    </row>
    <row r="947" spans="1:8">
      <c r="A947" s="59"/>
      <c r="B947" s="59"/>
      <c r="C947" s="59"/>
      <c r="D947" s="59"/>
      <c r="E947" s="59"/>
      <c r="F947" s="60"/>
      <c r="G947" s="59"/>
      <c r="H947" s="37"/>
    </row>
    <row r="948" spans="1:8">
      <c r="A948" s="59"/>
      <c r="B948" s="59"/>
      <c r="C948" s="59"/>
      <c r="D948" s="59"/>
      <c r="E948" s="59"/>
      <c r="F948" s="60"/>
      <c r="G948" s="59"/>
      <c r="H948" s="37"/>
    </row>
    <row r="949" spans="1:8">
      <c r="A949" s="59"/>
      <c r="B949" s="59"/>
      <c r="C949" s="59"/>
      <c r="D949" s="59"/>
      <c r="E949" s="59"/>
      <c r="F949" s="60"/>
      <c r="G949" s="59"/>
      <c r="H949" s="37"/>
    </row>
    <row r="950" spans="1:8">
      <c r="A950" s="59"/>
      <c r="B950" s="59"/>
      <c r="C950" s="59"/>
      <c r="D950" s="59"/>
      <c r="E950" s="59"/>
      <c r="F950" s="60"/>
      <c r="G950" s="59"/>
      <c r="H950" s="37"/>
    </row>
    <row r="951" spans="1:8">
      <c r="A951" s="59"/>
      <c r="B951" s="59"/>
      <c r="C951" s="59"/>
      <c r="D951" s="59"/>
      <c r="E951" s="59"/>
      <c r="F951" s="60"/>
      <c r="G951" s="59"/>
      <c r="H951" s="37"/>
    </row>
    <row r="952" spans="1:8">
      <c r="A952" s="59"/>
      <c r="B952" s="59"/>
      <c r="C952" s="59"/>
      <c r="D952" s="59"/>
      <c r="E952" s="59"/>
      <c r="F952" s="60"/>
      <c r="G952" s="59"/>
      <c r="H952" s="37"/>
    </row>
    <row r="953" spans="1:8">
      <c r="A953" s="59"/>
      <c r="B953" s="59"/>
      <c r="C953" s="59"/>
      <c r="D953" s="59"/>
      <c r="E953" s="59"/>
      <c r="F953" s="60"/>
      <c r="G953" s="59"/>
      <c r="H953" s="37"/>
    </row>
    <row r="954" spans="1:8">
      <c r="A954" s="59"/>
      <c r="B954" s="59"/>
      <c r="C954" s="59"/>
      <c r="D954" s="59"/>
      <c r="E954" s="59"/>
      <c r="F954" s="60"/>
      <c r="G954" s="59"/>
      <c r="H954" s="37"/>
    </row>
    <row r="955" spans="1:8">
      <c r="A955" s="59"/>
      <c r="B955" s="59"/>
      <c r="C955" s="59"/>
      <c r="D955" s="59"/>
      <c r="E955" s="59"/>
      <c r="F955" s="60"/>
      <c r="G955" s="59"/>
      <c r="H955" s="37"/>
    </row>
    <row r="956" spans="1:8">
      <c r="A956" s="59"/>
      <c r="B956" s="59"/>
      <c r="C956" s="59"/>
      <c r="D956" s="59"/>
      <c r="E956" s="59"/>
      <c r="F956" s="60"/>
      <c r="G956" s="59"/>
      <c r="H956" s="37"/>
    </row>
    <row r="957" spans="1:8">
      <c r="A957" s="59"/>
      <c r="B957" s="59"/>
      <c r="C957" s="59"/>
      <c r="D957" s="59"/>
      <c r="E957" s="59"/>
      <c r="F957" s="60"/>
      <c r="G957" s="59"/>
      <c r="H957" s="37"/>
    </row>
    <row r="958" spans="1:8">
      <c r="A958" s="59"/>
      <c r="B958" s="59"/>
      <c r="C958" s="59"/>
      <c r="D958" s="59"/>
      <c r="E958" s="59"/>
      <c r="F958" s="60"/>
      <c r="G958" s="59"/>
      <c r="H958" s="37"/>
    </row>
    <row r="959" spans="1:8">
      <c r="A959" s="59"/>
      <c r="B959" s="59"/>
      <c r="C959" s="59"/>
      <c r="D959" s="59"/>
      <c r="E959" s="59"/>
      <c r="F959" s="60"/>
      <c r="G959" s="59"/>
      <c r="H959" s="37"/>
    </row>
    <row r="960" spans="1:8">
      <c r="A960" s="59"/>
      <c r="B960" s="59"/>
      <c r="C960" s="59"/>
      <c r="D960" s="59"/>
      <c r="E960" s="59"/>
      <c r="F960" s="60"/>
      <c r="G960" s="59"/>
      <c r="H960" s="37"/>
    </row>
    <row r="961" spans="1:8">
      <c r="A961" s="59"/>
      <c r="B961" s="59"/>
      <c r="C961" s="59"/>
      <c r="D961" s="59"/>
      <c r="E961" s="59"/>
      <c r="F961" s="60"/>
      <c r="G961" s="59"/>
      <c r="H961" s="37"/>
    </row>
    <row r="962" spans="1:8">
      <c r="A962" s="59"/>
      <c r="B962" s="59"/>
      <c r="C962" s="59"/>
      <c r="D962" s="59"/>
      <c r="E962" s="59"/>
      <c r="F962" s="60"/>
      <c r="G962" s="59"/>
      <c r="H962" s="37"/>
    </row>
    <row r="963" spans="1:8">
      <c r="A963" s="59"/>
      <c r="B963" s="59"/>
      <c r="C963" s="59"/>
      <c r="D963" s="59"/>
      <c r="E963" s="59"/>
      <c r="F963" s="60"/>
      <c r="G963" s="59"/>
      <c r="H963" s="37"/>
    </row>
    <row r="964" spans="1:8">
      <c r="A964" s="59"/>
      <c r="B964" s="59"/>
      <c r="C964" s="59"/>
      <c r="D964" s="59"/>
      <c r="E964" s="59"/>
      <c r="F964" s="60"/>
      <c r="G964" s="59"/>
      <c r="H964" s="37"/>
    </row>
    <row r="965" spans="1:8">
      <c r="A965" s="59"/>
      <c r="B965" s="59"/>
      <c r="C965" s="59"/>
      <c r="D965" s="59"/>
      <c r="E965" s="59"/>
      <c r="F965" s="60"/>
      <c r="G965" s="59"/>
      <c r="H965" s="37"/>
    </row>
    <row r="966" spans="1:8">
      <c r="A966" s="59"/>
      <c r="B966" s="59"/>
      <c r="C966" s="59"/>
      <c r="D966" s="59"/>
      <c r="E966" s="59"/>
      <c r="F966" s="60"/>
      <c r="G966" s="59"/>
      <c r="H966" s="37"/>
    </row>
    <row r="967" spans="1:8">
      <c r="A967" s="59"/>
      <c r="B967" s="59"/>
      <c r="C967" s="59"/>
      <c r="D967" s="59"/>
      <c r="E967" s="59"/>
      <c r="F967" s="60"/>
      <c r="G967" s="59"/>
      <c r="H967" s="37"/>
    </row>
    <row r="968" spans="1:8">
      <c r="A968" s="59"/>
      <c r="B968" s="59"/>
      <c r="C968" s="59"/>
      <c r="D968" s="59"/>
      <c r="E968" s="59"/>
      <c r="F968" s="60"/>
      <c r="G968" s="59"/>
      <c r="H968" s="37"/>
    </row>
    <row r="969" spans="1:8">
      <c r="A969" s="59"/>
      <c r="B969" s="59"/>
      <c r="C969" s="59"/>
      <c r="D969" s="59"/>
      <c r="E969" s="59"/>
      <c r="F969" s="60"/>
      <c r="G969" s="59"/>
      <c r="H969" s="37"/>
    </row>
    <row r="970" spans="1:8">
      <c r="A970" s="59"/>
      <c r="B970" s="59"/>
      <c r="C970" s="59"/>
      <c r="D970" s="59"/>
      <c r="E970" s="59"/>
      <c r="F970" s="60"/>
      <c r="G970" s="59"/>
      <c r="H970" s="37"/>
    </row>
    <row r="971" spans="1:8">
      <c r="A971" s="59"/>
      <c r="B971" s="59"/>
      <c r="C971" s="59"/>
      <c r="D971" s="59"/>
      <c r="E971" s="59"/>
      <c r="F971" s="60"/>
      <c r="G971" s="59"/>
      <c r="H971" s="37"/>
    </row>
    <row r="972" spans="1:8">
      <c r="A972" s="59"/>
      <c r="B972" s="59"/>
      <c r="C972" s="59"/>
      <c r="D972" s="59"/>
      <c r="E972" s="59"/>
      <c r="F972" s="60"/>
      <c r="G972" s="59"/>
      <c r="H972" s="37"/>
    </row>
    <row r="973" spans="1:8">
      <c r="A973" s="59"/>
      <c r="B973" s="59"/>
      <c r="C973" s="59"/>
      <c r="D973" s="59"/>
      <c r="E973" s="59"/>
      <c r="F973" s="60"/>
      <c r="G973" s="59"/>
      <c r="H973" s="37"/>
    </row>
    <row r="974" spans="1:8">
      <c r="A974" s="59"/>
      <c r="B974" s="59"/>
      <c r="C974" s="59"/>
      <c r="D974" s="59"/>
      <c r="E974" s="59"/>
      <c r="F974" s="60"/>
      <c r="G974" s="59"/>
      <c r="H974" s="37"/>
    </row>
    <row r="975" spans="1:8">
      <c r="A975" s="59"/>
      <c r="B975" s="59"/>
      <c r="C975" s="59"/>
      <c r="D975" s="59"/>
      <c r="E975" s="59"/>
      <c r="F975" s="60"/>
      <c r="G975" s="59"/>
      <c r="H975" s="37"/>
    </row>
    <row r="976" spans="1:8">
      <c r="A976" s="59"/>
      <c r="B976" s="59"/>
      <c r="C976" s="59"/>
      <c r="D976" s="59"/>
      <c r="E976" s="59"/>
      <c r="F976" s="60"/>
      <c r="G976" s="59"/>
      <c r="H976" s="37"/>
    </row>
    <row r="977" spans="1:8">
      <c r="A977" s="59"/>
      <c r="B977" s="59"/>
      <c r="C977" s="59"/>
      <c r="D977" s="59"/>
      <c r="E977" s="59"/>
      <c r="F977" s="60"/>
      <c r="G977" s="59"/>
      <c r="H977" s="37"/>
    </row>
    <row r="978" spans="1:8">
      <c r="A978" s="59"/>
      <c r="B978" s="59"/>
      <c r="C978" s="59"/>
      <c r="D978" s="59"/>
      <c r="E978" s="59"/>
      <c r="F978" s="60"/>
      <c r="G978" s="59"/>
      <c r="H978" s="37"/>
    </row>
    <row r="979" spans="1:8">
      <c r="A979" s="59"/>
      <c r="B979" s="59"/>
      <c r="C979" s="59"/>
      <c r="D979" s="59"/>
      <c r="E979" s="59"/>
      <c r="F979" s="60"/>
      <c r="G979" s="59"/>
      <c r="H979" s="37"/>
    </row>
    <row r="980" spans="1:8">
      <c r="A980" s="59"/>
      <c r="B980" s="59"/>
      <c r="C980" s="59"/>
      <c r="D980" s="59"/>
      <c r="E980" s="59"/>
      <c r="F980" s="60"/>
      <c r="G980" s="59"/>
      <c r="H980" s="37"/>
    </row>
    <row r="981" spans="1:8">
      <c r="A981" s="59"/>
      <c r="B981" s="59"/>
      <c r="C981" s="59"/>
      <c r="D981" s="59"/>
      <c r="E981" s="59"/>
      <c r="F981" s="60"/>
      <c r="G981" s="59"/>
      <c r="H981" s="37"/>
    </row>
    <row r="982" spans="1:8">
      <c r="A982" s="59"/>
      <c r="B982" s="59"/>
      <c r="C982" s="59"/>
      <c r="D982" s="59"/>
      <c r="E982" s="59"/>
      <c r="F982" s="60"/>
      <c r="G982" s="59"/>
      <c r="H982" s="37"/>
    </row>
    <row r="983" spans="1:8">
      <c r="A983" s="59"/>
      <c r="B983" s="59"/>
      <c r="C983" s="59"/>
      <c r="D983" s="59"/>
      <c r="E983" s="59"/>
      <c r="F983" s="60"/>
      <c r="G983" s="59"/>
      <c r="H983" s="37"/>
    </row>
    <row r="984" spans="1:8">
      <c r="A984" s="59"/>
      <c r="B984" s="59"/>
      <c r="C984" s="59"/>
      <c r="D984" s="59"/>
      <c r="E984" s="59"/>
      <c r="F984" s="60"/>
      <c r="G984" s="59"/>
      <c r="H984" s="37"/>
    </row>
    <row r="985" spans="1:8">
      <c r="A985" s="59"/>
      <c r="B985" s="59"/>
      <c r="C985" s="59"/>
      <c r="D985" s="59"/>
      <c r="E985" s="59"/>
      <c r="F985" s="60"/>
      <c r="G985" s="59"/>
      <c r="H985" s="37"/>
    </row>
    <row r="986" spans="1:8">
      <c r="A986" s="59"/>
      <c r="B986" s="59"/>
      <c r="C986" s="59"/>
      <c r="D986" s="59"/>
      <c r="E986" s="59"/>
      <c r="F986" s="60"/>
      <c r="G986" s="59"/>
      <c r="H986" s="37"/>
    </row>
    <row r="987" spans="1:8">
      <c r="A987" s="59"/>
      <c r="B987" s="59"/>
      <c r="C987" s="59"/>
      <c r="D987" s="59"/>
      <c r="E987" s="59"/>
      <c r="F987" s="60"/>
      <c r="G987" s="59"/>
      <c r="H987" s="37"/>
    </row>
    <row r="988" spans="1:8">
      <c r="A988" s="59"/>
      <c r="B988" s="59"/>
      <c r="C988" s="59"/>
      <c r="D988" s="59"/>
      <c r="E988" s="59"/>
      <c r="F988" s="60"/>
      <c r="G988" s="59"/>
      <c r="H988" s="37"/>
    </row>
    <row r="989" spans="1:8">
      <c r="A989" s="59"/>
      <c r="B989" s="59"/>
      <c r="C989" s="59"/>
      <c r="D989" s="59"/>
      <c r="E989" s="59"/>
      <c r="F989" s="60"/>
      <c r="G989" s="59"/>
      <c r="H989" s="37"/>
    </row>
    <row r="990" spans="1:8">
      <c r="A990" s="59"/>
      <c r="B990" s="59"/>
      <c r="C990" s="59"/>
      <c r="D990" s="59"/>
      <c r="E990" s="59"/>
      <c r="F990" s="60"/>
      <c r="G990" s="59"/>
      <c r="H990" s="37"/>
    </row>
    <row r="991" spans="1:8">
      <c r="A991" s="59"/>
      <c r="B991" s="59"/>
      <c r="C991" s="59"/>
      <c r="D991" s="59"/>
      <c r="E991" s="59"/>
      <c r="F991" s="60"/>
      <c r="G991" s="59"/>
      <c r="H991" s="37"/>
    </row>
    <row r="992" spans="1:8">
      <c r="A992" s="59"/>
      <c r="B992" s="59"/>
      <c r="C992" s="59"/>
      <c r="D992" s="59"/>
      <c r="E992" s="59"/>
      <c r="F992" s="60"/>
      <c r="G992" s="59"/>
      <c r="H992" s="37"/>
    </row>
    <row r="993" spans="1:8">
      <c r="A993" s="59"/>
      <c r="B993" s="59"/>
      <c r="C993" s="59"/>
      <c r="D993" s="59"/>
      <c r="E993" s="59"/>
      <c r="F993" s="60"/>
      <c r="G993" s="59"/>
      <c r="H993" s="37"/>
    </row>
    <row r="994" spans="1:8">
      <c r="A994" s="59"/>
      <c r="B994" s="59"/>
      <c r="C994" s="59"/>
      <c r="D994" s="59"/>
      <c r="E994" s="59"/>
      <c r="F994" s="60"/>
      <c r="G994" s="59"/>
      <c r="H994" s="37"/>
    </row>
    <row r="995" spans="1:8">
      <c r="A995" s="59"/>
      <c r="B995" s="59"/>
      <c r="C995" s="59"/>
      <c r="D995" s="59"/>
      <c r="E995" s="59"/>
      <c r="F995" s="60"/>
      <c r="G995" s="59"/>
      <c r="H995" s="37"/>
    </row>
    <row r="996" spans="1:8">
      <c r="A996" s="59"/>
      <c r="B996" s="59"/>
      <c r="C996" s="59"/>
      <c r="D996" s="59"/>
      <c r="E996" s="59"/>
      <c r="F996" s="60"/>
      <c r="G996" s="59"/>
      <c r="H996" s="37"/>
    </row>
    <row r="997" spans="1:8">
      <c r="A997" s="59"/>
      <c r="B997" s="59"/>
      <c r="C997" s="59"/>
      <c r="D997" s="59"/>
      <c r="E997" s="59"/>
      <c r="F997" s="60"/>
      <c r="G997" s="59"/>
      <c r="H997" s="37"/>
    </row>
    <row r="998" spans="1:8">
      <c r="A998" s="59"/>
      <c r="B998" s="59"/>
      <c r="C998" s="59"/>
      <c r="D998" s="59"/>
      <c r="E998" s="59"/>
      <c r="F998" s="60"/>
      <c r="G998" s="59"/>
      <c r="H998" s="37"/>
    </row>
    <row r="999" spans="1:8">
      <c r="A999" s="59"/>
      <c r="B999" s="59"/>
      <c r="C999" s="59"/>
      <c r="D999" s="59"/>
      <c r="E999" s="59"/>
      <c r="F999" s="60"/>
      <c r="G999" s="59"/>
      <c r="H999" s="37"/>
    </row>
    <row r="1000" spans="1:8">
      <c r="A1000" s="59"/>
      <c r="B1000" s="59"/>
      <c r="C1000" s="59"/>
      <c r="D1000" s="59"/>
      <c r="E1000" s="59"/>
      <c r="F1000" s="60"/>
      <c r="G1000" s="59"/>
      <c r="H1000" s="37"/>
    </row>
    <row r="1001" spans="1:8">
      <c r="A1001" s="59"/>
      <c r="B1001" s="59"/>
      <c r="C1001" s="59"/>
      <c r="D1001" s="59"/>
      <c r="E1001" s="59"/>
      <c r="F1001" s="60"/>
      <c r="G1001" s="59"/>
      <c r="H1001" s="37"/>
    </row>
    <row r="1002" spans="1:8">
      <c r="A1002" s="59"/>
      <c r="B1002" s="59"/>
      <c r="C1002" s="59"/>
      <c r="D1002" s="59"/>
      <c r="E1002" s="59"/>
      <c r="F1002" s="60"/>
      <c r="G1002" s="59"/>
      <c r="H1002" s="37"/>
    </row>
    <row r="1003" spans="1:8">
      <c r="A1003" s="59"/>
      <c r="B1003" s="59"/>
      <c r="C1003" s="59"/>
      <c r="D1003" s="59"/>
      <c r="E1003" s="59"/>
      <c r="F1003" s="60"/>
      <c r="G1003" s="59"/>
      <c r="H1003" s="37"/>
    </row>
    <row r="1004" spans="1:8">
      <c r="A1004" s="59"/>
      <c r="B1004" s="59"/>
      <c r="C1004" s="59"/>
      <c r="D1004" s="59"/>
      <c r="E1004" s="59"/>
      <c r="F1004" s="60"/>
      <c r="G1004" s="59"/>
      <c r="H1004" s="37"/>
    </row>
    <row r="1005" spans="1:8">
      <c r="A1005" s="59"/>
      <c r="B1005" s="59"/>
      <c r="C1005" s="59"/>
      <c r="D1005" s="59"/>
      <c r="E1005" s="59"/>
      <c r="F1005" s="60"/>
      <c r="G1005" s="59"/>
      <c r="H1005" s="37"/>
    </row>
    <row r="1006" spans="1:8">
      <c r="A1006" s="59"/>
      <c r="B1006" s="59"/>
      <c r="C1006" s="59"/>
      <c r="D1006" s="59"/>
      <c r="E1006" s="59"/>
      <c r="F1006" s="60"/>
      <c r="G1006" s="59"/>
      <c r="H1006" s="37"/>
    </row>
    <row r="1007" spans="1:8">
      <c r="A1007" s="59"/>
      <c r="B1007" s="59"/>
      <c r="C1007" s="59"/>
      <c r="D1007" s="59"/>
      <c r="E1007" s="59"/>
      <c r="F1007" s="60"/>
      <c r="G1007" s="59"/>
      <c r="H1007" s="37"/>
    </row>
    <row r="1008" spans="1:8">
      <c r="A1008" s="59"/>
      <c r="B1008" s="59"/>
      <c r="C1008" s="59"/>
      <c r="D1008" s="59"/>
      <c r="E1008" s="59"/>
      <c r="F1008" s="60"/>
      <c r="G1008" s="59"/>
      <c r="H1008" s="37"/>
    </row>
    <row r="1009" spans="1:8">
      <c r="A1009" s="59"/>
      <c r="B1009" s="59"/>
      <c r="C1009" s="59"/>
      <c r="D1009" s="59"/>
      <c r="E1009" s="59"/>
      <c r="F1009" s="60"/>
      <c r="G1009" s="59"/>
      <c r="H1009" s="37"/>
    </row>
    <row r="1010" spans="1:8">
      <c r="A1010" s="59"/>
      <c r="B1010" s="59"/>
      <c r="C1010" s="59"/>
      <c r="D1010" s="59"/>
      <c r="E1010" s="59"/>
      <c r="F1010" s="60"/>
      <c r="G1010" s="59"/>
      <c r="H1010" s="37"/>
    </row>
    <row r="1011" spans="1:8">
      <c r="A1011" s="59"/>
      <c r="B1011" s="59"/>
      <c r="C1011" s="59"/>
      <c r="D1011" s="59"/>
      <c r="E1011" s="59"/>
      <c r="F1011" s="60"/>
      <c r="G1011" s="59"/>
      <c r="H1011" s="37"/>
    </row>
    <row r="1012" spans="1:8">
      <c r="A1012" s="59"/>
      <c r="B1012" s="59"/>
      <c r="C1012" s="59"/>
      <c r="D1012" s="59"/>
      <c r="E1012" s="59"/>
      <c r="F1012" s="60"/>
      <c r="G1012" s="59"/>
      <c r="H1012" s="37"/>
    </row>
    <row r="1013" spans="1:8">
      <c r="A1013" s="59"/>
      <c r="B1013" s="59"/>
      <c r="C1013" s="59"/>
      <c r="D1013" s="59"/>
      <c r="E1013" s="59"/>
      <c r="F1013" s="60"/>
      <c r="G1013" s="59"/>
      <c r="H1013" s="37"/>
    </row>
    <row r="1014" spans="1:8">
      <c r="A1014" s="59"/>
      <c r="B1014" s="59"/>
      <c r="C1014" s="59"/>
      <c r="D1014" s="59"/>
      <c r="E1014" s="59"/>
      <c r="F1014" s="60"/>
      <c r="G1014" s="59"/>
      <c r="H1014" s="37"/>
    </row>
    <row r="1015" spans="1:8">
      <c r="A1015" s="59"/>
      <c r="B1015" s="59"/>
      <c r="C1015" s="59"/>
      <c r="D1015" s="59"/>
      <c r="E1015" s="59"/>
      <c r="F1015" s="60"/>
      <c r="G1015" s="59"/>
      <c r="H1015" s="37"/>
    </row>
    <row r="1016" spans="1:8">
      <c r="A1016" s="59"/>
      <c r="B1016" s="59"/>
      <c r="C1016" s="59"/>
      <c r="D1016" s="59"/>
      <c r="E1016" s="59"/>
      <c r="F1016" s="60"/>
      <c r="G1016" s="59"/>
      <c r="H1016" s="37"/>
    </row>
    <row r="1017" spans="1:8">
      <c r="A1017" s="59"/>
      <c r="B1017" s="59"/>
      <c r="C1017" s="59"/>
      <c r="D1017" s="59"/>
      <c r="E1017" s="59"/>
      <c r="F1017" s="60"/>
      <c r="G1017" s="59"/>
      <c r="H1017" s="37"/>
    </row>
    <row r="1018" spans="1:8">
      <c r="A1018" s="59"/>
      <c r="B1018" s="59"/>
      <c r="C1018" s="59"/>
      <c r="D1018" s="59"/>
      <c r="E1018" s="59"/>
      <c r="F1018" s="60"/>
      <c r="G1018" s="59"/>
      <c r="H1018" s="37"/>
    </row>
    <row r="1019" spans="1:8">
      <c r="A1019" s="59"/>
      <c r="B1019" s="59"/>
      <c r="C1019" s="59"/>
      <c r="D1019" s="59"/>
      <c r="E1019" s="59"/>
      <c r="F1019" s="60"/>
      <c r="G1019" s="59"/>
      <c r="H1019" s="37"/>
    </row>
    <row r="1020" spans="1:8">
      <c r="A1020" s="59"/>
      <c r="B1020" s="59"/>
      <c r="C1020" s="59"/>
      <c r="D1020" s="59"/>
      <c r="E1020" s="59"/>
      <c r="F1020" s="60"/>
      <c r="G1020" s="59"/>
      <c r="H1020" s="37"/>
    </row>
    <row r="1021" spans="1:8">
      <c r="A1021" s="59"/>
      <c r="B1021" s="59"/>
      <c r="C1021" s="59"/>
      <c r="D1021" s="59"/>
      <c r="E1021" s="59"/>
      <c r="F1021" s="60"/>
      <c r="G1021" s="59"/>
      <c r="H1021" s="37"/>
    </row>
    <row r="1022" spans="1:8">
      <c r="A1022" s="59"/>
      <c r="B1022" s="59"/>
      <c r="C1022" s="59"/>
      <c r="D1022" s="59"/>
      <c r="E1022" s="59"/>
      <c r="F1022" s="60"/>
      <c r="G1022" s="59"/>
      <c r="H1022" s="37"/>
    </row>
    <row r="1023" spans="1:8">
      <c r="A1023" s="59"/>
      <c r="B1023" s="59"/>
      <c r="C1023" s="59"/>
      <c r="D1023" s="59"/>
      <c r="E1023" s="59"/>
      <c r="F1023" s="60"/>
      <c r="G1023" s="59"/>
      <c r="H1023" s="37"/>
    </row>
    <row r="1024" spans="1:8">
      <c r="A1024" s="59"/>
      <c r="B1024" s="59"/>
      <c r="C1024" s="59"/>
      <c r="D1024" s="59"/>
      <c r="E1024" s="59"/>
      <c r="F1024" s="60"/>
      <c r="G1024" s="59"/>
      <c r="H1024" s="37"/>
    </row>
    <row r="1025" spans="1:8">
      <c r="A1025" s="59"/>
      <c r="B1025" s="59"/>
      <c r="C1025" s="59"/>
      <c r="D1025" s="59"/>
      <c r="E1025" s="59"/>
      <c r="F1025" s="60"/>
      <c r="G1025" s="59"/>
      <c r="H1025" s="37"/>
    </row>
    <row r="1026" spans="1:8">
      <c r="A1026" s="59"/>
      <c r="B1026" s="59"/>
      <c r="C1026" s="59"/>
      <c r="D1026" s="59"/>
      <c r="E1026" s="59"/>
      <c r="F1026" s="60"/>
      <c r="G1026" s="59"/>
      <c r="H1026" s="37"/>
    </row>
    <row r="1027" spans="1:8">
      <c r="A1027" s="59"/>
      <c r="B1027" s="59"/>
      <c r="C1027" s="59"/>
      <c r="D1027" s="59"/>
      <c r="E1027" s="59"/>
      <c r="F1027" s="60"/>
      <c r="G1027" s="59"/>
      <c r="H1027" s="37"/>
    </row>
    <row r="1028" spans="1:8">
      <c r="A1028" s="59"/>
      <c r="B1028" s="59"/>
      <c r="C1028" s="59"/>
      <c r="D1028" s="59"/>
      <c r="E1028" s="59"/>
      <c r="F1028" s="60"/>
      <c r="G1028" s="59"/>
      <c r="H1028" s="37"/>
    </row>
    <row r="1029" spans="1:8">
      <c r="A1029" s="59"/>
      <c r="B1029" s="59"/>
      <c r="C1029" s="59"/>
      <c r="D1029" s="59"/>
      <c r="E1029" s="59"/>
      <c r="F1029" s="60"/>
      <c r="G1029" s="59"/>
      <c r="H1029" s="37"/>
    </row>
    <row r="1030" spans="1:8">
      <c r="A1030" s="59"/>
      <c r="B1030" s="59"/>
      <c r="C1030" s="59"/>
      <c r="D1030" s="59"/>
      <c r="E1030" s="59"/>
      <c r="F1030" s="60"/>
      <c r="G1030" s="59"/>
      <c r="H1030" s="37"/>
    </row>
    <row r="1031" spans="1:8">
      <c r="A1031" s="59"/>
      <c r="B1031" s="59"/>
      <c r="C1031" s="59"/>
      <c r="D1031" s="59"/>
      <c r="E1031" s="59"/>
      <c r="F1031" s="60"/>
      <c r="G1031" s="59"/>
      <c r="H1031" s="37"/>
    </row>
    <row r="1032" spans="1:8">
      <c r="A1032" s="59"/>
      <c r="B1032" s="59"/>
      <c r="C1032" s="59"/>
      <c r="D1032" s="59"/>
      <c r="E1032" s="59"/>
      <c r="F1032" s="60"/>
      <c r="G1032" s="59"/>
      <c r="H1032" s="37"/>
    </row>
    <row r="1033" spans="1:8">
      <c r="A1033" s="59"/>
      <c r="B1033" s="59"/>
      <c r="C1033" s="59"/>
      <c r="D1033" s="59"/>
      <c r="E1033" s="59"/>
      <c r="F1033" s="60"/>
      <c r="G1033" s="59"/>
      <c r="H1033" s="37"/>
    </row>
    <row r="1034" spans="1:8">
      <c r="A1034" s="59"/>
      <c r="B1034" s="59"/>
      <c r="C1034" s="59"/>
      <c r="D1034" s="59"/>
      <c r="E1034" s="59"/>
      <c r="F1034" s="60"/>
      <c r="G1034" s="59"/>
      <c r="H1034" s="37"/>
    </row>
    <row r="1035" spans="1:8">
      <c r="A1035" s="59"/>
      <c r="B1035" s="59"/>
      <c r="C1035" s="59"/>
      <c r="D1035" s="59"/>
      <c r="E1035" s="59"/>
      <c r="F1035" s="60"/>
      <c r="G1035" s="59"/>
      <c r="H1035" s="37"/>
    </row>
    <row r="1036" spans="1:8">
      <c r="A1036" s="59"/>
      <c r="B1036" s="59"/>
      <c r="C1036" s="59"/>
      <c r="D1036" s="59"/>
      <c r="E1036" s="59"/>
      <c r="F1036" s="60"/>
      <c r="G1036" s="59"/>
      <c r="H1036" s="37"/>
    </row>
    <row r="1037" spans="1:8">
      <c r="A1037" s="59"/>
      <c r="B1037" s="59"/>
      <c r="C1037" s="59"/>
      <c r="D1037" s="59"/>
      <c r="E1037" s="59"/>
      <c r="F1037" s="60"/>
      <c r="G1037" s="59"/>
      <c r="H1037" s="37"/>
    </row>
    <row r="1038" spans="1:8">
      <c r="A1038" s="59"/>
      <c r="B1038" s="59"/>
      <c r="C1038" s="59"/>
      <c r="D1038" s="59"/>
      <c r="E1038" s="59"/>
      <c r="F1038" s="60"/>
      <c r="G1038" s="59"/>
      <c r="H1038" s="37"/>
    </row>
    <row r="1039" spans="1:8">
      <c r="A1039" s="59"/>
      <c r="B1039" s="59"/>
      <c r="C1039" s="59"/>
      <c r="D1039" s="59"/>
      <c r="E1039" s="59"/>
      <c r="F1039" s="60"/>
      <c r="G1039" s="59"/>
      <c r="H1039" s="37"/>
    </row>
    <row r="1040" spans="1:8">
      <c r="A1040" s="59"/>
      <c r="B1040" s="59"/>
      <c r="C1040" s="59"/>
      <c r="D1040" s="59"/>
      <c r="E1040" s="59"/>
      <c r="F1040" s="60"/>
      <c r="G1040" s="59"/>
      <c r="H1040" s="37"/>
    </row>
    <row r="1041" spans="1:8">
      <c r="A1041" s="59"/>
      <c r="B1041" s="59"/>
      <c r="C1041" s="59"/>
      <c r="D1041" s="59"/>
      <c r="E1041" s="59"/>
      <c r="F1041" s="60"/>
      <c r="G1041" s="59"/>
      <c r="H1041" s="37"/>
    </row>
    <row r="1042" spans="1:8">
      <c r="A1042" s="59"/>
      <c r="B1042" s="59"/>
      <c r="C1042" s="59"/>
      <c r="D1042" s="59"/>
      <c r="E1042" s="59"/>
      <c r="F1042" s="60"/>
      <c r="G1042" s="59"/>
      <c r="H1042" s="37"/>
    </row>
    <row r="1043" spans="1:8">
      <c r="A1043" s="59"/>
      <c r="B1043" s="59"/>
      <c r="C1043" s="59"/>
      <c r="D1043" s="59"/>
      <c r="E1043" s="59"/>
      <c r="F1043" s="60"/>
      <c r="G1043" s="59"/>
      <c r="H1043" s="37"/>
    </row>
    <row r="1044" spans="1:8">
      <c r="A1044" s="59"/>
      <c r="B1044" s="59"/>
      <c r="C1044" s="59"/>
      <c r="D1044" s="59"/>
      <c r="E1044" s="59"/>
      <c r="F1044" s="60"/>
      <c r="G1044" s="59"/>
      <c r="H1044" s="37"/>
    </row>
    <row r="1045" spans="1:8">
      <c r="A1045" s="59"/>
      <c r="B1045" s="59"/>
      <c r="C1045" s="59"/>
      <c r="D1045" s="59"/>
      <c r="E1045" s="59"/>
      <c r="F1045" s="60"/>
      <c r="G1045" s="59"/>
      <c r="H1045" s="37"/>
    </row>
    <row r="1046" spans="1:8">
      <c r="A1046" s="59"/>
      <c r="B1046" s="59"/>
      <c r="C1046" s="59"/>
      <c r="D1046" s="59"/>
      <c r="E1046" s="59"/>
      <c r="F1046" s="60"/>
      <c r="G1046" s="59"/>
      <c r="H1046" s="37"/>
    </row>
    <row r="1047" spans="1:8">
      <c r="A1047" s="59"/>
      <c r="B1047" s="59"/>
      <c r="C1047" s="59"/>
      <c r="D1047" s="59"/>
      <c r="E1047" s="59"/>
      <c r="F1047" s="60"/>
      <c r="G1047" s="59"/>
      <c r="H1047" s="37"/>
    </row>
    <row r="1048" spans="1:8">
      <c r="A1048" s="59"/>
      <c r="B1048" s="59"/>
      <c r="C1048" s="59"/>
      <c r="D1048" s="59"/>
      <c r="E1048" s="59"/>
      <c r="F1048" s="60"/>
      <c r="G1048" s="59"/>
      <c r="H1048" s="37"/>
    </row>
    <row r="1049" spans="1:8">
      <c r="A1049" s="59"/>
      <c r="B1049" s="59"/>
      <c r="C1049" s="59"/>
      <c r="D1049" s="59"/>
      <c r="E1049" s="59"/>
      <c r="F1049" s="60"/>
      <c r="G1049" s="59"/>
      <c r="H1049" s="37"/>
    </row>
    <row r="1050" spans="1:8">
      <c r="A1050" s="59"/>
      <c r="B1050" s="59"/>
      <c r="C1050" s="59"/>
      <c r="D1050" s="59"/>
      <c r="E1050" s="59"/>
      <c r="F1050" s="60"/>
      <c r="G1050" s="59"/>
      <c r="H1050" s="37"/>
    </row>
    <row r="1051" spans="1:8">
      <c r="A1051" s="59"/>
      <c r="B1051" s="59"/>
      <c r="C1051" s="59"/>
      <c r="D1051" s="59"/>
      <c r="E1051" s="59"/>
      <c r="F1051" s="60"/>
      <c r="G1051" s="59"/>
      <c r="H1051" s="37"/>
    </row>
    <row r="1052" spans="1:8">
      <c r="A1052" s="59"/>
      <c r="B1052" s="59"/>
      <c r="C1052" s="59"/>
      <c r="D1052" s="59"/>
      <c r="E1052" s="59"/>
      <c r="F1052" s="60"/>
      <c r="G1052" s="59"/>
      <c r="H1052" s="37"/>
    </row>
    <row r="1053" spans="1:8">
      <c r="A1053" s="59"/>
      <c r="B1053" s="59"/>
      <c r="C1053" s="59"/>
      <c r="D1053" s="59"/>
      <c r="E1053" s="59"/>
      <c r="F1053" s="60"/>
      <c r="G1053" s="59"/>
      <c r="H1053" s="37"/>
    </row>
    <row r="1054" spans="1:8">
      <c r="A1054" s="59"/>
      <c r="B1054" s="59"/>
      <c r="C1054" s="59"/>
      <c r="D1054" s="59"/>
      <c r="E1054" s="59"/>
      <c r="F1054" s="60"/>
      <c r="G1054" s="59"/>
      <c r="H1054" s="37"/>
    </row>
    <row r="1055" spans="1:8">
      <c r="A1055" s="59"/>
      <c r="B1055" s="59"/>
      <c r="C1055" s="59"/>
      <c r="D1055" s="59"/>
      <c r="E1055" s="59"/>
      <c r="F1055" s="60"/>
      <c r="G1055" s="59"/>
      <c r="H1055" s="37"/>
    </row>
    <row r="1056" spans="1:8">
      <c r="A1056" s="59"/>
      <c r="B1056" s="59"/>
      <c r="C1056" s="59"/>
      <c r="D1056" s="59"/>
      <c r="E1056" s="59"/>
      <c r="F1056" s="60"/>
      <c r="G1056" s="59"/>
      <c r="H1056" s="37"/>
    </row>
    <row r="1057" spans="1:8">
      <c r="A1057" s="59"/>
      <c r="B1057" s="59"/>
      <c r="C1057" s="59"/>
      <c r="D1057" s="59"/>
      <c r="E1057" s="59"/>
      <c r="F1057" s="60"/>
      <c r="G1057" s="59"/>
      <c r="H1057" s="37"/>
    </row>
    <row r="1058" spans="1:8">
      <c r="A1058" s="59"/>
      <c r="B1058" s="59"/>
      <c r="C1058" s="59"/>
      <c r="D1058" s="59"/>
      <c r="E1058" s="59"/>
      <c r="F1058" s="60"/>
      <c r="G1058" s="59"/>
      <c r="H1058" s="37"/>
    </row>
    <row r="1059" spans="1:8">
      <c r="A1059" s="59"/>
      <c r="B1059" s="59"/>
      <c r="C1059" s="59"/>
      <c r="D1059" s="59"/>
      <c r="E1059" s="59"/>
      <c r="F1059" s="60"/>
      <c r="G1059" s="59"/>
      <c r="H1059" s="37"/>
    </row>
    <row r="1060" spans="1:8">
      <c r="A1060" s="59"/>
      <c r="B1060" s="59"/>
      <c r="C1060" s="59"/>
      <c r="D1060" s="59"/>
      <c r="E1060" s="59"/>
      <c r="F1060" s="60"/>
      <c r="G1060" s="59"/>
      <c r="H1060" s="37"/>
    </row>
    <row r="1061" spans="1:8">
      <c r="A1061" s="59"/>
      <c r="B1061" s="59"/>
      <c r="C1061" s="59"/>
      <c r="D1061" s="59"/>
      <c r="E1061" s="59"/>
      <c r="F1061" s="60"/>
      <c r="G1061" s="59"/>
      <c r="H1061" s="37"/>
    </row>
    <row r="1062" spans="1:8">
      <c r="A1062" s="59"/>
      <c r="B1062" s="59"/>
      <c r="C1062" s="59"/>
      <c r="D1062" s="59"/>
      <c r="E1062" s="59"/>
      <c r="F1062" s="60"/>
      <c r="G1062" s="59"/>
      <c r="H1062" s="37"/>
    </row>
    <row r="1063" spans="1:8">
      <c r="A1063" s="59"/>
      <c r="B1063" s="59"/>
      <c r="C1063" s="59"/>
      <c r="D1063" s="59"/>
      <c r="E1063" s="59"/>
      <c r="F1063" s="60"/>
      <c r="G1063" s="59"/>
      <c r="H1063" s="37"/>
    </row>
    <row r="1064" spans="1:8">
      <c r="A1064" s="59"/>
      <c r="B1064" s="59"/>
      <c r="C1064" s="59"/>
      <c r="D1064" s="59"/>
      <c r="E1064" s="59"/>
      <c r="F1064" s="60"/>
      <c r="G1064" s="59"/>
      <c r="H1064" s="37"/>
    </row>
    <row r="1065" spans="1:8">
      <c r="A1065" s="59"/>
      <c r="B1065" s="59"/>
      <c r="C1065" s="59"/>
      <c r="D1065" s="59"/>
      <c r="E1065" s="59"/>
      <c r="F1065" s="60"/>
      <c r="G1065" s="59"/>
      <c r="H1065" s="37"/>
    </row>
  </sheetData>
  <autoFilter ref="A2:H695" xr:uid="{00000000-0009-0000-0000-000002000000}">
    <filterColumn colId="0">
      <filters>
        <filter val="Butter 82% Fat(Unsalted) 25 kg"/>
        <filter val="Butter Portion(Unsalted) Lurpak"/>
        <filter val="Lemon Salt (Kg)"/>
        <filter val="Salt"/>
        <filter val="Salt sachet (1000)"/>
        <filter val="Sea Salt(737 Gram)"/>
      </filters>
    </filterColumn>
  </autoFilter>
  <mergeCells count="1">
    <mergeCell ref="C1:H1"/>
  </mergeCells>
  <pageMargins left="0.75" right="0.75" top="1" bottom="1" header="0.5" footer="0.5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Master Recipes</vt:lpstr>
      <vt:lpstr>Recipe Ingredients</vt:lpstr>
      <vt:lpstr>Raw material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 AbdulQadir</dc:creator>
  <cp:lastModifiedBy>Abdulkhabir Ahmed</cp:lastModifiedBy>
  <dcterms:created xsi:type="dcterms:W3CDTF">2026-06-03T04:49:43Z</dcterms:created>
  <dcterms:modified xsi:type="dcterms:W3CDTF">2026-08-25T07:15:12Z</dcterms:modified>
</cp:coreProperties>
</file>